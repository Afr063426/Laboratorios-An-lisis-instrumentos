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sabat\Desktop\Trabajos\2021\UCR\I Semestre\Analisis de inversiónes\Laboratorio 1\"/>
    </mc:Choice>
  </mc:AlternateContent>
  <xr:revisionPtr revIDLastSave="0" documentId="13_ncr:1_{9AD6CD15-BAB8-4470-B2B3-18BD03457486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Bond" sheetId="1" r:id="rId1"/>
    <sheet name="Bond (2)" sheetId="2" r:id="rId2"/>
    <sheet name="Bond (3)" sheetId="3" r:id="rId3"/>
    <sheet name="Bond (4)" sheetId="4" r:id="rId4"/>
  </sheets>
  <definedNames>
    <definedName name="SpreadsheetBuilder_1" localSheetId="1">#REF!</definedName>
    <definedName name="SpreadsheetBuilder_1" localSheetId="2">#REF!</definedName>
    <definedName name="SpreadsheetBuilder_1" localSheetId="3">#REF!</definedName>
    <definedName name="SpreadsheetBuilder_1">#REF!</definedName>
  </definedNames>
  <calcPr calcId="191029"/>
</workbook>
</file>

<file path=xl/calcChain.xml><?xml version="1.0" encoding="utf-8"?>
<calcChain xmlns="http://schemas.openxmlformats.org/spreadsheetml/2006/main">
  <c r="H527" i="4" l="1"/>
  <c r="C17" i="4"/>
  <c r="C18" i="4" s="1"/>
  <c r="A17" i="4"/>
  <c r="A18" i="4" s="1"/>
  <c r="I16" i="4"/>
  <c r="E16" i="4"/>
  <c r="D16" i="4"/>
  <c r="A16" i="4"/>
  <c r="B7" i="4"/>
  <c r="H2" i="4"/>
  <c r="E2" i="4"/>
  <c r="H527" i="3"/>
  <c r="E17" i="3"/>
  <c r="G17" i="3" s="1"/>
  <c r="H17" i="3" s="1"/>
  <c r="I17" i="3" s="1"/>
  <c r="J17" i="3" s="1"/>
  <c r="C17" i="3"/>
  <c r="C18" i="3" s="1"/>
  <c r="A17" i="3"/>
  <c r="I16" i="3"/>
  <c r="G16" i="3"/>
  <c r="E16" i="3"/>
  <c r="A16" i="3"/>
  <c r="D16" i="3" s="1"/>
  <c r="B7" i="3"/>
  <c r="H2" i="3"/>
  <c r="E2" i="3"/>
  <c r="H527" i="2"/>
  <c r="A19" i="2"/>
  <c r="D19" i="2" s="1"/>
  <c r="A18" i="2"/>
  <c r="D18" i="2" s="1"/>
  <c r="C17" i="2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A17" i="2"/>
  <c r="D17" i="2" s="1"/>
  <c r="I16" i="2"/>
  <c r="G16" i="2"/>
  <c r="E16" i="2"/>
  <c r="E17" i="2" s="1"/>
  <c r="A16" i="2"/>
  <c r="D16" i="2" s="1"/>
  <c r="B7" i="2"/>
  <c r="H2" i="2"/>
  <c r="E2" i="2"/>
  <c r="H527" i="1"/>
  <c r="C17" i="1"/>
  <c r="I16" i="1"/>
  <c r="F16" i="1"/>
  <c r="E17" i="1" s="1"/>
  <c r="E16" i="1"/>
  <c r="G16" i="1" s="1"/>
  <c r="D16" i="1"/>
  <c r="A16" i="1"/>
  <c r="A17" i="1" s="1"/>
  <c r="B7" i="1"/>
  <c r="H2" i="1"/>
  <c r="E2" i="1"/>
  <c r="F17" i="1" l="1"/>
  <c r="E18" i="1" s="1"/>
  <c r="D17" i="1"/>
  <c r="G17" i="1"/>
  <c r="H17" i="1" s="1"/>
  <c r="I17" i="1" s="1"/>
  <c r="J17" i="1" s="1"/>
  <c r="C18" i="1"/>
  <c r="A18" i="1"/>
  <c r="A20" i="2"/>
  <c r="C149" i="2"/>
  <c r="G17" i="2"/>
  <c r="H17" i="2" s="1"/>
  <c r="I17" i="2" s="1"/>
  <c r="J17" i="2" s="1"/>
  <c r="E18" i="2"/>
  <c r="D17" i="3"/>
  <c r="A18" i="3"/>
  <c r="C19" i="3"/>
  <c r="E18" i="3"/>
  <c r="G16" i="4"/>
  <c r="E17" i="4"/>
  <c r="A19" i="4"/>
  <c r="D18" i="4"/>
  <c r="C19" i="4"/>
  <c r="D17" i="4"/>
  <c r="G18" i="1" l="1"/>
  <c r="H18" i="1" s="1"/>
  <c r="I18" i="1" s="1"/>
  <c r="J18" i="1" s="1"/>
  <c r="D20" i="2"/>
  <c r="A21" i="2"/>
  <c r="C20" i="4"/>
  <c r="A19" i="3"/>
  <c r="D18" i="3"/>
  <c r="F18" i="1"/>
  <c r="E19" i="1" s="1"/>
  <c r="D18" i="1"/>
  <c r="A19" i="1"/>
  <c r="C19" i="1"/>
  <c r="A20" i="4"/>
  <c r="D19" i="4"/>
  <c r="G18" i="2"/>
  <c r="H18" i="2" s="1"/>
  <c r="I18" i="2" s="1"/>
  <c r="J18" i="2" s="1"/>
  <c r="E19" i="2"/>
  <c r="G18" i="3"/>
  <c r="H18" i="3" s="1"/>
  <c r="I18" i="3" s="1"/>
  <c r="J18" i="3" s="1"/>
  <c r="E19" i="3"/>
  <c r="C150" i="2"/>
  <c r="E18" i="4"/>
  <c r="G17" i="4"/>
  <c r="H17" i="4" s="1"/>
  <c r="I17" i="4" s="1"/>
  <c r="J17" i="4" s="1"/>
  <c r="C20" i="3"/>
  <c r="G19" i="1" l="1"/>
  <c r="H19" i="1" s="1"/>
  <c r="I19" i="1" s="1"/>
  <c r="J19" i="1" s="1"/>
  <c r="C21" i="3"/>
  <c r="G19" i="2"/>
  <c r="H19" i="2" s="1"/>
  <c r="I19" i="2" s="1"/>
  <c r="J19" i="2" s="1"/>
  <c r="E20" i="2"/>
  <c r="D19" i="3"/>
  <c r="A20" i="3"/>
  <c r="D20" i="4"/>
  <c r="A21" i="4"/>
  <c r="C21" i="4"/>
  <c r="G19" i="3"/>
  <c r="H19" i="3" s="1"/>
  <c r="I19" i="3" s="1"/>
  <c r="J19" i="3" s="1"/>
  <c r="E20" i="3"/>
  <c r="F19" i="1"/>
  <c r="E20" i="1" s="1"/>
  <c r="D19" i="1"/>
  <c r="A20" i="1"/>
  <c r="E19" i="4"/>
  <c r="G18" i="4"/>
  <c r="H18" i="4" s="1"/>
  <c r="I18" i="4" s="1"/>
  <c r="J18" i="4" s="1"/>
  <c r="C151" i="2"/>
  <c r="C20" i="1"/>
  <c r="D21" i="2"/>
  <c r="A22" i="2"/>
  <c r="G20" i="1" l="1"/>
  <c r="H20" i="1" s="1"/>
  <c r="I20" i="1" s="1"/>
  <c r="J20" i="1" s="1"/>
  <c r="A21" i="3"/>
  <c r="D20" i="3"/>
  <c r="C21" i="1"/>
  <c r="G20" i="3"/>
  <c r="H20" i="3" s="1"/>
  <c r="I20" i="3" s="1"/>
  <c r="J20" i="3" s="1"/>
  <c r="E21" i="3"/>
  <c r="G20" i="2"/>
  <c r="H20" i="2" s="1"/>
  <c r="I20" i="2" s="1"/>
  <c r="J20" i="2" s="1"/>
  <c r="E21" i="2"/>
  <c r="D22" i="2"/>
  <c r="A23" i="2"/>
  <c r="F20" i="1"/>
  <c r="E21" i="1" s="1"/>
  <c r="D20" i="1"/>
  <c r="A21" i="1"/>
  <c r="C22" i="4"/>
  <c r="C22" i="3"/>
  <c r="C152" i="2"/>
  <c r="E20" i="4"/>
  <c r="G19" i="4"/>
  <c r="H19" i="4" s="1"/>
  <c r="I19" i="4" s="1"/>
  <c r="J19" i="4" s="1"/>
  <c r="A22" i="4"/>
  <c r="D21" i="4"/>
  <c r="G21" i="1" l="1"/>
  <c r="H21" i="1" s="1"/>
  <c r="I21" i="1" s="1"/>
  <c r="J21" i="1" s="1"/>
  <c r="A23" i="4"/>
  <c r="D22" i="4"/>
  <c r="G21" i="3"/>
  <c r="H21" i="3" s="1"/>
  <c r="I21" i="3" s="1"/>
  <c r="J21" i="3" s="1"/>
  <c r="E22" i="3"/>
  <c r="F21" i="1"/>
  <c r="E22" i="1" s="1"/>
  <c r="A22" i="1"/>
  <c r="D21" i="1"/>
  <c r="G20" i="4"/>
  <c r="H20" i="4" s="1"/>
  <c r="I20" i="4" s="1"/>
  <c r="J20" i="4" s="1"/>
  <c r="E21" i="4"/>
  <c r="C153" i="2"/>
  <c r="C22" i="1"/>
  <c r="A22" i="3"/>
  <c r="D21" i="3"/>
  <c r="D23" i="2"/>
  <c r="A24" i="2"/>
  <c r="C23" i="3"/>
  <c r="G21" i="2"/>
  <c r="H21" i="2" s="1"/>
  <c r="I21" i="2" s="1"/>
  <c r="J21" i="2" s="1"/>
  <c r="E22" i="2"/>
  <c r="C23" i="4"/>
  <c r="G22" i="1" l="1"/>
  <c r="H22" i="1" s="1"/>
  <c r="I22" i="1" s="1"/>
  <c r="J22" i="1" s="1"/>
  <c r="A23" i="3"/>
  <c r="D22" i="3"/>
  <c r="D22" i="1"/>
  <c r="A23" i="1"/>
  <c r="F22" i="1"/>
  <c r="E23" i="1" s="1"/>
  <c r="G22" i="2"/>
  <c r="H22" i="2" s="1"/>
  <c r="I22" i="2" s="1"/>
  <c r="J22" i="2" s="1"/>
  <c r="E23" i="2"/>
  <c r="C23" i="1"/>
  <c r="G22" i="3"/>
  <c r="H22" i="3" s="1"/>
  <c r="I22" i="3" s="1"/>
  <c r="J22" i="3" s="1"/>
  <c r="E23" i="3"/>
  <c r="C24" i="4"/>
  <c r="C24" i="3"/>
  <c r="C154" i="2"/>
  <c r="D24" i="2"/>
  <c r="A25" i="2"/>
  <c r="G21" i="4"/>
  <c r="H21" i="4" s="1"/>
  <c r="I21" i="4" s="1"/>
  <c r="J21" i="4" s="1"/>
  <c r="E22" i="4"/>
  <c r="D23" i="4"/>
  <c r="A24" i="4"/>
  <c r="G23" i="1" l="1"/>
  <c r="H23" i="1" s="1"/>
  <c r="I23" i="1" s="1"/>
  <c r="J23" i="1" s="1"/>
  <c r="G22" i="4"/>
  <c r="H22" i="4" s="1"/>
  <c r="I22" i="4" s="1"/>
  <c r="J22" i="4" s="1"/>
  <c r="E23" i="4"/>
  <c r="C25" i="4"/>
  <c r="D23" i="1"/>
  <c r="A24" i="1"/>
  <c r="F23" i="1"/>
  <c r="E24" i="1" s="1"/>
  <c r="G23" i="3"/>
  <c r="H23" i="3" s="1"/>
  <c r="I23" i="3" s="1"/>
  <c r="J23" i="3" s="1"/>
  <c r="E24" i="3"/>
  <c r="D23" i="3"/>
  <c r="A24" i="3"/>
  <c r="C155" i="2"/>
  <c r="C24" i="1"/>
  <c r="D25" i="2"/>
  <c r="A26" i="2"/>
  <c r="A25" i="4"/>
  <c r="D24" i="4"/>
  <c r="C25" i="3"/>
  <c r="G23" i="2"/>
  <c r="H23" i="2" s="1"/>
  <c r="I23" i="2" s="1"/>
  <c r="J23" i="2" s="1"/>
  <c r="E24" i="2"/>
  <c r="G24" i="1" l="1"/>
  <c r="H24" i="1" s="1"/>
  <c r="I24" i="1" s="1"/>
  <c r="J24" i="1" s="1"/>
  <c r="C25" i="1"/>
  <c r="A25" i="1"/>
  <c r="F24" i="1"/>
  <c r="E25" i="1" s="1"/>
  <c r="D24" i="1"/>
  <c r="C26" i="3"/>
  <c r="C156" i="2"/>
  <c r="C26" i="4"/>
  <c r="A25" i="3"/>
  <c r="D24" i="3"/>
  <c r="D26" i="2"/>
  <c r="A27" i="2"/>
  <c r="G24" i="3"/>
  <c r="H24" i="3" s="1"/>
  <c r="I24" i="3" s="1"/>
  <c r="J24" i="3" s="1"/>
  <c r="E25" i="3"/>
  <c r="G24" i="2"/>
  <c r="H24" i="2" s="1"/>
  <c r="I24" i="2" s="1"/>
  <c r="J24" i="2" s="1"/>
  <c r="E25" i="2"/>
  <c r="D25" i="4"/>
  <c r="A26" i="4"/>
  <c r="G23" i="4"/>
  <c r="H23" i="4" s="1"/>
  <c r="I23" i="4" s="1"/>
  <c r="J23" i="4" s="1"/>
  <c r="E24" i="4"/>
  <c r="G25" i="1" l="1"/>
  <c r="H25" i="1" s="1"/>
  <c r="I25" i="1" s="1"/>
  <c r="J25" i="1" s="1"/>
  <c r="D26" i="4"/>
  <c r="A27" i="4"/>
  <c r="A26" i="3"/>
  <c r="D25" i="3"/>
  <c r="G25" i="2"/>
  <c r="H25" i="2" s="1"/>
  <c r="I25" i="2" s="1"/>
  <c r="J25" i="2" s="1"/>
  <c r="E26" i="2"/>
  <c r="C27" i="4"/>
  <c r="F25" i="1"/>
  <c r="E26" i="1" s="1"/>
  <c r="D25" i="1"/>
  <c r="A26" i="1"/>
  <c r="G24" i="4"/>
  <c r="H24" i="4" s="1"/>
  <c r="I24" i="4" s="1"/>
  <c r="J24" i="4" s="1"/>
  <c r="E25" i="4"/>
  <c r="D27" i="2"/>
  <c r="A28" i="2"/>
  <c r="C27" i="3"/>
  <c r="C26" i="1"/>
  <c r="G25" i="3"/>
  <c r="H25" i="3" s="1"/>
  <c r="I25" i="3" s="1"/>
  <c r="J25" i="3" s="1"/>
  <c r="E26" i="3"/>
  <c r="C157" i="2"/>
  <c r="G26" i="1" l="1"/>
  <c r="H26" i="1" s="1"/>
  <c r="I26" i="1" s="1"/>
  <c r="J26" i="1" s="1"/>
  <c r="G26" i="2"/>
  <c r="H26" i="2" s="1"/>
  <c r="I26" i="2" s="1"/>
  <c r="J26" i="2" s="1"/>
  <c r="E27" i="2"/>
  <c r="G26" i="3"/>
  <c r="H26" i="3" s="1"/>
  <c r="I26" i="3" s="1"/>
  <c r="J26" i="3" s="1"/>
  <c r="E27" i="3"/>
  <c r="G25" i="4"/>
  <c r="H25" i="4" s="1"/>
  <c r="I25" i="4" s="1"/>
  <c r="J25" i="4" s="1"/>
  <c r="E26" i="4"/>
  <c r="C28" i="3"/>
  <c r="C28" i="4"/>
  <c r="C158" i="2"/>
  <c r="D28" i="2"/>
  <c r="A29" i="2"/>
  <c r="C27" i="1"/>
  <c r="F26" i="1"/>
  <c r="E27" i="1" s="1"/>
  <c r="D26" i="1"/>
  <c r="A27" i="1"/>
  <c r="A27" i="3"/>
  <c r="D26" i="3"/>
  <c r="A28" i="4"/>
  <c r="D27" i="4"/>
  <c r="G27" i="1" l="1"/>
  <c r="H27" i="1" s="1"/>
  <c r="I27" i="1" s="1"/>
  <c r="J27" i="1" s="1"/>
  <c r="E28" i="1"/>
  <c r="A29" i="4"/>
  <c r="D28" i="4"/>
  <c r="G26" i="4"/>
  <c r="H26" i="4" s="1"/>
  <c r="I26" i="4" s="1"/>
  <c r="J26" i="4" s="1"/>
  <c r="E27" i="4"/>
  <c r="D27" i="3"/>
  <c r="A28" i="3"/>
  <c r="C159" i="2"/>
  <c r="G27" i="3"/>
  <c r="H27" i="3" s="1"/>
  <c r="I27" i="3" s="1"/>
  <c r="J27" i="3" s="1"/>
  <c r="E28" i="3"/>
  <c r="D29" i="2"/>
  <c r="A30" i="2"/>
  <c r="F27" i="1"/>
  <c r="D27" i="1"/>
  <c r="A28" i="1"/>
  <c r="C29" i="4"/>
  <c r="G27" i="2"/>
  <c r="H27" i="2" s="1"/>
  <c r="I27" i="2" s="1"/>
  <c r="J27" i="2" s="1"/>
  <c r="E28" i="2"/>
  <c r="C28" i="1"/>
  <c r="C29" i="3"/>
  <c r="A29" i="3" l="1"/>
  <c r="D28" i="3"/>
  <c r="F28" i="1"/>
  <c r="E29" i="1" s="1"/>
  <c r="D28" i="1"/>
  <c r="A29" i="1"/>
  <c r="C30" i="4"/>
  <c r="C160" i="2"/>
  <c r="C30" i="3"/>
  <c r="C29" i="1"/>
  <c r="D30" i="2"/>
  <c r="A31" i="2"/>
  <c r="G27" i="4"/>
  <c r="H27" i="4" s="1"/>
  <c r="I27" i="4" s="1"/>
  <c r="J27" i="4" s="1"/>
  <c r="E28" i="4"/>
  <c r="G28" i="3"/>
  <c r="H28" i="3" s="1"/>
  <c r="I28" i="3" s="1"/>
  <c r="J28" i="3" s="1"/>
  <c r="E29" i="3"/>
  <c r="A30" i="4"/>
  <c r="D29" i="4"/>
  <c r="G28" i="2"/>
  <c r="H28" i="2" s="1"/>
  <c r="I28" i="2" s="1"/>
  <c r="J28" i="2" s="1"/>
  <c r="E29" i="2"/>
  <c r="G28" i="1"/>
  <c r="H28" i="1" s="1"/>
  <c r="I28" i="1" s="1"/>
  <c r="J28" i="1" s="1"/>
  <c r="G29" i="1" l="1"/>
  <c r="H29" i="1" s="1"/>
  <c r="I29" i="1" s="1"/>
  <c r="J29" i="1" s="1"/>
  <c r="G28" i="4"/>
  <c r="H28" i="4" s="1"/>
  <c r="I28" i="4" s="1"/>
  <c r="J28" i="4" s="1"/>
  <c r="E29" i="4"/>
  <c r="C161" i="2"/>
  <c r="A30" i="3"/>
  <c r="D29" i="3"/>
  <c r="G29" i="2"/>
  <c r="H29" i="2" s="1"/>
  <c r="I29" i="2" s="1"/>
  <c r="J29" i="2" s="1"/>
  <c r="E30" i="2"/>
  <c r="D31" i="2"/>
  <c r="A32" i="2"/>
  <c r="C31" i="4"/>
  <c r="C31" i="3"/>
  <c r="G29" i="3"/>
  <c r="H29" i="3" s="1"/>
  <c r="I29" i="3" s="1"/>
  <c r="J29" i="3" s="1"/>
  <c r="E30" i="3"/>
  <c r="F29" i="1"/>
  <c r="E30" i="1" s="1"/>
  <c r="A30" i="1"/>
  <c r="D29" i="1"/>
  <c r="A31" i="4"/>
  <c r="D30" i="4"/>
  <c r="C30" i="1"/>
  <c r="G30" i="1" l="1"/>
  <c r="H30" i="1" s="1"/>
  <c r="I30" i="1" s="1"/>
  <c r="J30" i="1" s="1"/>
  <c r="G30" i="2"/>
  <c r="H30" i="2" s="1"/>
  <c r="I30" i="2" s="1"/>
  <c r="J30" i="2" s="1"/>
  <c r="E31" i="2"/>
  <c r="A31" i="3"/>
  <c r="D30" i="3"/>
  <c r="C31" i="1"/>
  <c r="C32" i="3"/>
  <c r="A32" i="4"/>
  <c r="D31" i="4"/>
  <c r="C32" i="4"/>
  <c r="C162" i="2"/>
  <c r="G30" i="3"/>
  <c r="H30" i="3" s="1"/>
  <c r="I30" i="3" s="1"/>
  <c r="J30" i="3" s="1"/>
  <c r="E31" i="3"/>
  <c r="D30" i="1"/>
  <c r="A31" i="1"/>
  <c r="F30" i="1"/>
  <c r="E31" i="1" s="1"/>
  <c r="D32" i="2"/>
  <c r="A33" i="2"/>
  <c r="G29" i="4"/>
  <c r="H29" i="4" s="1"/>
  <c r="I29" i="4" s="1"/>
  <c r="J29" i="4" s="1"/>
  <c r="E30" i="4"/>
  <c r="G31" i="1" l="1"/>
  <c r="H31" i="1" s="1"/>
  <c r="I31" i="1" s="1"/>
  <c r="J31" i="1" s="1"/>
  <c r="E32" i="1"/>
  <c r="C163" i="2"/>
  <c r="D33" i="2"/>
  <c r="A34" i="2"/>
  <c r="C32" i="1"/>
  <c r="C33" i="4"/>
  <c r="D31" i="3"/>
  <c r="A32" i="3"/>
  <c r="D31" i="1"/>
  <c r="A32" i="1"/>
  <c r="F31" i="1"/>
  <c r="G31" i="2"/>
  <c r="H31" i="2" s="1"/>
  <c r="I31" i="2" s="1"/>
  <c r="J31" i="2" s="1"/>
  <c r="E32" i="2"/>
  <c r="A33" i="4"/>
  <c r="D32" i="4"/>
  <c r="G31" i="3"/>
  <c r="H31" i="3" s="1"/>
  <c r="I31" i="3" s="1"/>
  <c r="J31" i="3" s="1"/>
  <c r="E32" i="3"/>
  <c r="C33" i="3"/>
  <c r="G30" i="4"/>
  <c r="H30" i="4" s="1"/>
  <c r="I30" i="4" s="1"/>
  <c r="J30" i="4" s="1"/>
  <c r="E31" i="4"/>
  <c r="G32" i="3" l="1"/>
  <c r="H32" i="3" s="1"/>
  <c r="I32" i="3" s="1"/>
  <c r="J32" i="3" s="1"/>
  <c r="E33" i="3"/>
  <c r="G31" i="4"/>
  <c r="H31" i="4" s="1"/>
  <c r="I31" i="4" s="1"/>
  <c r="J31" i="4" s="1"/>
  <c r="E32" i="4"/>
  <c r="G32" i="2"/>
  <c r="H32" i="2" s="1"/>
  <c r="I32" i="2" s="1"/>
  <c r="J32" i="2" s="1"/>
  <c r="E33" i="2"/>
  <c r="C34" i="3"/>
  <c r="C33" i="1"/>
  <c r="A33" i="1"/>
  <c r="F32" i="1"/>
  <c r="D32" i="1"/>
  <c r="D34" i="2"/>
  <c r="A35" i="2"/>
  <c r="A33" i="3"/>
  <c r="D32" i="3"/>
  <c r="C164" i="2"/>
  <c r="A34" i="4"/>
  <c r="D33" i="4"/>
  <c r="C34" i="4"/>
  <c r="G32" i="1"/>
  <c r="H32" i="1" s="1"/>
  <c r="I32" i="1" s="1"/>
  <c r="J32" i="1" s="1"/>
  <c r="E33" i="1"/>
  <c r="G33" i="1" l="1"/>
  <c r="H33" i="1" s="1"/>
  <c r="I33" i="1" s="1"/>
  <c r="J33" i="1" s="1"/>
  <c r="A34" i="3"/>
  <c r="D33" i="3"/>
  <c r="C35" i="3"/>
  <c r="C35" i="4"/>
  <c r="D35" i="2"/>
  <c r="A36" i="2"/>
  <c r="G33" i="2"/>
  <c r="H33" i="2" s="1"/>
  <c r="I33" i="2" s="1"/>
  <c r="J33" i="2" s="1"/>
  <c r="E34" i="2"/>
  <c r="A35" i="4"/>
  <c r="D34" i="4"/>
  <c r="G32" i="4"/>
  <c r="H32" i="4" s="1"/>
  <c r="I32" i="4" s="1"/>
  <c r="J32" i="4" s="1"/>
  <c r="E33" i="4"/>
  <c r="C165" i="2"/>
  <c r="F33" i="1"/>
  <c r="E34" i="1" s="1"/>
  <c r="D33" i="1"/>
  <c r="A34" i="1"/>
  <c r="C34" i="1"/>
  <c r="G33" i="3"/>
  <c r="H33" i="3" s="1"/>
  <c r="I33" i="3" s="1"/>
  <c r="J33" i="3" s="1"/>
  <c r="E34" i="3"/>
  <c r="G34" i="1" l="1"/>
  <c r="H34" i="1" s="1"/>
  <c r="I34" i="1" s="1"/>
  <c r="J34" i="1" s="1"/>
  <c r="G34" i="3"/>
  <c r="H34" i="3" s="1"/>
  <c r="I34" i="3" s="1"/>
  <c r="J34" i="3" s="1"/>
  <c r="E35" i="3"/>
  <c r="C36" i="4"/>
  <c r="C36" i="3"/>
  <c r="A36" i="4"/>
  <c r="D35" i="4"/>
  <c r="G33" i="4"/>
  <c r="H33" i="4" s="1"/>
  <c r="I33" i="4" s="1"/>
  <c r="J33" i="4" s="1"/>
  <c r="E34" i="4"/>
  <c r="C35" i="1"/>
  <c r="F34" i="1"/>
  <c r="E35" i="1" s="1"/>
  <c r="D34" i="1"/>
  <c r="A35" i="1"/>
  <c r="A35" i="3"/>
  <c r="D34" i="3"/>
  <c r="G34" i="2"/>
  <c r="H34" i="2" s="1"/>
  <c r="I34" i="2" s="1"/>
  <c r="J34" i="2" s="1"/>
  <c r="E35" i="2"/>
  <c r="C166" i="2"/>
  <c r="D36" i="2"/>
  <c r="A37" i="2"/>
  <c r="G35" i="1" l="1"/>
  <c r="H35" i="1" s="1"/>
  <c r="I35" i="1" s="1"/>
  <c r="J35" i="1" s="1"/>
  <c r="C37" i="3"/>
  <c r="C167" i="2"/>
  <c r="C36" i="1"/>
  <c r="G35" i="2"/>
  <c r="H35" i="2" s="1"/>
  <c r="I35" i="2" s="1"/>
  <c r="J35" i="2" s="1"/>
  <c r="E36" i="2"/>
  <c r="C37" i="4"/>
  <c r="G34" i="4"/>
  <c r="H34" i="4" s="1"/>
  <c r="I34" i="4" s="1"/>
  <c r="J34" i="4" s="1"/>
  <c r="E35" i="4"/>
  <c r="G35" i="3"/>
  <c r="H35" i="3" s="1"/>
  <c r="I35" i="3" s="1"/>
  <c r="J35" i="3" s="1"/>
  <c r="E36" i="3"/>
  <c r="D35" i="3"/>
  <c r="A36" i="3"/>
  <c r="D37" i="2"/>
  <c r="A38" i="2"/>
  <c r="F35" i="1"/>
  <c r="E36" i="1" s="1"/>
  <c r="D35" i="1"/>
  <c r="A36" i="1"/>
  <c r="A37" i="4"/>
  <c r="D36" i="4"/>
  <c r="G36" i="1" l="1"/>
  <c r="H36" i="1" s="1"/>
  <c r="I36" i="1" s="1"/>
  <c r="J36" i="1" s="1"/>
  <c r="E37" i="1"/>
  <c r="C37" i="1"/>
  <c r="G35" i="4"/>
  <c r="H35" i="4" s="1"/>
  <c r="I35" i="4" s="1"/>
  <c r="J35" i="4" s="1"/>
  <c r="E36" i="4"/>
  <c r="C168" i="2"/>
  <c r="A38" i="4"/>
  <c r="D37" i="4"/>
  <c r="G36" i="3"/>
  <c r="H36" i="3" s="1"/>
  <c r="I36" i="3" s="1"/>
  <c r="J36" i="3" s="1"/>
  <c r="E37" i="3"/>
  <c r="F36" i="1"/>
  <c r="D36" i="1"/>
  <c r="A37" i="1"/>
  <c r="D38" i="2"/>
  <c r="A39" i="2"/>
  <c r="C38" i="3"/>
  <c r="C38" i="4"/>
  <c r="A37" i="3"/>
  <c r="D36" i="3"/>
  <c r="G36" i="2"/>
  <c r="H36" i="2" s="1"/>
  <c r="I36" i="2" s="1"/>
  <c r="J36" i="2" s="1"/>
  <c r="E37" i="2"/>
  <c r="F37" i="1" l="1"/>
  <c r="E38" i="1" s="1"/>
  <c r="A38" i="1"/>
  <c r="D37" i="1"/>
  <c r="C39" i="3"/>
  <c r="C38" i="1"/>
  <c r="G37" i="1"/>
  <c r="H37" i="1" s="1"/>
  <c r="I37" i="1" s="1"/>
  <c r="J37" i="1" s="1"/>
  <c r="G37" i="2"/>
  <c r="H37" i="2" s="1"/>
  <c r="I37" i="2" s="1"/>
  <c r="J37" i="2" s="1"/>
  <c r="E38" i="2"/>
  <c r="D39" i="2"/>
  <c r="A40" i="2"/>
  <c r="A39" i="4"/>
  <c r="D38" i="4"/>
  <c r="C169" i="2"/>
  <c r="A38" i="3"/>
  <c r="D37" i="3"/>
  <c r="G36" i="4"/>
  <c r="H36" i="4" s="1"/>
  <c r="I36" i="4" s="1"/>
  <c r="J36" i="4" s="1"/>
  <c r="E37" i="4"/>
  <c r="C39" i="4"/>
  <c r="G37" i="3"/>
  <c r="H37" i="3" s="1"/>
  <c r="I37" i="3" s="1"/>
  <c r="J37" i="3" s="1"/>
  <c r="E38" i="3"/>
  <c r="G38" i="1" l="1"/>
  <c r="H38" i="1" s="1"/>
  <c r="I38" i="1" s="1"/>
  <c r="J38" i="1" s="1"/>
  <c r="C40" i="4"/>
  <c r="A40" i="4"/>
  <c r="D39" i="4"/>
  <c r="C39" i="1"/>
  <c r="G37" i="4"/>
  <c r="H37" i="4" s="1"/>
  <c r="I37" i="4" s="1"/>
  <c r="J37" i="4" s="1"/>
  <c r="E38" i="4"/>
  <c r="D40" i="2"/>
  <c r="A41" i="2"/>
  <c r="C40" i="3"/>
  <c r="G38" i="2"/>
  <c r="H38" i="2" s="1"/>
  <c r="I38" i="2" s="1"/>
  <c r="J38" i="2" s="1"/>
  <c r="E39" i="2"/>
  <c r="G38" i="3"/>
  <c r="H38" i="3" s="1"/>
  <c r="I38" i="3" s="1"/>
  <c r="J38" i="3" s="1"/>
  <c r="E39" i="3"/>
  <c r="C170" i="2"/>
  <c r="A39" i="3"/>
  <c r="D38" i="3"/>
  <c r="D38" i="1"/>
  <c r="A39" i="1"/>
  <c r="F38" i="1"/>
  <c r="E39" i="1" s="1"/>
  <c r="G39" i="1" l="1"/>
  <c r="H39" i="1" s="1"/>
  <c r="I39" i="1" s="1"/>
  <c r="J39" i="1" s="1"/>
  <c r="C40" i="1"/>
  <c r="D39" i="3"/>
  <c r="A40" i="3"/>
  <c r="A41" i="4"/>
  <c r="D40" i="4"/>
  <c r="C41" i="3"/>
  <c r="C171" i="2"/>
  <c r="D41" i="2"/>
  <c r="A42" i="2"/>
  <c r="C41" i="4"/>
  <c r="D39" i="1"/>
  <c r="A40" i="1"/>
  <c r="F39" i="1"/>
  <c r="E40" i="1" s="1"/>
  <c r="G39" i="2"/>
  <c r="H39" i="2" s="1"/>
  <c r="I39" i="2" s="1"/>
  <c r="J39" i="2" s="1"/>
  <c r="E40" i="2"/>
  <c r="G39" i="3"/>
  <c r="H39" i="3" s="1"/>
  <c r="I39" i="3" s="1"/>
  <c r="J39" i="3" s="1"/>
  <c r="E40" i="3"/>
  <c r="G38" i="4"/>
  <c r="H38" i="4" s="1"/>
  <c r="I38" i="4" s="1"/>
  <c r="J38" i="4" s="1"/>
  <c r="E39" i="4"/>
  <c r="G40" i="1" l="1"/>
  <c r="H40" i="1" s="1"/>
  <c r="I40" i="1" s="1"/>
  <c r="J40" i="1" s="1"/>
  <c r="G40" i="3"/>
  <c r="H40" i="3" s="1"/>
  <c r="I40" i="3" s="1"/>
  <c r="J40" i="3" s="1"/>
  <c r="E41" i="3"/>
  <c r="C42" i="4"/>
  <c r="A42" i="4"/>
  <c r="D41" i="4"/>
  <c r="A41" i="3"/>
  <c r="D40" i="3"/>
  <c r="G39" i="4"/>
  <c r="H39" i="4" s="1"/>
  <c r="I39" i="4" s="1"/>
  <c r="J39" i="4" s="1"/>
  <c r="E40" i="4"/>
  <c r="C172" i="2"/>
  <c r="C41" i="1"/>
  <c r="D42" i="2"/>
  <c r="A43" i="2"/>
  <c r="G40" i="2"/>
  <c r="H40" i="2" s="1"/>
  <c r="I40" i="2" s="1"/>
  <c r="J40" i="2" s="1"/>
  <c r="E41" i="2"/>
  <c r="A41" i="1"/>
  <c r="F40" i="1"/>
  <c r="E41" i="1" s="1"/>
  <c r="D40" i="1"/>
  <c r="C42" i="3"/>
  <c r="G41" i="1" l="1"/>
  <c r="H41" i="1" s="1"/>
  <c r="A43" i="4"/>
  <c r="D42" i="4"/>
  <c r="D43" i="2"/>
  <c r="A44" i="2"/>
  <c r="C43" i="3"/>
  <c r="A42" i="3"/>
  <c r="D41" i="3"/>
  <c r="C173" i="2"/>
  <c r="I41" i="1"/>
  <c r="J41" i="1" s="1"/>
  <c r="C42" i="1"/>
  <c r="C43" i="4"/>
  <c r="F41" i="1"/>
  <c r="E42" i="1" s="1"/>
  <c r="D41" i="1"/>
  <c r="A42" i="1"/>
  <c r="G41" i="2"/>
  <c r="H41" i="2" s="1"/>
  <c r="I41" i="2" s="1"/>
  <c r="J41" i="2" s="1"/>
  <c r="E42" i="2"/>
  <c r="G40" i="4"/>
  <c r="H40" i="4" s="1"/>
  <c r="I40" i="4" s="1"/>
  <c r="J40" i="4" s="1"/>
  <c r="E41" i="4"/>
  <c r="G41" i="3"/>
  <c r="H41" i="3" s="1"/>
  <c r="I41" i="3" s="1"/>
  <c r="J41" i="3" s="1"/>
  <c r="E42" i="3"/>
  <c r="G42" i="1" l="1"/>
  <c r="H42" i="1" s="1"/>
  <c r="I42" i="1" s="1"/>
  <c r="J42" i="1" s="1"/>
  <c r="C44" i="3"/>
  <c r="G42" i="3"/>
  <c r="H42" i="3" s="1"/>
  <c r="I42" i="3" s="1"/>
  <c r="J42" i="3" s="1"/>
  <c r="E43" i="3"/>
  <c r="A43" i="3"/>
  <c r="D42" i="3"/>
  <c r="G41" i="4"/>
  <c r="H41" i="4" s="1"/>
  <c r="I41" i="4" s="1"/>
  <c r="J41" i="4" s="1"/>
  <c r="E42" i="4"/>
  <c r="C44" i="4"/>
  <c r="C174" i="2"/>
  <c r="F42" i="1"/>
  <c r="E43" i="1" s="1"/>
  <c r="D42" i="1"/>
  <c r="A43" i="1"/>
  <c r="A44" i="4"/>
  <c r="D43" i="4"/>
  <c r="C43" i="1"/>
  <c r="D44" i="2"/>
  <c r="A45" i="2"/>
  <c r="G42" i="2"/>
  <c r="H42" i="2" s="1"/>
  <c r="I42" i="2" s="1"/>
  <c r="J42" i="2" s="1"/>
  <c r="E43" i="2"/>
  <c r="G43" i="1" l="1"/>
  <c r="H43" i="1" s="1"/>
  <c r="I43" i="1" s="1"/>
  <c r="J43" i="1" s="1"/>
  <c r="D45" i="2"/>
  <c r="A46" i="2"/>
  <c r="D43" i="3"/>
  <c r="A44" i="3"/>
  <c r="C175" i="2"/>
  <c r="G43" i="3"/>
  <c r="H43" i="3" s="1"/>
  <c r="I43" i="3" s="1"/>
  <c r="J43" i="3" s="1"/>
  <c r="E44" i="3"/>
  <c r="C44" i="1"/>
  <c r="C45" i="3"/>
  <c r="G43" i="2"/>
  <c r="H43" i="2" s="1"/>
  <c r="I43" i="2" s="1"/>
  <c r="J43" i="2" s="1"/>
  <c r="E44" i="2"/>
  <c r="F43" i="1"/>
  <c r="E44" i="1" s="1"/>
  <c r="D43" i="1"/>
  <c r="A44" i="1"/>
  <c r="C45" i="4"/>
  <c r="D44" i="4"/>
  <c r="A45" i="4"/>
  <c r="G42" i="4"/>
  <c r="H42" i="4" s="1"/>
  <c r="I42" i="4" s="1"/>
  <c r="J42" i="4" s="1"/>
  <c r="E43" i="4"/>
  <c r="G44" i="1" l="1"/>
  <c r="H44" i="1" s="1"/>
  <c r="G44" i="2"/>
  <c r="H44" i="2" s="1"/>
  <c r="I44" i="2" s="1"/>
  <c r="J44" i="2" s="1"/>
  <c r="E45" i="2"/>
  <c r="C176" i="2"/>
  <c r="D45" i="4"/>
  <c r="A46" i="4"/>
  <c r="C46" i="3"/>
  <c r="A45" i="3"/>
  <c r="D44" i="3"/>
  <c r="G43" i="4"/>
  <c r="H43" i="4" s="1"/>
  <c r="I43" i="4" s="1"/>
  <c r="J43" i="4" s="1"/>
  <c r="E44" i="4"/>
  <c r="C46" i="4"/>
  <c r="D46" i="2"/>
  <c r="A47" i="2"/>
  <c r="F44" i="1"/>
  <c r="E45" i="1" s="1"/>
  <c r="D44" i="1"/>
  <c r="A45" i="1"/>
  <c r="C45" i="1"/>
  <c r="I44" i="1"/>
  <c r="J44" i="1" s="1"/>
  <c r="G44" i="3"/>
  <c r="H44" i="3" s="1"/>
  <c r="I44" i="3" s="1"/>
  <c r="J44" i="3" s="1"/>
  <c r="E45" i="3"/>
  <c r="G45" i="1" l="1"/>
  <c r="H45" i="1" s="1"/>
  <c r="I45" i="1" s="1"/>
  <c r="J45" i="1" s="1"/>
  <c r="G45" i="3"/>
  <c r="H45" i="3" s="1"/>
  <c r="I45" i="3" s="1"/>
  <c r="J45" i="3" s="1"/>
  <c r="E46" i="3"/>
  <c r="C46" i="1"/>
  <c r="G44" i="4"/>
  <c r="H44" i="4" s="1"/>
  <c r="I44" i="4" s="1"/>
  <c r="J44" i="4" s="1"/>
  <c r="E45" i="4"/>
  <c r="C177" i="2"/>
  <c r="D46" i="4"/>
  <c r="A47" i="4"/>
  <c r="C47" i="4"/>
  <c r="F45" i="1"/>
  <c r="E46" i="1" s="1"/>
  <c r="D45" i="1"/>
  <c r="A46" i="1"/>
  <c r="G45" i="2"/>
  <c r="H45" i="2" s="1"/>
  <c r="I45" i="2" s="1"/>
  <c r="J45" i="2" s="1"/>
  <c r="E46" i="2"/>
  <c r="A46" i="3"/>
  <c r="D45" i="3"/>
  <c r="D47" i="2"/>
  <c r="A48" i="2"/>
  <c r="C47" i="3"/>
  <c r="G46" i="1" l="1"/>
  <c r="H46" i="1" s="1"/>
  <c r="I46" i="1" s="1"/>
  <c r="J46" i="1" s="1"/>
  <c r="C48" i="4"/>
  <c r="C47" i="1"/>
  <c r="A47" i="3"/>
  <c r="D46" i="3"/>
  <c r="D47" i="4"/>
  <c r="A48" i="4"/>
  <c r="G46" i="3"/>
  <c r="H46" i="3" s="1"/>
  <c r="I46" i="3" s="1"/>
  <c r="J46" i="3" s="1"/>
  <c r="E47" i="3"/>
  <c r="G45" i="4"/>
  <c r="H45" i="4" s="1"/>
  <c r="I45" i="4" s="1"/>
  <c r="J45" i="4" s="1"/>
  <c r="E46" i="4"/>
  <c r="D48" i="2"/>
  <c r="A49" i="2"/>
  <c r="G46" i="2"/>
  <c r="H46" i="2" s="1"/>
  <c r="I46" i="2" s="1"/>
  <c r="J46" i="2" s="1"/>
  <c r="E47" i="2"/>
  <c r="C178" i="2"/>
  <c r="C48" i="3"/>
  <c r="D46" i="1"/>
  <c r="A47" i="1"/>
  <c r="F46" i="1"/>
  <c r="E47" i="1" s="1"/>
  <c r="G47" i="1" l="1"/>
  <c r="H47" i="1" s="1"/>
  <c r="I47" i="1" s="1"/>
  <c r="J47" i="1" s="1"/>
  <c r="D47" i="3"/>
  <c r="A48" i="3"/>
  <c r="D47" i="1"/>
  <c r="A48" i="1"/>
  <c r="F47" i="1"/>
  <c r="E48" i="1" s="1"/>
  <c r="D49" i="2"/>
  <c r="A50" i="2"/>
  <c r="G46" i="4"/>
  <c r="H46" i="4" s="1"/>
  <c r="I46" i="4" s="1"/>
  <c r="J46" i="4" s="1"/>
  <c r="E47" i="4"/>
  <c r="C48" i="1"/>
  <c r="C49" i="3"/>
  <c r="C179" i="2"/>
  <c r="G47" i="3"/>
  <c r="H47" i="3" s="1"/>
  <c r="I47" i="3" s="1"/>
  <c r="J47" i="3" s="1"/>
  <c r="E48" i="3"/>
  <c r="C49" i="4"/>
  <c r="G47" i="2"/>
  <c r="H47" i="2" s="1"/>
  <c r="I47" i="2" s="1"/>
  <c r="J47" i="2" s="1"/>
  <c r="E48" i="2"/>
  <c r="D48" i="4"/>
  <c r="A49" i="4"/>
  <c r="G48" i="1" l="1"/>
  <c r="H48" i="1" s="1"/>
  <c r="I48" i="1" s="1"/>
  <c r="J48" i="1" s="1"/>
  <c r="G48" i="2"/>
  <c r="H48" i="2" s="1"/>
  <c r="I48" i="2" s="1"/>
  <c r="J48" i="2" s="1"/>
  <c r="E49" i="2"/>
  <c r="C50" i="3"/>
  <c r="A49" i="1"/>
  <c r="F48" i="1"/>
  <c r="E49" i="1" s="1"/>
  <c r="D48" i="1"/>
  <c r="D49" i="4"/>
  <c r="A50" i="4"/>
  <c r="C50" i="4"/>
  <c r="C49" i="1"/>
  <c r="A49" i="3"/>
  <c r="D48" i="3"/>
  <c r="C180" i="2"/>
  <c r="D50" i="2"/>
  <c r="A51" i="2"/>
  <c r="G48" i="3"/>
  <c r="H48" i="3" s="1"/>
  <c r="I48" i="3" s="1"/>
  <c r="J48" i="3" s="1"/>
  <c r="E49" i="3"/>
  <c r="G47" i="4"/>
  <c r="H47" i="4" s="1"/>
  <c r="I47" i="4" s="1"/>
  <c r="J47" i="4" s="1"/>
  <c r="E48" i="4"/>
  <c r="G49" i="1" l="1"/>
  <c r="H49" i="1" s="1"/>
  <c r="I49" i="1" s="1"/>
  <c r="J49" i="1" s="1"/>
  <c r="A50" i="3"/>
  <c r="D49" i="3"/>
  <c r="G49" i="3"/>
  <c r="H49" i="3" s="1"/>
  <c r="I49" i="3" s="1"/>
  <c r="J49" i="3" s="1"/>
  <c r="E50" i="3"/>
  <c r="C50" i="1"/>
  <c r="F49" i="1"/>
  <c r="E50" i="1" s="1"/>
  <c r="D49" i="1"/>
  <c r="A50" i="1"/>
  <c r="C51" i="3"/>
  <c r="D51" i="2"/>
  <c r="A52" i="2"/>
  <c r="C51" i="4"/>
  <c r="G49" i="2"/>
  <c r="H49" i="2" s="1"/>
  <c r="I49" i="2" s="1"/>
  <c r="J49" i="2" s="1"/>
  <c r="E50" i="2"/>
  <c r="G48" i="4"/>
  <c r="H48" i="4" s="1"/>
  <c r="I48" i="4" s="1"/>
  <c r="J48" i="4" s="1"/>
  <c r="E49" i="4"/>
  <c r="C181" i="2"/>
  <c r="D50" i="4"/>
  <c r="A51" i="4"/>
  <c r="G50" i="1" l="1"/>
  <c r="H50" i="1" s="1"/>
  <c r="I50" i="1" s="1"/>
  <c r="J50" i="1" s="1"/>
  <c r="C52" i="4"/>
  <c r="C51" i="1"/>
  <c r="D51" i="4"/>
  <c r="A52" i="4"/>
  <c r="C182" i="2"/>
  <c r="D52" i="2"/>
  <c r="A53" i="2"/>
  <c r="G50" i="3"/>
  <c r="H50" i="3" s="1"/>
  <c r="I50" i="3" s="1"/>
  <c r="J50" i="3" s="1"/>
  <c r="E51" i="3"/>
  <c r="G49" i="4"/>
  <c r="H49" i="4" s="1"/>
  <c r="I49" i="4" s="1"/>
  <c r="J49" i="4" s="1"/>
  <c r="E50" i="4"/>
  <c r="C52" i="3"/>
  <c r="G50" i="2"/>
  <c r="H50" i="2" s="1"/>
  <c r="I50" i="2" s="1"/>
  <c r="J50" i="2" s="1"/>
  <c r="E51" i="2"/>
  <c r="F50" i="1"/>
  <c r="E51" i="1" s="1"/>
  <c r="D50" i="1"/>
  <c r="A51" i="1"/>
  <c r="A51" i="3"/>
  <c r="D50" i="3"/>
  <c r="G51" i="1" l="1"/>
  <c r="H51" i="1" s="1"/>
  <c r="I51" i="1" s="1"/>
  <c r="J51" i="1" s="1"/>
  <c r="D51" i="3"/>
  <c r="A52" i="3"/>
  <c r="G50" i="4"/>
  <c r="H50" i="4" s="1"/>
  <c r="I50" i="4" s="1"/>
  <c r="J50" i="4" s="1"/>
  <c r="E51" i="4"/>
  <c r="D52" i="4"/>
  <c r="A53" i="4"/>
  <c r="F51" i="1"/>
  <c r="E52" i="1" s="1"/>
  <c r="D51" i="1"/>
  <c r="A52" i="1"/>
  <c r="G51" i="3"/>
  <c r="H51" i="3" s="1"/>
  <c r="I51" i="3" s="1"/>
  <c r="J51" i="3" s="1"/>
  <c r="E52" i="3"/>
  <c r="C52" i="1"/>
  <c r="G51" i="2"/>
  <c r="H51" i="2" s="1"/>
  <c r="I51" i="2" s="1"/>
  <c r="J51" i="2" s="1"/>
  <c r="E52" i="2"/>
  <c r="D53" i="2"/>
  <c r="A54" i="2"/>
  <c r="C53" i="4"/>
  <c r="C53" i="3"/>
  <c r="C183" i="2"/>
  <c r="G52" i="1" l="1"/>
  <c r="H52" i="1" s="1"/>
  <c r="E53" i="1"/>
  <c r="F52" i="1"/>
  <c r="D52" i="1"/>
  <c r="A53" i="1"/>
  <c r="D53" i="4"/>
  <c r="A54" i="4"/>
  <c r="G52" i="3"/>
  <c r="H52" i="3" s="1"/>
  <c r="I52" i="3" s="1"/>
  <c r="J52" i="3" s="1"/>
  <c r="E53" i="3"/>
  <c r="C184" i="2"/>
  <c r="G52" i="2"/>
  <c r="H52" i="2" s="1"/>
  <c r="I52" i="2" s="1"/>
  <c r="J52" i="2" s="1"/>
  <c r="E53" i="2"/>
  <c r="C54" i="3"/>
  <c r="C53" i="1"/>
  <c r="I52" i="1"/>
  <c r="J52" i="1" s="1"/>
  <c r="G51" i="4"/>
  <c r="H51" i="4" s="1"/>
  <c r="I51" i="4" s="1"/>
  <c r="J51" i="4" s="1"/>
  <c r="E52" i="4"/>
  <c r="C54" i="4"/>
  <c r="A53" i="3"/>
  <c r="D52" i="3"/>
  <c r="D54" i="2"/>
  <c r="A55" i="2"/>
  <c r="D55" i="2" l="1"/>
  <c r="A56" i="2"/>
  <c r="C54" i="1"/>
  <c r="C55" i="3"/>
  <c r="D54" i="4"/>
  <c r="A55" i="4"/>
  <c r="A54" i="3"/>
  <c r="D53" i="3"/>
  <c r="G53" i="2"/>
  <c r="H53" i="2" s="1"/>
  <c r="I53" i="2" s="1"/>
  <c r="J53" i="2" s="1"/>
  <c r="E54" i="2"/>
  <c r="F53" i="1"/>
  <c r="E54" i="1" s="1"/>
  <c r="D53" i="1"/>
  <c r="A54" i="1"/>
  <c r="C55" i="4"/>
  <c r="G52" i="4"/>
  <c r="H52" i="4" s="1"/>
  <c r="I52" i="4" s="1"/>
  <c r="J52" i="4" s="1"/>
  <c r="E53" i="4"/>
  <c r="C185" i="2"/>
  <c r="G53" i="1"/>
  <c r="H53" i="1" s="1"/>
  <c r="I53" i="1" s="1"/>
  <c r="J53" i="1" s="1"/>
  <c r="G53" i="3"/>
  <c r="H53" i="3" s="1"/>
  <c r="I53" i="3" s="1"/>
  <c r="J53" i="3" s="1"/>
  <c r="E54" i="3"/>
  <c r="G54" i="1" l="1"/>
  <c r="H54" i="1" s="1"/>
  <c r="I54" i="1" s="1"/>
  <c r="J54" i="1" s="1"/>
  <c r="C56" i="3"/>
  <c r="C56" i="4"/>
  <c r="D55" i="4"/>
  <c r="A56" i="4"/>
  <c r="D54" i="1"/>
  <c r="A55" i="1"/>
  <c r="F54" i="1"/>
  <c r="E55" i="1" s="1"/>
  <c r="C186" i="2"/>
  <c r="G54" i="2"/>
  <c r="H54" i="2" s="1"/>
  <c r="I54" i="2" s="1"/>
  <c r="J54" i="2" s="1"/>
  <c r="E55" i="2"/>
  <c r="G53" i="4"/>
  <c r="H53" i="4" s="1"/>
  <c r="I53" i="4" s="1"/>
  <c r="J53" i="4" s="1"/>
  <c r="E54" i="4"/>
  <c r="C55" i="1"/>
  <c r="D56" i="2"/>
  <c r="A57" i="2"/>
  <c r="G54" i="3"/>
  <c r="H54" i="3" s="1"/>
  <c r="I54" i="3" s="1"/>
  <c r="J54" i="3" s="1"/>
  <c r="E55" i="3"/>
  <c r="A55" i="3"/>
  <c r="D54" i="3"/>
  <c r="G55" i="1" l="1"/>
  <c r="H55" i="1" s="1"/>
  <c r="I55" i="1" s="1"/>
  <c r="J55" i="1" s="1"/>
  <c r="D55" i="3"/>
  <c r="A56" i="3"/>
  <c r="D56" i="4"/>
  <c r="A57" i="4"/>
  <c r="G54" i="4"/>
  <c r="H54" i="4" s="1"/>
  <c r="I54" i="4" s="1"/>
  <c r="J54" i="4" s="1"/>
  <c r="E55" i="4"/>
  <c r="G55" i="3"/>
  <c r="H55" i="3" s="1"/>
  <c r="I55" i="3" s="1"/>
  <c r="J55" i="3" s="1"/>
  <c r="E56" i="3"/>
  <c r="G55" i="2"/>
  <c r="H55" i="2" s="1"/>
  <c r="I55" i="2" s="1"/>
  <c r="J55" i="2" s="1"/>
  <c r="E56" i="2"/>
  <c r="C187" i="2"/>
  <c r="D57" i="2"/>
  <c r="A58" i="2"/>
  <c r="C57" i="4"/>
  <c r="C57" i="3"/>
  <c r="C56" i="1"/>
  <c r="D55" i="1"/>
  <c r="A56" i="1"/>
  <c r="F55" i="1"/>
  <c r="E56" i="1" s="1"/>
  <c r="G56" i="1" l="1"/>
  <c r="H56" i="1" s="1"/>
  <c r="I56" i="1" s="1"/>
  <c r="J56" i="1" s="1"/>
  <c r="A57" i="1"/>
  <c r="F56" i="1"/>
  <c r="E57" i="1" s="1"/>
  <c r="D56" i="1"/>
  <c r="D58" i="2"/>
  <c r="A59" i="2"/>
  <c r="G55" i="4"/>
  <c r="H55" i="4" s="1"/>
  <c r="I55" i="4" s="1"/>
  <c r="J55" i="4" s="1"/>
  <c r="E56" i="4"/>
  <c r="C188" i="2"/>
  <c r="D57" i="4"/>
  <c r="A58" i="4"/>
  <c r="C57" i="1"/>
  <c r="C58" i="3"/>
  <c r="G56" i="2"/>
  <c r="H56" i="2" s="1"/>
  <c r="I56" i="2" s="1"/>
  <c r="J56" i="2" s="1"/>
  <c r="E57" i="2"/>
  <c r="A57" i="3"/>
  <c r="D56" i="3"/>
  <c r="C58" i="4"/>
  <c r="G56" i="3"/>
  <c r="H56" i="3" s="1"/>
  <c r="I56" i="3" s="1"/>
  <c r="J56" i="3" s="1"/>
  <c r="E57" i="3"/>
  <c r="G57" i="1" l="1"/>
  <c r="H57" i="1" s="1"/>
  <c r="I57" i="1" s="1"/>
  <c r="J57" i="1" s="1"/>
  <c r="G57" i="3"/>
  <c r="H57" i="3" s="1"/>
  <c r="I57" i="3" s="1"/>
  <c r="J57" i="3" s="1"/>
  <c r="E58" i="3"/>
  <c r="C58" i="1"/>
  <c r="D59" i="2"/>
  <c r="A60" i="2"/>
  <c r="G56" i="4"/>
  <c r="H56" i="4" s="1"/>
  <c r="I56" i="4" s="1"/>
  <c r="J56" i="4" s="1"/>
  <c r="E57" i="4"/>
  <c r="D58" i="4"/>
  <c r="A59" i="4"/>
  <c r="A58" i="3"/>
  <c r="D57" i="3"/>
  <c r="G57" i="2"/>
  <c r="H57" i="2" s="1"/>
  <c r="I57" i="2" s="1"/>
  <c r="J57" i="2" s="1"/>
  <c r="E58" i="2"/>
  <c r="C189" i="2"/>
  <c r="F57" i="1"/>
  <c r="E58" i="1" s="1"/>
  <c r="D57" i="1"/>
  <c r="A58" i="1"/>
  <c r="C59" i="3"/>
  <c r="C59" i="4"/>
  <c r="G58" i="1" l="1"/>
  <c r="H58" i="1" s="1"/>
  <c r="I58" i="1" s="1"/>
  <c r="J58" i="1" s="1"/>
  <c r="G58" i="2"/>
  <c r="H58" i="2" s="1"/>
  <c r="I58" i="2" s="1"/>
  <c r="J58" i="2" s="1"/>
  <c r="E59" i="2"/>
  <c r="C59" i="1"/>
  <c r="C60" i="4"/>
  <c r="C60" i="3"/>
  <c r="F58" i="1"/>
  <c r="E59" i="1" s="1"/>
  <c r="D58" i="1"/>
  <c r="A59" i="1"/>
  <c r="D59" i="4"/>
  <c r="A60" i="4"/>
  <c r="G58" i="3"/>
  <c r="H58" i="3" s="1"/>
  <c r="I58" i="3" s="1"/>
  <c r="J58" i="3" s="1"/>
  <c r="E59" i="3"/>
  <c r="D60" i="2"/>
  <c r="A61" i="2"/>
  <c r="A59" i="3"/>
  <c r="D58" i="3"/>
  <c r="C190" i="2"/>
  <c r="G57" i="4"/>
  <c r="H57" i="4" s="1"/>
  <c r="I57" i="4" s="1"/>
  <c r="J57" i="4" s="1"/>
  <c r="E58" i="4"/>
  <c r="G59" i="1" l="1"/>
  <c r="H59" i="1" s="1"/>
  <c r="I59" i="1" s="1"/>
  <c r="J59" i="1" s="1"/>
  <c r="G59" i="3"/>
  <c r="H59" i="3" s="1"/>
  <c r="I59" i="3" s="1"/>
  <c r="J59" i="3" s="1"/>
  <c r="E60" i="3"/>
  <c r="C191" i="2"/>
  <c r="D60" i="4"/>
  <c r="A61" i="4"/>
  <c r="C61" i="4"/>
  <c r="C60" i="1"/>
  <c r="F59" i="1"/>
  <c r="E60" i="1" s="1"/>
  <c r="D59" i="1"/>
  <c r="A60" i="1"/>
  <c r="G59" i="2"/>
  <c r="H59" i="2" s="1"/>
  <c r="I59" i="2" s="1"/>
  <c r="J59" i="2" s="1"/>
  <c r="E60" i="2"/>
  <c r="D61" i="2"/>
  <c r="A62" i="2"/>
  <c r="G58" i="4"/>
  <c r="H58" i="4" s="1"/>
  <c r="I58" i="4" s="1"/>
  <c r="J58" i="4" s="1"/>
  <c r="E59" i="4"/>
  <c r="D59" i="3"/>
  <c r="A60" i="3"/>
  <c r="C61" i="3"/>
  <c r="G60" i="1" l="1"/>
  <c r="H60" i="1" s="1"/>
  <c r="I60" i="1" s="1"/>
  <c r="J60" i="1" s="1"/>
  <c r="D61" i="4"/>
  <c r="A62" i="4"/>
  <c r="C62" i="3"/>
  <c r="F60" i="1"/>
  <c r="E61" i="1" s="1"/>
  <c r="D60" i="1"/>
  <c r="A61" i="1"/>
  <c r="C192" i="2"/>
  <c r="G59" i="4"/>
  <c r="H59" i="4" s="1"/>
  <c r="I59" i="4" s="1"/>
  <c r="J59" i="4" s="1"/>
  <c r="E60" i="4"/>
  <c r="G60" i="3"/>
  <c r="H60" i="3" s="1"/>
  <c r="I60" i="3" s="1"/>
  <c r="J60" i="3" s="1"/>
  <c r="E61" i="3"/>
  <c r="G60" i="2"/>
  <c r="H60" i="2" s="1"/>
  <c r="I60" i="2" s="1"/>
  <c r="J60" i="2" s="1"/>
  <c r="E61" i="2"/>
  <c r="A61" i="3"/>
  <c r="D60" i="3"/>
  <c r="D62" i="2"/>
  <c r="A63" i="2"/>
  <c r="C61" i="1"/>
  <c r="C62" i="4"/>
  <c r="G61" i="1" l="1"/>
  <c r="H61" i="1" s="1"/>
  <c r="I61" i="1" s="1"/>
  <c r="J61" i="1" s="1"/>
  <c r="G61" i="3"/>
  <c r="H61" i="3" s="1"/>
  <c r="I61" i="3" s="1"/>
  <c r="J61" i="3" s="1"/>
  <c r="E62" i="3"/>
  <c r="C63" i="3"/>
  <c r="G61" i="2"/>
  <c r="H61" i="2" s="1"/>
  <c r="I61" i="2" s="1"/>
  <c r="J61" i="2" s="1"/>
  <c r="E62" i="2"/>
  <c r="F61" i="1"/>
  <c r="E62" i="1" s="1"/>
  <c r="D61" i="1"/>
  <c r="A62" i="1"/>
  <c r="C63" i="4"/>
  <c r="C62" i="1"/>
  <c r="D63" i="2"/>
  <c r="A64" i="2"/>
  <c r="G60" i="4"/>
  <c r="H60" i="4" s="1"/>
  <c r="I60" i="4" s="1"/>
  <c r="J60" i="4" s="1"/>
  <c r="E61" i="4"/>
  <c r="D62" i="4"/>
  <c r="A63" i="4"/>
  <c r="C193" i="2"/>
  <c r="A62" i="3"/>
  <c r="D61" i="3"/>
  <c r="G62" i="1" l="1"/>
  <c r="H62" i="1" s="1"/>
  <c r="I62" i="1" s="1"/>
  <c r="J62" i="1" s="1"/>
  <c r="A63" i="3"/>
  <c r="D62" i="3"/>
  <c r="G62" i="2"/>
  <c r="H62" i="2" s="1"/>
  <c r="I62" i="2" s="1"/>
  <c r="J62" i="2" s="1"/>
  <c r="E63" i="2"/>
  <c r="C63" i="1"/>
  <c r="C64" i="3"/>
  <c r="C194" i="2"/>
  <c r="D63" i="4"/>
  <c r="A64" i="4"/>
  <c r="C64" i="4"/>
  <c r="G62" i="3"/>
  <c r="H62" i="3" s="1"/>
  <c r="I62" i="3" s="1"/>
  <c r="J62" i="3" s="1"/>
  <c r="E63" i="3"/>
  <c r="G61" i="4"/>
  <c r="H61" i="4" s="1"/>
  <c r="I61" i="4" s="1"/>
  <c r="J61" i="4" s="1"/>
  <c r="E62" i="4"/>
  <c r="D62" i="1"/>
  <c r="A63" i="1"/>
  <c r="F62" i="1"/>
  <c r="E63" i="1" s="1"/>
  <c r="D64" i="2"/>
  <c r="A65" i="2"/>
  <c r="G63" i="1" l="1"/>
  <c r="H63" i="1" s="1"/>
  <c r="I63" i="1" s="1"/>
  <c r="J63" i="1" s="1"/>
  <c r="C65" i="4"/>
  <c r="C64" i="1"/>
  <c r="D63" i="1"/>
  <c r="A64" i="1"/>
  <c r="F63" i="1"/>
  <c r="E64" i="1" s="1"/>
  <c r="D64" i="4"/>
  <c r="A65" i="4"/>
  <c r="G63" i="2"/>
  <c r="H63" i="2" s="1"/>
  <c r="I63" i="2" s="1"/>
  <c r="J63" i="2" s="1"/>
  <c r="E64" i="2"/>
  <c r="D63" i="3"/>
  <c r="A64" i="3"/>
  <c r="G62" i="4"/>
  <c r="H62" i="4" s="1"/>
  <c r="I62" i="4" s="1"/>
  <c r="J62" i="4" s="1"/>
  <c r="E63" i="4"/>
  <c r="C195" i="2"/>
  <c r="G63" i="3"/>
  <c r="H63" i="3" s="1"/>
  <c r="I63" i="3" s="1"/>
  <c r="J63" i="3" s="1"/>
  <c r="E64" i="3"/>
  <c r="C65" i="3"/>
  <c r="D65" i="2"/>
  <c r="A66" i="2"/>
  <c r="G64" i="1" l="1"/>
  <c r="H64" i="1" s="1"/>
  <c r="I64" i="1" s="1"/>
  <c r="J64" i="1" s="1"/>
  <c r="A65" i="1"/>
  <c r="F64" i="1"/>
  <c r="E65" i="1" s="1"/>
  <c r="D64" i="1"/>
  <c r="A65" i="3"/>
  <c r="D64" i="3"/>
  <c r="G64" i="3"/>
  <c r="H64" i="3" s="1"/>
  <c r="I64" i="3" s="1"/>
  <c r="J64" i="3" s="1"/>
  <c r="E65" i="3"/>
  <c r="G64" i="2"/>
  <c r="H64" i="2" s="1"/>
  <c r="I64" i="2" s="1"/>
  <c r="J64" i="2" s="1"/>
  <c r="E65" i="2"/>
  <c r="C65" i="1"/>
  <c r="C196" i="2"/>
  <c r="D65" i="4"/>
  <c r="A66" i="4"/>
  <c r="C66" i="4"/>
  <c r="C66" i="3"/>
  <c r="D66" i="2"/>
  <c r="A67" i="2"/>
  <c r="G63" i="4"/>
  <c r="H63" i="4" s="1"/>
  <c r="I63" i="4" s="1"/>
  <c r="J63" i="4" s="1"/>
  <c r="E64" i="4"/>
  <c r="G65" i="1" l="1"/>
  <c r="H65" i="1" s="1"/>
  <c r="I65" i="1" s="1"/>
  <c r="J65" i="1" s="1"/>
  <c r="A66" i="3"/>
  <c r="D65" i="3"/>
  <c r="C197" i="2"/>
  <c r="C66" i="1"/>
  <c r="D67" i="2"/>
  <c r="A68" i="2"/>
  <c r="C67" i="3"/>
  <c r="G65" i="2"/>
  <c r="H65" i="2" s="1"/>
  <c r="I65" i="2" s="1"/>
  <c r="J65" i="2" s="1"/>
  <c r="E66" i="2"/>
  <c r="F65" i="1"/>
  <c r="E66" i="1" s="1"/>
  <c r="D65" i="1"/>
  <c r="A66" i="1"/>
  <c r="C67" i="4"/>
  <c r="G64" i="4"/>
  <c r="H64" i="4" s="1"/>
  <c r="I64" i="4" s="1"/>
  <c r="J64" i="4" s="1"/>
  <c r="E65" i="4"/>
  <c r="D66" i="4"/>
  <c r="A67" i="4"/>
  <c r="G65" i="3"/>
  <c r="H65" i="3" s="1"/>
  <c r="I65" i="3" s="1"/>
  <c r="J65" i="3" s="1"/>
  <c r="E66" i="3"/>
  <c r="G66" i="1" l="1"/>
  <c r="H66" i="1" s="1"/>
  <c r="I66" i="1" s="1"/>
  <c r="J66" i="1" s="1"/>
  <c r="D67" i="4"/>
  <c r="A68" i="4"/>
  <c r="C67" i="1"/>
  <c r="G66" i="2"/>
  <c r="H66" i="2" s="1"/>
  <c r="I66" i="2" s="1"/>
  <c r="J66" i="2" s="1"/>
  <c r="E67" i="2"/>
  <c r="C198" i="2"/>
  <c r="G66" i="3"/>
  <c r="H66" i="3" s="1"/>
  <c r="I66" i="3" s="1"/>
  <c r="J66" i="3" s="1"/>
  <c r="E67" i="3"/>
  <c r="F66" i="1"/>
  <c r="E67" i="1" s="1"/>
  <c r="D66" i="1"/>
  <c r="A67" i="1"/>
  <c r="A67" i="3"/>
  <c r="D66" i="3"/>
  <c r="G65" i="4"/>
  <c r="H65" i="4" s="1"/>
  <c r="I65" i="4" s="1"/>
  <c r="J65" i="4" s="1"/>
  <c r="E66" i="4"/>
  <c r="C68" i="3"/>
  <c r="C68" i="4"/>
  <c r="D68" i="2"/>
  <c r="A69" i="2"/>
  <c r="G67" i="1" l="1"/>
  <c r="H67" i="1" s="1"/>
  <c r="I67" i="1" s="1"/>
  <c r="J67" i="1" s="1"/>
  <c r="C68" i="1"/>
  <c r="F67" i="1"/>
  <c r="E68" i="1" s="1"/>
  <c r="D67" i="1"/>
  <c r="A68" i="1"/>
  <c r="C69" i="3"/>
  <c r="D67" i="3"/>
  <c r="A68" i="3"/>
  <c r="G67" i="2"/>
  <c r="H67" i="2" s="1"/>
  <c r="I67" i="2" s="1"/>
  <c r="J67" i="2" s="1"/>
  <c r="E68" i="2"/>
  <c r="C69" i="4"/>
  <c r="G67" i="3"/>
  <c r="H67" i="3" s="1"/>
  <c r="I67" i="3" s="1"/>
  <c r="J67" i="3" s="1"/>
  <c r="E68" i="3"/>
  <c r="D68" i="4"/>
  <c r="A69" i="4"/>
  <c r="G66" i="4"/>
  <c r="H66" i="4" s="1"/>
  <c r="I66" i="4" s="1"/>
  <c r="J66" i="4" s="1"/>
  <c r="E67" i="4"/>
  <c r="C199" i="2"/>
  <c r="D69" i="2"/>
  <c r="A70" i="2"/>
  <c r="G68" i="1" l="1"/>
  <c r="H68" i="1" s="1"/>
  <c r="I68" i="1" s="1"/>
  <c r="J68" i="1" s="1"/>
  <c r="C200" i="2"/>
  <c r="F68" i="1"/>
  <c r="E69" i="1" s="1"/>
  <c r="D68" i="1"/>
  <c r="A69" i="1"/>
  <c r="C70" i="4"/>
  <c r="G67" i="4"/>
  <c r="H67" i="4" s="1"/>
  <c r="I67" i="4" s="1"/>
  <c r="J67" i="4" s="1"/>
  <c r="E68" i="4"/>
  <c r="G68" i="2"/>
  <c r="H68" i="2" s="1"/>
  <c r="I68" i="2" s="1"/>
  <c r="J68" i="2" s="1"/>
  <c r="E69" i="2"/>
  <c r="D69" i="4"/>
  <c r="A70" i="4"/>
  <c r="A69" i="3"/>
  <c r="D68" i="3"/>
  <c r="C69" i="1"/>
  <c r="D70" i="2"/>
  <c r="A71" i="2"/>
  <c r="G68" i="3"/>
  <c r="H68" i="3" s="1"/>
  <c r="I68" i="3" s="1"/>
  <c r="J68" i="3" s="1"/>
  <c r="E69" i="3"/>
  <c r="C70" i="3"/>
  <c r="G69" i="1" l="1"/>
  <c r="H69" i="1" s="1"/>
  <c r="I69" i="1" s="1"/>
  <c r="J69" i="1" s="1"/>
  <c r="A70" i="3"/>
  <c r="D69" i="3"/>
  <c r="C71" i="4"/>
  <c r="G69" i="3"/>
  <c r="H69" i="3" s="1"/>
  <c r="I69" i="3" s="1"/>
  <c r="J69" i="3" s="1"/>
  <c r="E70" i="3"/>
  <c r="D70" i="4"/>
  <c r="A71" i="4"/>
  <c r="F69" i="1"/>
  <c r="E70" i="1" s="1"/>
  <c r="D69" i="1"/>
  <c r="A70" i="1"/>
  <c r="D71" i="2"/>
  <c r="A72" i="2"/>
  <c r="G69" i="2"/>
  <c r="H69" i="2" s="1"/>
  <c r="I69" i="2" s="1"/>
  <c r="J69" i="2" s="1"/>
  <c r="E70" i="2"/>
  <c r="C201" i="2"/>
  <c r="G68" i="4"/>
  <c r="H68" i="4" s="1"/>
  <c r="I68" i="4" s="1"/>
  <c r="J68" i="4" s="1"/>
  <c r="E69" i="4"/>
  <c r="C70" i="1"/>
  <c r="C71" i="3"/>
  <c r="G70" i="1" l="1"/>
  <c r="H70" i="1" s="1"/>
  <c r="I70" i="1" s="1"/>
  <c r="J70" i="1" s="1"/>
  <c r="G70" i="3"/>
  <c r="H70" i="3" s="1"/>
  <c r="I70" i="3" s="1"/>
  <c r="J70" i="3" s="1"/>
  <c r="E71" i="3"/>
  <c r="D72" i="2"/>
  <c r="A73" i="2"/>
  <c r="C71" i="1"/>
  <c r="G69" i="4"/>
  <c r="H69" i="4" s="1"/>
  <c r="I69" i="4" s="1"/>
  <c r="J69" i="4" s="1"/>
  <c r="E70" i="4"/>
  <c r="D70" i="1"/>
  <c r="A71" i="1"/>
  <c r="F70" i="1"/>
  <c r="E71" i="1" s="1"/>
  <c r="C72" i="4"/>
  <c r="C202" i="2"/>
  <c r="A71" i="3"/>
  <c r="D70" i="3"/>
  <c r="D71" i="4"/>
  <c r="A72" i="4"/>
  <c r="C72" i="3"/>
  <c r="G70" i="2"/>
  <c r="H70" i="2" s="1"/>
  <c r="I70" i="2" s="1"/>
  <c r="J70" i="2" s="1"/>
  <c r="E71" i="2"/>
  <c r="G71" i="1" l="1"/>
  <c r="H71" i="1" s="1"/>
  <c r="I71" i="1" s="1"/>
  <c r="J71" i="1" s="1"/>
  <c r="C73" i="3"/>
  <c r="C72" i="1"/>
  <c r="C73" i="4"/>
  <c r="D73" i="2"/>
  <c r="A74" i="2"/>
  <c r="D72" i="4"/>
  <c r="A73" i="4"/>
  <c r="D71" i="1"/>
  <c r="A72" i="1"/>
  <c r="F71" i="1"/>
  <c r="E72" i="1" s="1"/>
  <c r="G71" i="3"/>
  <c r="H71" i="3" s="1"/>
  <c r="I71" i="3" s="1"/>
  <c r="J71" i="3" s="1"/>
  <c r="E72" i="3"/>
  <c r="D71" i="3"/>
  <c r="A72" i="3"/>
  <c r="G70" i="4"/>
  <c r="H70" i="4" s="1"/>
  <c r="I70" i="4" s="1"/>
  <c r="J70" i="4" s="1"/>
  <c r="E71" i="4"/>
  <c r="G71" i="2"/>
  <c r="H71" i="2" s="1"/>
  <c r="I71" i="2" s="1"/>
  <c r="J71" i="2" s="1"/>
  <c r="E72" i="2"/>
  <c r="C203" i="2"/>
  <c r="G72" i="1" l="1"/>
  <c r="H72" i="1" s="1"/>
  <c r="I72" i="1" s="1"/>
  <c r="J72" i="1" s="1"/>
  <c r="G72" i="2"/>
  <c r="H72" i="2" s="1"/>
  <c r="I72" i="2" s="1"/>
  <c r="J72" i="2" s="1"/>
  <c r="E73" i="2"/>
  <c r="C74" i="4"/>
  <c r="A73" i="1"/>
  <c r="F72" i="1"/>
  <c r="E73" i="1" s="1"/>
  <c r="D72" i="1"/>
  <c r="C73" i="1"/>
  <c r="D73" i="4"/>
  <c r="A74" i="4"/>
  <c r="C74" i="3"/>
  <c r="C204" i="2"/>
  <c r="G72" i="3"/>
  <c r="H72" i="3" s="1"/>
  <c r="I72" i="3" s="1"/>
  <c r="J72" i="3" s="1"/>
  <c r="E73" i="3"/>
  <c r="G71" i="4"/>
  <c r="H71" i="4" s="1"/>
  <c r="I71" i="4" s="1"/>
  <c r="J71" i="4" s="1"/>
  <c r="E72" i="4"/>
  <c r="A73" i="3"/>
  <c r="D72" i="3"/>
  <c r="D74" i="2"/>
  <c r="A75" i="2"/>
  <c r="G73" i="1" l="1"/>
  <c r="H73" i="1" s="1"/>
  <c r="I73" i="1" s="1"/>
  <c r="J73" i="1" s="1"/>
  <c r="C205" i="2"/>
  <c r="G73" i="3"/>
  <c r="H73" i="3" s="1"/>
  <c r="I73" i="3" s="1"/>
  <c r="J73" i="3" s="1"/>
  <c r="E74" i="3"/>
  <c r="C74" i="1"/>
  <c r="D75" i="2"/>
  <c r="A76" i="2"/>
  <c r="C75" i="3"/>
  <c r="F73" i="1"/>
  <c r="E74" i="1" s="1"/>
  <c r="D73" i="1"/>
  <c r="A74" i="1"/>
  <c r="A74" i="3"/>
  <c r="D73" i="3"/>
  <c r="G72" i="4"/>
  <c r="H72" i="4" s="1"/>
  <c r="I72" i="4" s="1"/>
  <c r="J72" i="4" s="1"/>
  <c r="E73" i="4"/>
  <c r="D74" i="4"/>
  <c r="A75" i="4"/>
  <c r="C75" i="4"/>
  <c r="G73" i="2"/>
  <c r="H73" i="2" s="1"/>
  <c r="I73" i="2" s="1"/>
  <c r="J73" i="2" s="1"/>
  <c r="E74" i="2"/>
  <c r="G74" i="1" l="1"/>
  <c r="H74" i="1" s="1"/>
  <c r="I74" i="1" s="1"/>
  <c r="J74" i="1" s="1"/>
  <c r="C75" i="1"/>
  <c r="F74" i="1"/>
  <c r="E75" i="1" s="1"/>
  <c r="D74" i="1"/>
  <c r="A75" i="1"/>
  <c r="G74" i="3"/>
  <c r="H74" i="3" s="1"/>
  <c r="I74" i="3" s="1"/>
  <c r="J74" i="3" s="1"/>
  <c r="E75" i="3"/>
  <c r="A75" i="3"/>
  <c r="D74" i="3"/>
  <c r="C76" i="4"/>
  <c r="D75" i="4"/>
  <c r="A76" i="4"/>
  <c r="C76" i="3"/>
  <c r="G73" i="4"/>
  <c r="H73" i="4" s="1"/>
  <c r="I73" i="4" s="1"/>
  <c r="J73" i="4" s="1"/>
  <c r="E74" i="4"/>
  <c r="C206" i="2"/>
  <c r="G74" i="2"/>
  <c r="H74" i="2" s="1"/>
  <c r="I74" i="2" s="1"/>
  <c r="J74" i="2" s="1"/>
  <c r="E75" i="2"/>
  <c r="D76" i="2"/>
  <c r="A77" i="2"/>
  <c r="G75" i="1" l="1"/>
  <c r="H75" i="1" s="1"/>
  <c r="I75" i="1" s="1"/>
  <c r="J75" i="1" s="1"/>
  <c r="G75" i="2"/>
  <c r="H75" i="2" s="1"/>
  <c r="I75" i="2" s="1"/>
  <c r="J75" i="2" s="1"/>
  <c r="E76" i="2"/>
  <c r="D76" i="4"/>
  <c r="A77" i="4"/>
  <c r="F75" i="1"/>
  <c r="E76" i="1" s="1"/>
  <c r="D75" i="1"/>
  <c r="A76" i="1"/>
  <c r="C207" i="2"/>
  <c r="C77" i="4"/>
  <c r="C76" i="1"/>
  <c r="G74" i="4"/>
  <c r="H74" i="4" s="1"/>
  <c r="I74" i="4" s="1"/>
  <c r="J74" i="4" s="1"/>
  <c r="E75" i="4"/>
  <c r="D75" i="3"/>
  <c r="A76" i="3"/>
  <c r="D77" i="2"/>
  <c r="A78" i="2"/>
  <c r="C77" i="3"/>
  <c r="G75" i="3"/>
  <c r="H75" i="3" s="1"/>
  <c r="I75" i="3" s="1"/>
  <c r="J75" i="3" s="1"/>
  <c r="E76" i="3"/>
  <c r="G76" i="1" l="1"/>
  <c r="H76" i="1" s="1"/>
  <c r="I76" i="1" s="1"/>
  <c r="J76" i="1" s="1"/>
  <c r="C78" i="3"/>
  <c r="C77" i="1"/>
  <c r="D77" i="4"/>
  <c r="A78" i="4"/>
  <c r="D78" i="2"/>
  <c r="A79" i="2"/>
  <c r="C78" i="4"/>
  <c r="G76" i="2"/>
  <c r="H76" i="2" s="1"/>
  <c r="I76" i="2" s="1"/>
  <c r="J76" i="2" s="1"/>
  <c r="E77" i="2"/>
  <c r="C208" i="2"/>
  <c r="A77" i="3"/>
  <c r="D76" i="3"/>
  <c r="G76" i="3"/>
  <c r="H76" i="3" s="1"/>
  <c r="I76" i="3" s="1"/>
  <c r="J76" i="3" s="1"/>
  <c r="E77" i="3"/>
  <c r="G75" i="4"/>
  <c r="H75" i="4" s="1"/>
  <c r="I75" i="4" s="1"/>
  <c r="J75" i="4" s="1"/>
  <c r="E76" i="4"/>
  <c r="F76" i="1"/>
  <c r="E77" i="1" s="1"/>
  <c r="D76" i="1"/>
  <c r="A77" i="1"/>
  <c r="G77" i="1" l="1"/>
  <c r="H77" i="1" s="1"/>
  <c r="I77" i="1" s="1"/>
  <c r="J77" i="1" s="1"/>
  <c r="D78" i="4"/>
  <c r="A79" i="4"/>
  <c r="C209" i="2"/>
  <c r="G76" i="4"/>
  <c r="H76" i="4" s="1"/>
  <c r="I76" i="4" s="1"/>
  <c r="J76" i="4" s="1"/>
  <c r="E77" i="4"/>
  <c r="G77" i="2"/>
  <c r="H77" i="2" s="1"/>
  <c r="I77" i="2" s="1"/>
  <c r="J77" i="2" s="1"/>
  <c r="E78" i="2"/>
  <c r="C78" i="1"/>
  <c r="G77" i="3"/>
  <c r="H77" i="3" s="1"/>
  <c r="I77" i="3" s="1"/>
  <c r="J77" i="3" s="1"/>
  <c r="E78" i="3"/>
  <c r="C79" i="3"/>
  <c r="F77" i="1"/>
  <c r="E78" i="1" s="1"/>
  <c r="D77" i="1"/>
  <c r="A78" i="1"/>
  <c r="C79" i="4"/>
  <c r="A78" i="3"/>
  <c r="D77" i="3"/>
  <c r="D79" i="2"/>
  <c r="A80" i="2"/>
  <c r="G78" i="1" l="1"/>
  <c r="H78" i="1" s="1"/>
  <c r="I78" i="1" s="1"/>
  <c r="J78" i="1" s="1"/>
  <c r="E79" i="3"/>
  <c r="G78" i="3"/>
  <c r="H78" i="3" s="1"/>
  <c r="I78" i="3" s="1"/>
  <c r="J78" i="3" s="1"/>
  <c r="C210" i="2"/>
  <c r="C80" i="3"/>
  <c r="G77" i="4"/>
  <c r="H77" i="4" s="1"/>
  <c r="I77" i="4" s="1"/>
  <c r="J77" i="4" s="1"/>
  <c r="E78" i="4"/>
  <c r="A79" i="3"/>
  <c r="D78" i="3"/>
  <c r="C80" i="4"/>
  <c r="D79" i="4"/>
  <c r="A80" i="4"/>
  <c r="D78" i="1"/>
  <c r="A79" i="1"/>
  <c r="F78" i="1"/>
  <c r="E79" i="1" s="1"/>
  <c r="C79" i="1"/>
  <c r="G78" i="2"/>
  <c r="H78" i="2" s="1"/>
  <c r="I78" i="2" s="1"/>
  <c r="J78" i="2" s="1"/>
  <c r="E79" i="2"/>
  <c r="D80" i="2"/>
  <c r="A81" i="2"/>
  <c r="G79" i="1" l="1"/>
  <c r="H79" i="1" s="1"/>
  <c r="I79" i="1" s="1"/>
  <c r="J79" i="1" s="1"/>
  <c r="C81" i="3"/>
  <c r="C211" i="2"/>
  <c r="C81" i="4"/>
  <c r="D81" i="2"/>
  <c r="A82" i="2"/>
  <c r="A80" i="3"/>
  <c r="D79" i="3"/>
  <c r="E80" i="3"/>
  <c r="G79" i="3"/>
  <c r="H79" i="3" s="1"/>
  <c r="I79" i="3" s="1"/>
  <c r="J79" i="3" s="1"/>
  <c r="D80" i="4"/>
  <c r="A81" i="4"/>
  <c r="G79" i="2"/>
  <c r="H79" i="2" s="1"/>
  <c r="I79" i="2" s="1"/>
  <c r="J79" i="2" s="1"/>
  <c r="E80" i="2"/>
  <c r="C80" i="1"/>
  <c r="D79" i="1"/>
  <c r="A80" i="1"/>
  <c r="F79" i="1"/>
  <c r="E80" i="1" s="1"/>
  <c r="G78" i="4"/>
  <c r="H78" i="4" s="1"/>
  <c r="I78" i="4" s="1"/>
  <c r="J78" i="4" s="1"/>
  <c r="E79" i="4"/>
  <c r="G80" i="1" l="1"/>
  <c r="H80" i="1" s="1"/>
  <c r="I80" i="1" s="1"/>
  <c r="J80" i="1" s="1"/>
  <c r="A82" i="4"/>
  <c r="D81" i="4"/>
  <c r="C82" i="4"/>
  <c r="A81" i="1"/>
  <c r="F80" i="1"/>
  <c r="E81" i="1" s="1"/>
  <c r="D80" i="1"/>
  <c r="G79" i="4"/>
  <c r="H79" i="4" s="1"/>
  <c r="I79" i="4" s="1"/>
  <c r="J79" i="4" s="1"/>
  <c r="E80" i="4"/>
  <c r="C212" i="2"/>
  <c r="E81" i="3"/>
  <c r="G80" i="3"/>
  <c r="H80" i="3" s="1"/>
  <c r="I80" i="3" s="1"/>
  <c r="J80" i="3" s="1"/>
  <c r="D80" i="3"/>
  <c r="A81" i="3"/>
  <c r="C82" i="3"/>
  <c r="C81" i="1"/>
  <c r="G80" i="2"/>
  <c r="H80" i="2" s="1"/>
  <c r="I80" i="2" s="1"/>
  <c r="J80" i="2" s="1"/>
  <c r="E81" i="2"/>
  <c r="D82" i="2"/>
  <c r="A83" i="2"/>
  <c r="G81" i="1" l="1"/>
  <c r="H81" i="1" s="1"/>
  <c r="I81" i="1" s="1"/>
  <c r="J81" i="1" s="1"/>
  <c r="G81" i="2"/>
  <c r="H81" i="2" s="1"/>
  <c r="I81" i="2" s="1"/>
  <c r="J81" i="2" s="1"/>
  <c r="E82" i="2"/>
  <c r="F81" i="1"/>
  <c r="E82" i="1" s="1"/>
  <c r="D81" i="1"/>
  <c r="A82" i="1"/>
  <c r="E82" i="3"/>
  <c r="G81" i="3"/>
  <c r="H81" i="3" s="1"/>
  <c r="I81" i="3" s="1"/>
  <c r="J81" i="3" s="1"/>
  <c r="C82" i="1"/>
  <c r="C213" i="2"/>
  <c r="C83" i="4"/>
  <c r="D83" i="2"/>
  <c r="A84" i="2"/>
  <c r="C83" i="3"/>
  <c r="G80" i="4"/>
  <c r="H80" i="4" s="1"/>
  <c r="I80" i="4" s="1"/>
  <c r="J80" i="4" s="1"/>
  <c r="E81" i="4"/>
  <c r="A83" i="4"/>
  <c r="D82" i="4"/>
  <c r="A82" i="3"/>
  <c r="D81" i="3"/>
  <c r="G82" i="1" l="1"/>
  <c r="H82" i="1" s="1"/>
  <c r="I82" i="1" s="1"/>
  <c r="J82" i="1" s="1"/>
  <c r="F82" i="1"/>
  <c r="E83" i="1" s="1"/>
  <c r="D82" i="1"/>
  <c r="A83" i="1"/>
  <c r="A83" i="3"/>
  <c r="D82" i="3"/>
  <c r="E83" i="3"/>
  <c r="G82" i="3"/>
  <c r="H82" i="3" s="1"/>
  <c r="I82" i="3" s="1"/>
  <c r="J82" i="3" s="1"/>
  <c r="C84" i="4"/>
  <c r="G82" i="2"/>
  <c r="H82" i="2" s="1"/>
  <c r="I82" i="2" s="1"/>
  <c r="J82" i="2" s="1"/>
  <c r="E83" i="2"/>
  <c r="D83" i="4"/>
  <c r="A84" i="4"/>
  <c r="G81" i="4"/>
  <c r="H81" i="4" s="1"/>
  <c r="I81" i="4" s="1"/>
  <c r="J81" i="4" s="1"/>
  <c r="E82" i="4"/>
  <c r="C214" i="2"/>
  <c r="C83" i="1"/>
  <c r="C84" i="3"/>
  <c r="D84" i="2"/>
  <c r="A85" i="2"/>
  <c r="G83" i="1" l="1"/>
  <c r="H83" i="1" s="1"/>
  <c r="E83" i="4"/>
  <c r="G82" i="4"/>
  <c r="H82" i="4" s="1"/>
  <c r="I82" i="4" s="1"/>
  <c r="J82" i="4" s="1"/>
  <c r="C85" i="3"/>
  <c r="D83" i="3"/>
  <c r="A84" i="3"/>
  <c r="E84" i="3"/>
  <c r="G83" i="3"/>
  <c r="H83" i="3" s="1"/>
  <c r="I83" i="3" s="1"/>
  <c r="J83" i="3" s="1"/>
  <c r="D84" i="4"/>
  <c r="A85" i="4"/>
  <c r="F83" i="1"/>
  <c r="E84" i="1" s="1"/>
  <c r="D83" i="1"/>
  <c r="A84" i="1"/>
  <c r="D85" i="2"/>
  <c r="A86" i="2"/>
  <c r="C84" i="1"/>
  <c r="I83" i="1"/>
  <c r="J83" i="1" s="1"/>
  <c r="G83" i="2"/>
  <c r="H83" i="2" s="1"/>
  <c r="I83" i="2" s="1"/>
  <c r="J83" i="2" s="1"/>
  <c r="E84" i="2"/>
  <c r="C215" i="2"/>
  <c r="C85" i="4"/>
  <c r="G84" i="1" l="1"/>
  <c r="H84" i="1" s="1"/>
  <c r="I84" i="1" s="1"/>
  <c r="J84" i="1" s="1"/>
  <c r="A85" i="3"/>
  <c r="D84" i="3"/>
  <c r="C216" i="2"/>
  <c r="F84" i="1"/>
  <c r="E85" i="1" s="1"/>
  <c r="D84" i="1"/>
  <c r="A85" i="1"/>
  <c r="G84" i="2"/>
  <c r="H84" i="2" s="1"/>
  <c r="I84" i="2" s="1"/>
  <c r="J84" i="2" s="1"/>
  <c r="E85" i="2"/>
  <c r="C86" i="3"/>
  <c r="E84" i="4"/>
  <c r="G83" i="4"/>
  <c r="H83" i="4" s="1"/>
  <c r="I83" i="4" s="1"/>
  <c r="J83" i="4" s="1"/>
  <c r="A86" i="4"/>
  <c r="D85" i="4"/>
  <c r="C85" i="1"/>
  <c r="C86" i="4"/>
  <c r="D86" i="2"/>
  <c r="A87" i="2"/>
  <c r="E85" i="3"/>
  <c r="G84" i="3"/>
  <c r="H84" i="3" s="1"/>
  <c r="I84" i="3" s="1"/>
  <c r="J84" i="3" s="1"/>
  <c r="G85" i="1" l="1"/>
  <c r="H85" i="1" s="1"/>
  <c r="I85" i="1" s="1"/>
  <c r="J85" i="1" s="1"/>
  <c r="E85" i="4"/>
  <c r="G84" i="4"/>
  <c r="H84" i="4" s="1"/>
  <c r="I84" i="4" s="1"/>
  <c r="J84" i="4" s="1"/>
  <c r="C217" i="2"/>
  <c r="F85" i="1"/>
  <c r="E86" i="1" s="1"/>
  <c r="D85" i="1"/>
  <c r="A86" i="1"/>
  <c r="E86" i="3"/>
  <c r="G85" i="3"/>
  <c r="H85" i="3" s="1"/>
  <c r="I85" i="3" s="1"/>
  <c r="J85" i="3" s="1"/>
  <c r="A87" i="4"/>
  <c r="D86" i="4"/>
  <c r="D87" i="2"/>
  <c r="A88" i="2"/>
  <c r="C87" i="4"/>
  <c r="C86" i="1"/>
  <c r="C87" i="3"/>
  <c r="G85" i="2"/>
  <c r="H85" i="2" s="1"/>
  <c r="I85" i="2" s="1"/>
  <c r="J85" i="2" s="1"/>
  <c r="E86" i="2"/>
  <c r="A86" i="3"/>
  <c r="D85" i="3"/>
  <c r="G86" i="1" l="1"/>
  <c r="H86" i="1" s="1"/>
  <c r="I86" i="1" s="1"/>
  <c r="J86" i="1" s="1"/>
  <c r="G86" i="2"/>
  <c r="H86" i="2" s="1"/>
  <c r="I86" i="2" s="1"/>
  <c r="J86" i="2" s="1"/>
  <c r="E87" i="2"/>
  <c r="D88" i="2"/>
  <c r="A89" i="2"/>
  <c r="C218" i="2"/>
  <c r="D86" i="3"/>
  <c r="A87" i="3"/>
  <c r="C88" i="3"/>
  <c r="A88" i="4"/>
  <c r="D87" i="4"/>
  <c r="E86" i="4"/>
  <c r="G85" i="4"/>
  <c r="H85" i="4" s="1"/>
  <c r="I85" i="4" s="1"/>
  <c r="J85" i="4" s="1"/>
  <c r="C87" i="1"/>
  <c r="E87" i="3"/>
  <c r="G86" i="3"/>
  <c r="H86" i="3" s="1"/>
  <c r="I86" i="3" s="1"/>
  <c r="J86" i="3" s="1"/>
  <c r="C88" i="4"/>
  <c r="D86" i="1"/>
  <c r="A87" i="1"/>
  <c r="F86" i="1"/>
  <c r="E87" i="1" s="1"/>
  <c r="G87" i="1" l="1"/>
  <c r="H87" i="1" s="1"/>
  <c r="D89" i="2"/>
  <c r="A90" i="2"/>
  <c r="D87" i="1"/>
  <c r="A88" i="1"/>
  <c r="F87" i="1"/>
  <c r="E88" i="1" s="1"/>
  <c r="G86" i="4"/>
  <c r="H86" i="4" s="1"/>
  <c r="I86" i="4" s="1"/>
  <c r="J86" i="4" s="1"/>
  <c r="E87" i="4"/>
  <c r="C89" i="4"/>
  <c r="D88" i="4"/>
  <c r="A89" i="4"/>
  <c r="G87" i="2"/>
  <c r="H87" i="2" s="1"/>
  <c r="I87" i="2" s="1"/>
  <c r="J87" i="2" s="1"/>
  <c r="E88" i="2"/>
  <c r="C88" i="1"/>
  <c r="I87" i="1"/>
  <c r="J87" i="1" s="1"/>
  <c r="C219" i="2"/>
  <c r="E88" i="3"/>
  <c r="G87" i="3"/>
  <c r="H87" i="3" s="1"/>
  <c r="I87" i="3" s="1"/>
  <c r="J87" i="3" s="1"/>
  <c r="C89" i="3"/>
  <c r="A88" i="3"/>
  <c r="D87" i="3"/>
  <c r="G88" i="1" l="1"/>
  <c r="H88" i="1" s="1"/>
  <c r="I88" i="1" s="1"/>
  <c r="J88" i="1" s="1"/>
  <c r="G88" i="2"/>
  <c r="H88" i="2" s="1"/>
  <c r="I88" i="2" s="1"/>
  <c r="J88" i="2" s="1"/>
  <c r="E89" i="2"/>
  <c r="A89" i="1"/>
  <c r="F88" i="1"/>
  <c r="E89" i="1" s="1"/>
  <c r="D88" i="1"/>
  <c r="D88" i="3"/>
  <c r="A89" i="3"/>
  <c r="C89" i="1"/>
  <c r="C90" i="3"/>
  <c r="A90" i="4"/>
  <c r="D89" i="4"/>
  <c r="E89" i="3"/>
  <c r="G88" i="3"/>
  <c r="H88" i="3" s="1"/>
  <c r="I88" i="3" s="1"/>
  <c r="J88" i="3" s="1"/>
  <c r="D90" i="2"/>
  <c r="A91" i="2"/>
  <c r="C220" i="2"/>
  <c r="C90" i="4"/>
  <c r="E88" i="4"/>
  <c r="G87" i="4"/>
  <c r="H87" i="4" s="1"/>
  <c r="I87" i="4" s="1"/>
  <c r="J87" i="4" s="1"/>
  <c r="G89" i="1" l="1"/>
  <c r="H89" i="1" s="1"/>
  <c r="I89" i="1" s="1"/>
  <c r="J89" i="1" s="1"/>
  <c r="A91" i="4"/>
  <c r="D90" i="4"/>
  <c r="F89" i="1"/>
  <c r="E90" i="1" s="1"/>
  <c r="D89" i="1"/>
  <c r="A90" i="1"/>
  <c r="A90" i="3"/>
  <c r="D89" i="3"/>
  <c r="E89" i="4"/>
  <c r="G88" i="4"/>
  <c r="H88" i="4" s="1"/>
  <c r="I88" i="4" s="1"/>
  <c r="J88" i="4" s="1"/>
  <c r="E90" i="3"/>
  <c r="G89" i="3"/>
  <c r="H89" i="3" s="1"/>
  <c r="I89" i="3" s="1"/>
  <c r="J89" i="3" s="1"/>
  <c r="C91" i="4"/>
  <c r="C221" i="2"/>
  <c r="C91" i="3"/>
  <c r="G89" i="2"/>
  <c r="H89" i="2" s="1"/>
  <c r="I89" i="2" s="1"/>
  <c r="J89" i="2" s="1"/>
  <c r="E90" i="2"/>
  <c r="D91" i="2"/>
  <c r="A92" i="2"/>
  <c r="C90" i="1"/>
  <c r="G90" i="1" l="1"/>
  <c r="H90" i="1" s="1"/>
  <c r="A91" i="3"/>
  <c r="D90" i="3"/>
  <c r="F90" i="1"/>
  <c r="E91" i="1" s="1"/>
  <c r="D90" i="1"/>
  <c r="A91" i="1"/>
  <c r="D92" i="2"/>
  <c r="A93" i="2"/>
  <c r="G90" i="2"/>
  <c r="H90" i="2" s="1"/>
  <c r="I90" i="2" s="1"/>
  <c r="J90" i="2" s="1"/>
  <c r="E91" i="2"/>
  <c r="A92" i="4"/>
  <c r="D91" i="4"/>
  <c r="E91" i="3"/>
  <c r="G90" i="3"/>
  <c r="H90" i="3" s="1"/>
  <c r="I90" i="3" s="1"/>
  <c r="J90" i="3" s="1"/>
  <c r="C92" i="3"/>
  <c r="G89" i="4"/>
  <c r="H89" i="4" s="1"/>
  <c r="I89" i="4" s="1"/>
  <c r="J89" i="4" s="1"/>
  <c r="E90" i="4"/>
  <c r="C92" i="4"/>
  <c r="I90" i="1"/>
  <c r="J90" i="1" s="1"/>
  <c r="C91" i="1"/>
  <c r="C222" i="2"/>
  <c r="G91" i="1" l="1"/>
  <c r="H91" i="1" s="1"/>
  <c r="F91" i="1"/>
  <c r="E92" i="1" s="1"/>
  <c r="D91" i="1"/>
  <c r="A92" i="1"/>
  <c r="C92" i="1"/>
  <c r="I91" i="1"/>
  <c r="J91" i="1" s="1"/>
  <c r="C93" i="4"/>
  <c r="D92" i="4"/>
  <c r="A93" i="4"/>
  <c r="G90" i="4"/>
  <c r="H90" i="4" s="1"/>
  <c r="I90" i="4" s="1"/>
  <c r="J90" i="4" s="1"/>
  <c r="E91" i="4"/>
  <c r="G91" i="2"/>
  <c r="H91" i="2" s="1"/>
  <c r="I91" i="2" s="1"/>
  <c r="J91" i="2" s="1"/>
  <c r="E92" i="2"/>
  <c r="D91" i="3"/>
  <c r="A92" i="3"/>
  <c r="C93" i="3"/>
  <c r="E92" i="3"/>
  <c r="G91" i="3"/>
  <c r="H91" i="3" s="1"/>
  <c r="I91" i="3" s="1"/>
  <c r="J91" i="3" s="1"/>
  <c r="C223" i="2"/>
  <c r="D93" i="2"/>
  <c r="A94" i="2"/>
  <c r="G92" i="1" l="1"/>
  <c r="H92" i="1" s="1"/>
  <c r="I92" i="1" s="1"/>
  <c r="J92" i="1" s="1"/>
  <c r="C224" i="2"/>
  <c r="C93" i="1"/>
  <c r="G92" i="2"/>
  <c r="H92" i="2" s="1"/>
  <c r="I92" i="2" s="1"/>
  <c r="J92" i="2" s="1"/>
  <c r="E93" i="2"/>
  <c r="E92" i="4"/>
  <c r="G91" i="4"/>
  <c r="H91" i="4" s="1"/>
  <c r="I91" i="4" s="1"/>
  <c r="J91" i="4" s="1"/>
  <c r="F92" i="1"/>
  <c r="E93" i="1" s="1"/>
  <c r="D92" i="1"/>
  <c r="A93" i="1"/>
  <c r="A94" i="4"/>
  <c r="D93" i="4"/>
  <c r="C94" i="3"/>
  <c r="E93" i="3"/>
  <c r="G92" i="3"/>
  <c r="H92" i="3" s="1"/>
  <c r="I92" i="3" s="1"/>
  <c r="J92" i="3" s="1"/>
  <c r="D94" i="2"/>
  <c r="A95" i="2"/>
  <c r="A93" i="3"/>
  <c r="D92" i="3"/>
  <c r="C94" i="4"/>
  <c r="G93" i="1" l="1"/>
  <c r="H93" i="1" s="1"/>
  <c r="A94" i="3"/>
  <c r="D93" i="3"/>
  <c r="A95" i="4"/>
  <c r="D94" i="4"/>
  <c r="C95" i="3"/>
  <c r="D95" i="2"/>
  <c r="A96" i="2"/>
  <c r="F93" i="1"/>
  <c r="E94" i="1" s="1"/>
  <c r="D93" i="1"/>
  <c r="A94" i="1"/>
  <c r="C94" i="1"/>
  <c r="I93" i="1"/>
  <c r="J93" i="1" s="1"/>
  <c r="C225" i="2"/>
  <c r="G93" i="2"/>
  <c r="H93" i="2" s="1"/>
  <c r="I93" i="2" s="1"/>
  <c r="J93" i="2" s="1"/>
  <c r="E94" i="2"/>
  <c r="E94" i="3"/>
  <c r="G93" i="3"/>
  <c r="H93" i="3" s="1"/>
  <c r="I93" i="3" s="1"/>
  <c r="J93" i="3" s="1"/>
  <c r="C95" i="4"/>
  <c r="E93" i="4"/>
  <c r="G92" i="4"/>
  <c r="H92" i="4" s="1"/>
  <c r="I92" i="4" s="1"/>
  <c r="J92" i="4" s="1"/>
  <c r="G94" i="1" l="1"/>
  <c r="H94" i="1" s="1"/>
  <c r="I94" i="1" s="1"/>
  <c r="J94" i="1" s="1"/>
  <c r="C96" i="3"/>
  <c r="C95" i="1"/>
  <c r="D94" i="1"/>
  <c r="A95" i="1"/>
  <c r="F94" i="1"/>
  <c r="E95" i="1" s="1"/>
  <c r="D95" i="4"/>
  <c r="A96" i="4"/>
  <c r="C96" i="4"/>
  <c r="G93" i="4"/>
  <c r="H93" i="4" s="1"/>
  <c r="I93" i="4" s="1"/>
  <c r="J93" i="4" s="1"/>
  <c r="E94" i="4"/>
  <c r="E95" i="3"/>
  <c r="G94" i="3"/>
  <c r="H94" i="3" s="1"/>
  <c r="I94" i="3" s="1"/>
  <c r="J94" i="3" s="1"/>
  <c r="G94" i="2"/>
  <c r="H94" i="2" s="1"/>
  <c r="I94" i="2" s="1"/>
  <c r="J94" i="2" s="1"/>
  <c r="E95" i="2"/>
  <c r="D94" i="3"/>
  <c r="A95" i="3"/>
  <c r="D96" i="2"/>
  <c r="A97" i="2"/>
  <c r="C226" i="2"/>
  <c r="G95" i="1" l="1"/>
  <c r="H95" i="1" s="1"/>
  <c r="E96" i="3"/>
  <c r="G95" i="3"/>
  <c r="H95" i="3" s="1"/>
  <c r="I95" i="3" s="1"/>
  <c r="J95" i="3" s="1"/>
  <c r="D95" i="1"/>
  <c r="A96" i="1"/>
  <c r="F95" i="1"/>
  <c r="E96" i="1" s="1"/>
  <c r="D97" i="2"/>
  <c r="A98" i="2"/>
  <c r="G94" i="4"/>
  <c r="H94" i="4" s="1"/>
  <c r="I94" i="4" s="1"/>
  <c r="J94" i="4" s="1"/>
  <c r="E95" i="4"/>
  <c r="A96" i="3"/>
  <c r="D95" i="3"/>
  <c r="C97" i="4"/>
  <c r="C96" i="1"/>
  <c r="I95" i="1"/>
  <c r="J95" i="1" s="1"/>
  <c r="G95" i="2"/>
  <c r="H95" i="2" s="1"/>
  <c r="I95" i="2" s="1"/>
  <c r="J95" i="2" s="1"/>
  <c r="E96" i="2"/>
  <c r="D96" i="4"/>
  <c r="A97" i="4"/>
  <c r="C97" i="3"/>
  <c r="C227" i="2"/>
  <c r="G96" i="1" l="1"/>
  <c r="H96" i="1" s="1"/>
  <c r="C98" i="3"/>
  <c r="A97" i="1"/>
  <c r="F96" i="1"/>
  <c r="E97" i="1" s="1"/>
  <c r="D96" i="1"/>
  <c r="D97" i="4"/>
  <c r="A98" i="4"/>
  <c r="D96" i="3"/>
  <c r="A97" i="3"/>
  <c r="G96" i="2"/>
  <c r="H96" i="2" s="1"/>
  <c r="I96" i="2" s="1"/>
  <c r="J96" i="2" s="1"/>
  <c r="E97" i="2"/>
  <c r="E96" i="4"/>
  <c r="G95" i="4"/>
  <c r="H95" i="4" s="1"/>
  <c r="I95" i="4" s="1"/>
  <c r="J95" i="4" s="1"/>
  <c r="E97" i="3"/>
  <c r="G96" i="3"/>
  <c r="H96" i="3" s="1"/>
  <c r="I96" i="3" s="1"/>
  <c r="J96" i="3" s="1"/>
  <c r="I96" i="1"/>
  <c r="J96" i="1" s="1"/>
  <c r="C97" i="1"/>
  <c r="C98" i="4"/>
  <c r="C228" i="2"/>
  <c r="D98" i="2"/>
  <c r="A99" i="2"/>
  <c r="G97" i="1" l="1"/>
  <c r="H97" i="1" s="1"/>
  <c r="I97" i="1" s="1"/>
  <c r="J97" i="1" s="1"/>
  <c r="E97" i="4"/>
  <c r="G96" i="4"/>
  <c r="H96" i="4" s="1"/>
  <c r="I96" i="4" s="1"/>
  <c r="J96" i="4" s="1"/>
  <c r="D99" i="2"/>
  <c r="A100" i="2"/>
  <c r="C99" i="4"/>
  <c r="G97" i="2"/>
  <c r="H97" i="2" s="1"/>
  <c r="I97" i="2" s="1"/>
  <c r="J97" i="2" s="1"/>
  <c r="E98" i="2"/>
  <c r="F97" i="1"/>
  <c r="E98" i="1" s="1"/>
  <c r="D97" i="1"/>
  <c r="A98" i="1"/>
  <c r="C229" i="2"/>
  <c r="C99" i="3"/>
  <c r="C98" i="1"/>
  <c r="A98" i="3"/>
  <c r="D97" i="3"/>
  <c r="E98" i="3"/>
  <c r="G97" i="3"/>
  <c r="H97" i="3" s="1"/>
  <c r="I97" i="3" s="1"/>
  <c r="J97" i="3" s="1"/>
  <c r="A99" i="4"/>
  <c r="D98" i="4"/>
  <c r="G98" i="1" l="1"/>
  <c r="H98" i="1" s="1"/>
  <c r="C230" i="2"/>
  <c r="D99" i="4"/>
  <c r="A100" i="4"/>
  <c r="C100" i="3"/>
  <c r="C100" i="4"/>
  <c r="E99" i="3"/>
  <c r="G98" i="3"/>
  <c r="H98" i="3" s="1"/>
  <c r="I98" i="3" s="1"/>
  <c r="J98" i="3" s="1"/>
  <c r="D100" i="2"/>
  <c r="A101" i="2"/>
  <c r="F98" i="1"/>
  <c r="E99" i="1" s="1"/>
  <c r="D98" i="1"/>
  <c r="A99" i="1"/>
  <c r="A99" i="3"/>
  <c r="D98" i="3"/>
  <c r="G97" i="4"/>
  <c r="H97" i="4" s="1"/>
  <c r="I97" i="4" s="1"/>
  <c r="J97" i="4" s="1"/>
  <c r="E98" i="4"/>
  <c r="I98" i="1"/>
  <c r="J98" i="1" s="1"/>
  <c r="C99" i="1"/>
  <c r="G98" i="2"/>
  <c r="H98" i="2" s="1"/>
  <c r="I98" i="2" s="1"/>
  <c r="J98" i="2" s="1"/>
  <c r="E99" i="2"/>
  <c r="G99" i="1" l="1"/>
  <c r="H99" i="1" s="1"/>
  <c r="I99" i="1" s="1"/>
  <c r="J99" i="1" s="1"/>
  <c r="D101" i="2"/>
  <c r="A102" i="2"/>
  <c r="E99" i="4"/>
  <c r="G98" i="4"/>
  <c r="H98" i="4" s="1"/>
  <c r="I98" i="4" s="1"/>
  <c r="J98" i="4" s="1"/>
  <c r="G99" i="2"/>
  <c r="H99" i="2" s="1"/>
  <c r="I99" i="2" s="1"/>
  <c r="J99" i="2" s="1"/>
  <c r="E100" i="2"/>
  <c r="C100" i="1"/>
  <c r="C101" i="3"/>
  <c r="D100" i="4"/>
  <c r="A101" i="4"/>
  <c r="C231" i="2"/>
  <c r="E100" i="3"/>
  <c r="G99" i="3"/>
  <c r="H99" i="3" s="1"/>
  <c r="I99" i="3" s="1"/>
  <c r="J99" i="3" s="1"/>
  <c r="D99" i="3"/>
  <c r="A100" i="3"/>
  <c r="C101" i="4"/>
  <c r="F99" i="1"/>
  <c r="E100" i="1" s="1"/>
  <c r="D99" i="1"/>
  <c r="A100" i="1"/>
  <c r="G100" i="1" l="1"/>
  <c r="H100" i="1" s="1"/>
  <c r="C102" i="3"/>
  <c r="G99" i="4"/>
  <c r="H99" i="4" s="1"/>
  <c r="I99" i="4" s="1"/>
  <c r="J99" i="4" s="1"/>
  <c r="E100" i="4"/>
  <c r="C232" i="2"/>
  <c r="G100" i="2"/>
  <c r="H100" i="2" s="1"/>
  <c r="I100" i="2" s="1"/>
  <c r="J100" i="2" s="1"/>
  <c r="E101" i="2"/>
  <c r="C102" i="4"/>
  <c r="D101" i="4"/>
  <c r="A102" i="4"/>
  <c r="A101" i="3"/>
  <c r="D100" i="3"/>
  <c r="D102" i="2"/>
  <c r="A103" i="2"/>
  <c r="F100" i="1"/>
  <c r="E101" i="1" s="1"/>
  <c r="D100" i="1"/>
  <c r="A101" i="1"/>
  <c r="E101" i="3"/>
  <c r="G100" i="3"/>
  <c r="H100" i="3" s="1"/>
  <c r="I100" i="3" s="1"/>
  <c r="J100" i="3" s="1"/>
  <c r="C101" i="1"/>
  <c r="I100" i="1"/>
  <c r="J100" i="1" s="1"/>
  <c r="G101" i="1" l="1"/>
  <c r="H101" i="1" s="1"/>
  <c r="I101" i="1" s="1"/>
  <c r="J101" i="1" s="1"/>
  <c r="C233" i="2"/>
  <c r="A102" i="3"/>
  <c r="D101" i="3"/>
  <c r="C102" i="1"/>
  <c r="E102" i="3"/>
  <c r="G101" i="3"/>
  <c r="H101" i="3" s="1"/>
  <c r="I101" i="3" s="1"/>
  <c r="J101" i="3" s="1"/>
  <c r="A103" i="4"/>
  <c r="D102" i="4"/>
  <c r="E101" i="4"/>
  <c r="G100" i="4"/>
  <c r="H100" i="4" s="1"/>
  <c r="I100" i="4" s="1"/>
  <c r="J100" i="4" s="1"/>
  <c r="F101" i="1"/>
  <c r="E102" i="1" s="1"/>
  <c r="D101" i="1"/>
  <c r="A102" i="1"/>
  <c r="C103" i="4"/>
  <c r="C103" i="3"/>
  <c r="D103" i="2"/>
  <c r="A104" i="2"/>
  <c r="G101" i="2"/>
  <c r="H101" i="2" s="1"/>
  <c r="I101" i="2" s="1"/>
  <c r="J101" i="2" s="1"/>
  <c r="E102" i="2"/>
  <c r="G102" i="1" l="1"/>
  <c r="H102" i="1" s="1"/>
  <c r="I102" i="1" s="1"/>
  <c r="J102" i="1" s="1"/>
  <c r="D104" i="2"/>
  <c r="A105" i="2"/>
  <c r="C103" i="1"/>
  <c r="C104" i="3"/>
  <c r="G101" i="4"/>
  <c r="H101" i="4" s="1"/>
  <c r="I101" i="4" s="1"/>
  <c r="J101" i="4" s="1"/>
  <c r="E102" i="4"/>
  <c r="D102" i="3"/>
  <c r="A103" i="3"/>
  <c r="C234" i="2"/>
  <c r="C104" i="4"/>
  <c r="A104" i="4"/>
  <c r="D103" i="4"/>
  <c r="G102" i="2"/>
  <c r="H102" i="2" s="1"/>
  <c r="I102" i="2" s="1"/>
  <c r="J102" i="2" s="1"/>
  <c r="E103" i="2"/>
  <c r="D102" i="1"/>
  <c r="A103" i="1"/>
  <c r="F102" i="1"/>
  <c r="E103" i="1" s="1"/>
  <c r="E103" i="3"/>
  <c r="G102" i="3"/>
  <c r="H102" i="3" s="1"/>
  <c r="I102" i="3" s="1"/>
  <c r="J102" i="3" s="1"/>
  <c r="G103" i="1" l="1"/>
  <c r="H103" i="1" s="1"/>
  <c r="I103" i="1" s="1"/>
  <c r="J103" i="1" s="1"/>
  <c r="D104" i="4"/>
  <c r="A105" i="4"/>
  <c r="E104" i="3"/>
  <c r="G103" i="3"/>
  <c r="H103" i="3" s="1"/>
  <c r="I103" i="3" s="1"/>
  <c r="J103" i="3" s="1"/>
  <c r="C105" i="4"/>
  <c r="C105" i="3"/>
  <c r="C104" i="1"/>
  <c r="D103" i="1"/>
  <c r="A104" i="1"/>
  <c r="F103" i="1"/>
  <c r="E104" i="1" s="1"/>
  <c r="C235" i="2"/>
  <c r="G103" i="2"/>
  <c r="H103" i="2" s="1"/>
  <c r="I103" i="2" s="1"/>
  <c r="J103" i="2" s="1"/>
  <c r="E104" i="2"/>
  <c r="A104" i="3"/>
  <c r="D103" i="3"/>
  <c r="D105" i="2"/>
  <c r="A106" i="2"/>
  <c r="E103" i="4"/>
  <c r="G102" i="4"/>
  <c r="H102" i="4" s="1"/>
  <c r="I102" i="4" s="1"/>
  <c r="J102" i="4" s="1"/>
  <c r="G104" i="1" l="1"/>
  <c r="H104" i="1" s="1"/>
  <c r="I104" i="1" s="1"/>
  <c r="J104" i="1" s="1"/>
  <c r="C236" i="2"/>
  <c r="C106" i="3"/>
  <c r="G103" i="4"/>
  <c r="H103" i="4" s="1"/>
  <c r="I103" i="4" s="1"/>
  <c r="J103" i="4" s="1"/>
  <c r="E104" i="4"/>
  <c r="C106" i="4"/>
  <c r="D106" i="2"/>
  <c r="A107" i="2"/>
  <c r="E105" i="3"/>
  <c r="G104" i="3"/>
  <c r="H104" i="3" s="1"/>
  <c r="I104" i="3" s="1"/>
  <c r="J104" i="3" s="1"/>
  <c r="D104" i="3"/>
  <c r="A105" i="3"/>
  <c r="A106" i="4"/>
  <c r="D105" i="4"/>
  <c r="G104" i="2"/>
  <c r="H104" i="2" s="1"/>
  <c r="I104" i="2" s="1"/>
  <c r="J104" i="2" s="1"/>
  <c r="E105" i="2"/>
  <c r="A105" i="1"/>
  <c r="F104" i="1"/>
  <c r="E105" i="1" s="1"/>
  <c r="D104" i="1"/>
  <c r="C105" i="1"/>
  <c r="G105" i="1" l="1"/>
  <c r="H105" i="1" s="1"/>
  <c r="I105" i="1" s="1"/>
  <c r="J105" i="1" s="1"/>
  <c r="C106" i="1"/>
  <c r="A107" i="4"/>
  <c r="D106" i="4"/>
  <c r="A106" i="3"/>
  <c r="D105" i="3"/>
  <c r="E105" i="4"/>
  <c r="G104" i="4"/>
  <c r="H104" i="4" s="1"/>
  <c r="I104" i="4" s="1"/>
  <c r="J104" i="4" s="1"/>
  <c r="C107" i="3"/>
  <c r="F105" i="1"/>
  <c r="E106" i="1" s="1"/>
  <c r="D105" i="1"/>
  <c r="A106" i="1"/>
  <c r="E106" i="3"/>
  <c r="G105" i="3"/>
  <c r="H105" i="3" s="1"/>
  <c r="I105" i="3" s="1"/>
  <c r="J105" i="3" s="1"/>
  <c r="G105" i="2"/>
  <c r="H105" i="2" s="1"/>
  <c r="I105" i="2" s="1"/>
  <c r="J105" i="2" s="1"/>
  <c r="E106" i="2"/>
  <c r="D107" i="2"/>
  <c r="A108" i="2"/>
  <c r="C237" i="2"/>
  <c r="C107" i="4"/>
  <c r="G106" i="1" l="1"/>
  <c r="H106" i="1" s="1"/>
  <c r="I106" i="1" s="1"/>
  <c r="J106" i="1" s="1"/>
  <c r="G105" i="4"/>
  <c r="H105" i="4" s="1"/>
  <c r="I105" i="4" s="1"/>
  <c r="J105" i="4" s="1"/>
  <c r="E106" i="4"/>
  <c r="E107" i="3"/>
  <c r="G106" i="3"/>
  <c r="H106" i="3" s="1"/>
  <c r="I106" i="3" s="1"/>
  <c r="J106" i="3" s="1"/>
  <c r="F106" i="1"/>
  <c r="E107" i="1" s="1"/>
  <c r="D106" i="1"/>
  <c r="A107" i="1"/>
  <c r="A107" i="3"/>
  <c r="D106" i="3"/>
  <c r="A108" i="4"/>
  <c r="D107" i="4"/>
  <c r="C107" i="1"/>
  <c r="D108" i="2"/>
  <c r="A109" i="2"/>
  <c r="G106" i="2"/>
  <c r="H106" i="2" s="1"/>
  <c r="I106" i="2" s="1"/>
  <c r="J106" i="2" s="1"/>
  <c r="E107" i="2"/>
  <c r="C108" i="3"/>
  <c r="C238" i="2"/>
  <c r="C108" i="4"/>
  <c r="G107" i="1" l="1"/>
  <c r="H107" i="1" s="1"/>
  <c r="I107" i="1" s="1"/>
  <c r="J107" i="1" s="1"/>
  <c r="C108" i="1"/>
  <c r="G107" i="2"/>
  <c r="H107" i="2" s="1"/>
  <c r="I107" i="2" s="1"/>
  <c r="J107" i="2" s="1"/>
  <c r="E108" i="2"/>
  <c r="E108" i="3"/>
  <c r="G107" i="3"/>
  <c r="H107" i="3" s="1"/>
  <c r="I107" i="3" s="1"/>
  <c r="J107" i="3" s="1"/>
  <c r="C239" i="2"/>
  <c r="C109" i="3"/>
  <c r="D108" i="4"/>
  <c r="A109" i="4"/>
  <c r="G106" i="4"/>
  <c r="H106" i="4" s="1"/>
  <c r="I106" i="4" s="1"/>
  <c r="J106" i="4" s="1"/>
  <c r="E107" i="4"/>
  <c r="D107" i="3"/>
  <c r="A108" i="3"/>
  <c r="C109" i="4"/>
  <c r="D109" i="2"/>
  <c r="A110" i="2"/>
  <c r="F107" i="1"/>
  <c r="E108" i="1" s="1"/>
  <c r="D107" i="1"/>
  <c r="A108" i="1"/>
  <c r="G108" i="1" l="1"/>
  <c r="H108" i="1" s="1"/>
  <c r="I108" i="1" s="1"/>
  <c r="J108" i="1" s="1"/>
  <c r="E109" i="3"/>
  <c r="G108" i="3"/>
  <c r="H108" i="3" s="1"/>
  <c r="I108" i="3" s="1"/>
  <c r="J108" i="3" s="1"/>
  <c r="D109" i="4"/>
  <c r="A110" i="4"/>
  <c r="G108" i="2"/>
  <c r="H108" i="2" s="1"/>
  <c r="I108" i="2" s="1"/>
  <c r="J108" i="2" s="1"/>
  <c r="E109" i="2"/>
  <c r="C110" i="4"/>
  <c r="G107" i="4"/>
  <c r="H107" i="4" s="1"/>
  <c r="I107" i="4" s="1"/>
  <c r="J107" i="4" s="1"/>
  <c r="E108" i="4"/>
  <c r="D110" i="2"/>
  <c r="A111" i="2"/>
  <c r="C110" i="3"/>
  <c r="C109" i="1"/>
  <c r="A109" i="3"/>
  <c r="D108" i="3"/>
  <c r="F108" i="1"/>
  <c r="E109" i="1" s="1"/>
  <c r="D108" i="1"/>
  <c r="A109" i="1"/>
  <c r="C240" i="2"/>
  <c r="G109" i="1" l="1"/>
  <c r="H109" i="1" s="1"/>
  <c r="C241" i="2"/>
  <c r="G109" i="2"/>
  <c r="H109" i="2" s="1"/>
  <c r="I109" i="2" s="1"/>
  <c r="J109" i="2" s="1"/>
  <c r="E110" i="2"/>
  <c r="D111" i="2"/>
  <c r="A112" i="2"/>
  <c r="A111" i="4"/>
  <c r="D110" i="4"/>
  <c r="F109" i="1"/>
  <c r="E110" i="1" s="1"/>
  <c r="D109" i="1"/>
  <c r="A110" i="1"/>
  <c r="C111" i="3"/>
  <c r="E110" i="3"/>
  <c r="G109" i="3"/>
  <c r="H109" i="3" s="1"/>
  <c r="I109" i="3" s="1"/>
  <c r="J109" i="3" s="1"/>
  <c r="E109" i="4"/>
  <c r="G108" i="4"/>
  <c r="H108" i="4" s="1"/>
  <c r="I108" i="4" s="1"/>
  <c r="J108" i="4" s="1"/>
  <c r="A110" i="3"/>
  <c r="D109" i="3"/>
  <c r="C111" i="4"/>
  <c r="C110" i="1"/>
  <c r="I109" i="1"/>
  <c r="J109" i="1" s="1"/>
  <c r="G110" i="1" l="1"/>
  <c r="H110" i="1" s="1"/>
  <c r="I110" i="1" s="1"/>
  <c r="J110" i="1" s="1"/>
  <c r="G110" i="2"/>
  <c r="H110" i="2" s="1"/>
  <c r="I110" i="2" s="1"/>
  <c r="J110" i="2" s="1"/>
  <c r="E111" i="2"/>
  <c r="D112" i="2"/>
  <c r="A113" i="2"/>
  <c r="C112" i="4"/>
  <c r="C112" i="3"/>
  <c r="D110" i="3"/>
  <c r="A111" i="3"/>
  <c r="C111" i="1"/>
  <c r="E111" i="3"/>
  <c r="G110" i="3"/>
  <c r="H110" i="3" s="1"/>
  <c r="I110" i="3" s="1"/>
  <c r="J110" i="3" s="1"/>
  <c r="C242" i="2"/>
  <c r="D110" i="1"/>
  <c r="A111" i="1"/>
  <c r="F110" i="1"/>
  <c r="E111" i="1" s="1"/>
  <c r="G109" i="4"/>
  <c r="H109" i="4" s="1"/>
  <c r="I109" i="4" s="1"/>
  <c r="J109" i="4" s="1"/>
  <c r="E110" i="4"/>
  <c r="A112" i="4"/>
  <c r="D111" i="4"/>
  <c r="G111" i="1" l="1"/>
  <c r="H111" i="1" s="1"/>
  <c r="D113" i="2"/>
  <c r="A114" i="2"/>
  <c r="D112" i="4"/>
  <c r="A113" i="4"/>
  <c r="C113" i="4"/>
  <c r="E111" i="4"/>
  <c r="G110" i="4"/>
  <c r="H110" i="4" s="1"/>
  <c r="I110" i="4" s="1"/>
  <c r="J110" i="4" s="1"/>
  <c r="E112" i="3"/>
  <c r="G111" i="3"/>
  <c r="H111" i="3" s="1"/>
  <c r="I111" i="3" s="1"/>
  <c r="J111" i="3" s="1"/>
  <c r="C112" i="1"/>
  <c r="I111" i="1"/>
  <c r="J111" i="1" s="1"/>
  <c r="D111" i="1"/>
  <c r="A112" i="1"/>
  <c r="F111" i="1"/>
  <c r="E112" i="1" s="1"/>
  <c r="A112" i="3"/>
  <c r="D111" i="3"/>
  <c r="G111" i="2"/>
  <c r="H111" i="2" s="1"/>
  <c r="I111" i="2" s="1"/>
  <c r="J111" i="2" s="1"/>
  <c r="E112" i="2"/>
  <c r="C243" i="2"/>
  <c r="C113" i="3"/>
  <c r="G112" i="1" l="1"/>
  <c r="H112" i="1" s="1"/>
  <c r="I112" i="1" s="1"/>
  <c r="J112" i="1" s="1"/>
  <c r="A113" i="1"/>
  <c r="F112" i="1"/>
  <c r="E113" i="1" s="1"/>
  <c r="D112" i="1"/>
  <c r="C114" i="4"/>
  <c r="G112" i="2"/>
  <c r="H112" i="2" s="1"/>
  <c r="I112" i="2" s="1"/>
  <c r="J112" i="2" s="1"/>
  <c r="E113" i="2"/>
  <c r="C244" i="2"/>
  <c r="A114" i="4"/>
  <c r="D113" i="4"/>
  <c r="D114" i="2"/>
  <c r="A115" i="2"/>
  <c r="C114" i="3"/>
  <c r="C113" i="1"/>
  <c r="E113" i="3"/>
  <c r="G112" i="3"/>
  <c r="H112" i="3" s="1"/>
  <c r="I112" i="3" s="1"/>
  <c r="J112" i="3" s="1"/>
  <c r="D112" i="3"/>
  <c r="A113" i="3"/>
  <c r="G111" i="4"/>
  <c r="H111" i="4" s="1"/>
  <c r="I111" i="4" s="1"/>
  <c r="J111" i="4" s="1"/>
  <c r="E112" i="4"/>
  <c r="G113" i="1" l="1"/>
  <c r="H113" i="1" s="1"/>
  <c r="A114" i="3"/>
  <c r="D113" i="3"/>
  <c r="D115" i="2"/>
  <c r="A116" i="2"/>
  <c r="C115" i="4"/>
  <c r="E114" i="3"/>
  <c r="G113" i="3"/>
  <c r="H113" i="3" s="1"/>
  <c r="I113" i="3" s="1"/>
  <c r="J113" i="3" s="1"/>
  <c r="F113" i="1"/>
  <c r="E114" i="1" s="1"/>
  <c r="D113" i="1"/>
  <c r="A114" i="1"/>
  <c r="A115" i="4"/>
  <c r="D114" i="4"/>
  <c r="I113" i="1"/>
  <c r="J113" i="1" s="1"/>
  <c r="C114" i="1"/>
  <c r="C245" i="2"/>
  <c r="E113" i="4"/>
  <c r="G112" i="4"/>
  <c r="H112" i="4" s="1"/>
  <c r="I112" i="4" s="1"/>
  <c r="J112" i="4" s="1"/>
  <c r="C115" i="3"/>
  <c r="G113" i="2"/>
  <c r="H113" i="2" s="1"/>
  <c r="I113" i="2" s="1"/>
  <c r="J113" i="2" s="1"/>
  <c r="E114" i="2"/>
  <c r="G114" i="1" l="1"/>
  <c r="H114" i="1" s="1"/>
  <c r="A116" i="4"/>
  <c r="D115" i="4"/>
  <c r="A115" i="3"/>
  <c r="D114" i="3"/>
  <c r="C246" i="2"/>
  <c r="C116" i="4"/>
  <c r="C116" i="3"/>
  <c r="D116" i="2"/>
  <c r="A117" i="2"/>
  <c r="F114" i="1"/>
  <c r="E115" i="1" s="1"/>
  <c r="D114" i="1"/>
  <c r="A115" i="1"/>
  <c r="G113" i="4"/>
  <c r="H113" i="4" s="1"/>
  <c r="I113" i="4" s="1"/>
  <c r="J113" i="4" s="1"/>
  <c r="E114" i="4"/>
  <c r="G114" i="2"/>
  <c r="H114" i="2" s="1"/>
  <c r="I114" i="2" s="1"/>
  <c r="J114" i="2" s="1"/>
  <c r="E115" i="2"/>
  <c r="I114" i="1"/>
  <c r="J114" i="1" s="1"/>
  <c r="C115" i="1"/>
  <c r="E115" i="3"/>
  <c r="G114" i="3"/>
  <c r="H114" i="3" s="1"/>
  <c r="I114" i="3" s="1"/>
  <c r="J114" i="3" s="1"/>
  <c r="G115" i="1" l="1"/>
  <c r="H115" i="1" s="1"/>
  <c r="E116" i="3"/>
  <c r="G115" i="3"/>
  <c r="H115" i="3" s="1"/>
  <c r="I115" i="3" s="1"/>
  <c r="J115" i="3" s="1"/>
  <c r="C116" i="1"/>
  <c r="I115" i="1"/>
  <c r="J115" i="1" s="1"/>
  <c r="C247" i="2"/>
  <c r="D115" i="3"/>
  <c r="A116" i="3"/>
  <c r="G115" i="2"/>
  <c r="H115" i="2" s="1"/>
  <c r="I115" i="2" s="1"/>
  <c r="J115" i="2" s="1"/>
  <c r="E116" i="2"/>
  <c r="G114" i="4"/>
  <c r="H114" i="4" s="1"/>
  <c r="I114" i="4" s="1"/>
  <c r="J114" i="4" s="1"/>
  <c r="E115" i="4"/>
  <c r="C117" i="3"/>
  <c r="D116" i="4"/>
  <c r="A117" i="4"/>
  <c r="D117" i="2"/>
  <c r="A118" i="2"/>
  <c r="C117" i="4"/>
  <c r="F115" i="1"/>
  <c r="E116" i="1" s="1"/>
  <c r="D115" i="1"/>
  <c r="A116" i="1"/>
  <c r="G116" i="1" l="1"/>
  <c r="H116" i="1" s="1"/>
  <c r="I116" i="1" s="1"/>
  <c r="J116" i="1" s="1"/>
  <c r="C118" i="3"/>
  <c r="C248" i="2"/>
  <c r="C117" i="1"/>
  <c r="C118" i="4"/>
  <c r="D118" i="2"/>
  <c r="A119" i="2"/>
  <c r="G116" i="2"/>
  <c r="H116" i="2" s="1"/>
  <c r="I116" i="2" s="1"/>
  <c r="J116" i="2" s="1"/>
  <c r="E117" i="2"/>
  <c r="F116" i="1"/>
  <c r="E117" i="1" s="1"/>
  <c r="D116" i="1"/>
  <c r="A117" i="1"/>
  <c r="G115" i="4"/>
  <c r="H115" i="4" s="1"/>
  <c r="I115" i="4" s="1"/>
  <c r="J115" i="4" s="1"/>
  <c r="E116" i="4"/>
  <c r="E117" i="3"/>
  <c r="G116" i="3"/>
  <c r="H116" i="3" s="1"/>
  <c r="I116" i="3" s="1"/>
  <c r="J116" i="3" s="1"/>
  <c r="D117" i="4"/>
  <c r="A118" i="4"/>
  <c r="A117" i="3"/>
  <c r="D116" i="3"/>
  <c r="G117" i="1" l="1"/>
  <c r="H117" i="1" s="1"/>
  <c r="I117" i="1" s="1"/>
  <c r="J117" i="1" s="1"/>
  <c r="A118" i="3"/>
  <c r="D117" i="3"/>
  <c r="A119" i="4"/>
  <c r="D118" i="4"/>
  <c r="C118" i="1"/>
  <c r="C249" i="2"/>
  <c r="E118" i="3"/>
  <c r="G117" i="3"/>
  <c r="H117" i="3" s="1"/>
  <c r="I117" i="3" s="1"/>
  <c r="J117" i="3" s="1"/>
  <c r="D119" i="2"/>
  <c r="A120" i="2"/>
  <c r="C119" i="3"/>
  <c r="G117" i="2"/>
  <c r="H117" i="2" s="1"/>
  <c r="I117" i="2" s="1"/>
  <c r="J117" i="2" s="1"/>
  <c r="E118" i="2"/>
  <c r="E117" i="4"/>
  <c r="G116" i="4"/>
  <c r="H116" i="4" s="1"/>
  <c r="I116" i="4" s="1"/>
  <c r="J116" i="4" s="1"/>
  <c r="C119" i="4"/>
  <c r="F117" i="1"/>
  <c r="E118" i="1" s="1"/>
  <c r="D117" i="1"/>
  <c r="A118" i="1"/>
  <c r="G118" i="1" l="1"/>
  <c r="H118" i="1" s="1"/>
  <c r="I118" i="1" s="1"/>
  <c r="J118" i="1" s="1"/>
  <c r="C120" i="3"/>
  <c r="C119" i="1"/>
  <c r="D120" i="2"/>
  <c r="A121" i="2"/>
  <c r="C120" i="4"/>
  <c r="A120" i="4"/>
  <c r="D119" i="4"/>
  <c r="G117" i="4"/>
  <c r="H117" i="4" s="1"/>
  <c r="I117" i="4" s="1"/>
  <c r="J117" i="4" s="1"/>
  <c r="E118" i="4"/>
  <c r="E119" i="3"/>
  <c r="G118" i="3"/>
  <c r="H118" i="3" s="1"/>
  <c r="I118" i="3" s="1"/>
  <c r="J118" i="3" s="1"/>
  <c r="D118" i="3"/>
  <c r="A119" i="3"/>
  <c r="G118" i="2"/>
  <c r="H118" i="2" s="1"/>
  <c r="I118" i="2" s="1"/>
  <c r="J118" i="2" s="1"/>
  <c r="E119" i="2"/>
  <c r="A119" i="1"/>
  <c r="D118" i="1"/>
  <c r="F118" i="1"/>
  <c r="E119" i="1" s="1"/>
  <c r="C250" i="2"/>
  <c r="G119" i="1" l="1"/>
  <c r="H119" i="1" s="1"/>
  <c r="I119" i="1" s="1"/>
  <c r="J119" i="1" s="1"/>
  <c r="G118" i="4"/>
  <c r="H118" i="4" s="1"/>
  <c r="I118" i="4" s="1"/>
  <c r="J118" i="4" s="1"/>
  <c r="E119" i="4"/>
  <c r="C120" i="1"/>
  <c r="C251" i="2"/>
  <c r="E120" i="3"/>
  <c r="G119" i="3"/>
  <c r="H119" i="3" s="1"/>
  <c r="I119" i="3" s="1"/>
  <c r="J119" i="3" s="1"/>
  <c r="D120" i="4"/>
  <c r="A121" i="4"/>
  <c r="C121" i="3"/>
  <c r="D121" i="2"/>
  <c r="A122" i="2"/>
  <c r="D119" i="1"/>
  <c r="A120" i="1"/>
  <c r="F119" i="1"/>
  <c r="E120" i="1" s="1"/>
  <c r="G119" i="2"/>
  <c r="H119" i="2" s="1"/>
  <c r="I119" i="2" s="1"/>
  <c r="J119" i="2" s="1"/>
  <c r="E120" i="2"/>
  <c r="A120" i="3"/>
  <c r="D119" i="3"/>
  <c r="C121" i="4"/>
  <c r="G120" i="1" l="1"/>
  <c r="H120" i="1" s="1"/>
  <c r="I120" i="1" s="1"/>
  <c r="J120" i="1" s="1"/>
  <c r="D122" i="2"/>
  <c r="A123" i="2"/>
  <c r="C252" i="2"/>
  <c r="D120" i="3"/>
  <c r="A121" i="3"/>
  <c r="G120" i="2"/>
  <c r="H120" i="2" s="1"/>
  <c r="I120" i="2" s="1"/>
  <c r="J120" i="2" s="1"/>
  <c r="E121" i="2"/>
  <c r="C122" i="3"/>
  <c r="C121" i="1"/>
  <c r="D121" i="4"/>
  <c r="A122" i="4"/>
  <c r="G119" i="4"/>
  <c r="H119" i="4" s="1"/>
  <c r="I119" i="4" s="1"/>
  <c r="J119" i="4" s="1"/>
  <c r="E120" i="4"/>
  <c r="D120" i="1"/>
  <c r="F120" i="1"/>
  <c r="E121" i="1" s="1"/>
  <c r="A121" i="1"/>
  <c r="C122" i="4"/>
  <c r="E121" i="3"/>
  <c r="G120" i="3"/>
  <c r="H120" i="3" s="1"/>
  <c r="I120" i="3" s="1"/>
  <c r="J120" i="3" s="1"/>
  <c r="G121" i="1" l="1"/>
  <c r="H121" i="1" s="1"/>
  <c r="I121" i="1" s="1"/>
  <c r="J121" i="1" s="1"/>
  <c r="E122" i="3"/>
  <c r="G121" i="3"/>
  <c r="H121" i="3" s="1"/>
  <c r="I121" i="3" s="1"/>
  <c r="J121" i="3" s="1"/>
  <c r="A123" i="4"/>
  <c r="D122" i="4"/>
  <c r="A122" i="3"/>
  <c r="D121" i="3"/>
  <c r="A122" i="1"/>
  <c r="F121" i="1"/>
  <c r="E122" i="1" s="1"/>
  <c r="D121" i="1"/>
  <c r="C122" i="1"/>
  <c r="C253" i="2"/>
  <c r="D123" i="2"/>
  <c r="A124" i="2"/>
  <c r="C123" i="4"/>
  <c r="C123" i="3"/>
  <c r="E121" i="4"/>
  <c r="G120" i="4"/>
  <c r="H120" i="4" s="1"/>
  <c r="I120" i="4" s="1"/>
  <c r="J120" i="4" s="1"/>
  <c r="G121" i="2"/>
  <c r="H121" i="2" s="1"/>
  <c r="I121" i="2" s="1"/>
  <c r="J121" i="2" s="1"/>
  <c r="E122" i="2"/>
  <c r="G122" i="1" l="1"/>
  <c r="H122" i="1" s="1"/>
  <c r="A123" i="3"/>
  <c r="D122" i="3"/>
  <c r="G121" i="4"/>
  <c r="H121" i="4" s="1"/>
  <c r="I121" i="4" s="1"/>
  <c r="J121" i="4" s="1"/>
  <c r="E122" i="4"/>
  <c r="E123" i="3"/>
  <c r="G122" i="3"/>
  <c r="H122" i="3" s="1"/>
  <c r="I122" i="3" s="1"/>
  <c r="J122" i="3" s="1"/>
  <c r="A124" i="4"/>
  <c r="D123" i="4"/>
  <c r="C124" i="3"/>
  <c r="I122" i="1"/>
  <c r="J122" i="1" s="1"/>
  <c r="C123" i="1"/>
  <c r="C124" i="4"/>
  <c r="C254" i="2"/>
  <c r="G122" i="2"/>
  <c r="H122" i="2" s="1"/>
  <c r="I122" i="2" s="1"/>
  <c r="J122" i="2" s="1"/>
  <c r="E123" i="2"/>
  <c r="D124" i="2"/>
  <c r="A125" i="2"/>
  <c r="F122" i="1"/>
  <c r="E123" i="1" s="1"/>
  <c r="D122" i="1"/>
  <c r="A123" i="1"/>
  <c r="G123" i="1" l="1"/>
  <c r="H123" i="1" s="1"/>
  <c r="I123" i="1" s="1"/>
  <c r="J123" i="1" s="1"/>
  <c r="C125" i="4"/>
  <c r="E124" i="3"/>
  <c r="G123" i="3"/>
  <c r="H123" i="3" s="1"/>
  <c r="I123" i="3" s="1"/>
  <c r="J123" i="3" s="1"/>
  <c r="D125" i="2"/>
  <c r="A126" i="2"/>
  <c r="C124" i="1"/>
  <c r="G122" i="4"/>
  <c r="H122" i="4" s="1"/>
  <c r="I122" i="4" s="1"/>
  <c r="J122" i="4" s="1"/>
  <c r="E123" i="4"/>
  <c r="C125" i="3"/>
  <c r="A124" i="3"/>
  <c r="D123" i="3"/>
  <c r="G123" i="2"/>
  <c r="H123" i="2" s="1"/>
  <c r="I123" i="2" s="1"/>
  <c r="J123" i="2" s="1"/>
  <c r="E124" i="2"/>
  <c r="F123" i="1"/>
  <c r="E124" i="1" s="1"/>
  <c r="A124" i="1"/>
  <c r="D123" i="1"/>
  <c r="C255" i="2"/>
  <c r="D124" i="4"/>
  <c r="A125" i="4"/>
  <c r="G124" i="1" l="1"/>
  <c r="H124" i="1" s="1"/>
  <c r="D126" i="2"/>
  <c r="A127" i="2"/>
  <c r="C126" i="3"/>
  <c r="E125" i="3"/>
  <c r="G124" i="3"/>
  <c r="H124" i="3" s="1"/>
  <c r="I124" i="3" s="1"/>
  <c r="J124" i="3" s="1"/>
  <c r="A125" i="1"/>
  <c r="F124" i="1"/>
  <c r="E125" i="1" s="1"/>
  <c r="D124" i="1"/>
  <c r="G123" i="4"/>
  <c r="H123" i="4" s="1"/>
  <c r="I123" i="4" s="1"/>
  <c r="J123" i="4" s="1"/>
  <c r="E124" i="4"/>
  <c r="C126" i="4"/>
  <c r="C125" i="1"/>
  <c r="I124" i="1"/>
  <c r="J124" i="1" s="1"/>
  <c r="A125" i="3"/>
  <c r="D124" i="3"/>
  <c r="C256" i="2"/>
  <c r="G124" i="2"/>
  <c r="H124" i="2" s="1"/>
  <c r="I124" i="2" s="1"/>
  <c r="J124" i="2" s="1"/>
  <c r="E125" i="2"/>
  <c r="D125" i="4"/>
  <c r="A126" i="4"/>
  <c r="G125" i="1" l="1"/>
  <c r="H125" i="1" s="1"/>
  <c r="I125" i="1" s="1"/>
  <c r="J125" i="1" s="1"/>
  <c r="C126" i="1"/>
  <c r="G125" i="2"/>
  <c r="H125" i="2" s="1"/>
  <c r="I125" i="2" s="1"/>
  <c r="J125" i="2" s="1"/>
  <c r="E126" i="2"/>
  <c r="C127" i="4"/>
  <c r="E126" i="3"/>
  <c r="G125" i="3"/>
  <c r="H125" i="3" s="1"/>
  <c r="I125" i="3" s="1"/>
  <c r="J125" i="3" s="1"/>
  <c r="D127" i="2"/>
  <c r="A128" i="2"/>
  <c r="E125" i="4"/>
  <c r="G124" i="4"/>
  <c r="H124" i="4" s="1"/>
  <c r="I124" i="4" s="1"/>
  <c r="J124" i="4" s="1"/>
  <c r="C127" i="3"/>
  <c r="C257" i="2"/>
  <c r="A126" i="3"/>
  <c r="D125" i="3"/>
  <c r="A127" i="4"/>
  <c r="D126" i="4"/>
  <c r="D125" i="1"/>
  <c r="A126" i="1"/>
  <c r="F125" i="1"/>
  <c r="E126" i="1" s="1"/>
  <c r="G126" i="1" l="1"/>
  <c r="H126" i="1" s="1"/>
  <c r="I126" i="1" s="1"/>
  <c r="J126" i="1" s="1"/>
  <c r="A127" i="3"/>
  <c r="D126" i="3"/>
  <c r="C258" i="2"/>
  <c r="E127" i="3"/>
  <c r="G126" i="3"/>
  <c r="H126" i="3" s="1"/>
  <c r="I126" i="3" s="1"/>
  <c r="J126" i="3" s="1"/>
  <c r="F126" i="1"/>
  <c r="E127" i="1" s="1"/>
  <c r="A127" i="1"/>
  <c r="D126" i="1"/>
  <c r="C128" i="4"/>
  <c r="C128" i="3"/>
  <c r="D128" i="2"/>
  <c r="A129" i="2"/>
  <c r="C127" i="1"/>
  <c r="G126" i="2"/>
  <c r="H126" i="2" s="1"/>
  <c r="I126" i="2" s="1"/>
  <c r="J126" i="2" s="1"/>
  <c r="E127" i="2"/>
  <c r="A128" i="4"/>
  <c r="D127" i="4"/>
  <c r="G125" i="4"/>
  <c r="H125" i="4" s="1"/>
  <c r="I125" i="4" s="1"/>
  <c r="J125" i="4" s="1"/>
  <c r="E126" i="4"/>
  <c r="G127" i="1" l="1"/>
  <c r="H127" i="1" s="1"/>
  <c r="I127" i="1" s="1"/>
  <c r="J127" i="1" s="1"/>
  <c r="E128" i="3"/>
  <c r="G127" i="3"/>
  <c r="H127" i="3" s="1"/>
  <c r="I127" i="3" s="1"/>
  <c r="J127" i="3" s="1"/>
  <c r="C129" i="3"/>
  <c r="D128" i="4"/>
  <c r="A129" i="4"/>
  <c r="G127" i="2"/>
  <c r="H127" i="2" s="1"/>
  <c r="I127" i="2" s="1"/>
  <c r="J127" i="2" s="1"/>
  <c r="E128" i="2"/>
  <c r="C129" i="4"/>
  <c r="C259" i="2"/>
  <c r="A128" i="3"/>
  <c r="D127" i="3"/>
  <c r="C128" i="1"/>
  <c r="F127" i="1"/>
  <c r="E128" i="1" s="1"/>
  <c r="D127" i="1"/>
  <c r="A128" i="1"/>
  <c r="G126" i="4"/>
  <c r="H126" i="4" s="1"/>
  <c r="I126" i="4" s="1"/>
  <c r="J126" i="4" s="1"/>
  <c r="E127" i="4"/>
  <c r="D129" i="2"/>
  <c r="A130" i="2"/>
  <c r="G128" i="1" l="1"/>
  <c r="H128" i="1" s="1"/>
  <c r="I128" i="1" s="1"/>
  <c r="J128" i="1" s="1"/>
  <c r="D129" i="4"/>
  <c r="A130" i="4"/>
  <c r="G127" i="4"/>
  <c r="H127" i="4" s="1"/>
  <c r="I127" i="4" s="1"/>
  <c r="J127" i="4" s="1"/>
  <c r="E128" i="4"/>
  <c r="C130" i="3"/>
  <c r="D130" i="2"/>
  <c r="A131" i="2"/>
  <c r="A129" i="3"/>
  <c r="D128" i="3"/>
  <c r="D128" i="1"/>
  <c r="F128" i="1"/>
  <c r="E129" i="1" s="1"/>
  <c r="A129" i="1"/>
  <c r="C260" i="2"/>
  <c r="C130" i="4"/>
  <c r="E129" i="3"/>
  <c r="G128" i="3"/>
  <c r="H128" i="3" s="1"/>
  <c r="I128" i="3" s="1"/>
  <c r="J128" i="3" s="1"/>
  <c r="C129" i="1"/>
  <c r="G128" i="2"/>
  <c r="H128" i="2" s="1"/>
  <c r="I128" i="2" s="1"/>
  <c r="J128" i="2" s="1"/>
  <c r="E129" i="2"/>
  <c r="G129" i="1" l="1"/>
  <c r="H129" i="1" s="1"/>
  <c r="I129" i="1" s="1"/>
  <c r="J129" i="1" s="1"/>
  <c r="A130" i="1"/>
  <c r="F129" i="1"/>
  <c r="E130" i="1" s="1"/>
  <c r="D129" i="1"/>
  <c r="C131" i="3"/>
  <c r="C261" i="2"/>
  <c r="C130" i="1"/>
  <c r="E129" i="4"/>
  <c r="G128" i="4"/>
  <c r="H128" i="4" s="1"/>
  <c r="I128" i="4" s="1"/>
  <c r="J128" i="4" s="1"/>
  <c r="A131" i="4"/>
  <c r="D130" i="4"/>
  <c r="E130" i="3"/>
  <c r="G129" i="3"/>
  <c r="H129" i="3" s="1"/>
  <c r="I129" i="3" s="1"/>
  <c r="J129" i="3" s="1"/>
  <c r="C131" i="4"/>
  <c r="A130" i="3"/>
  <c r="D129" i="3"/>
  <c r="D131" i="2"/>
  <c r="A132" i="2"/>
  <c r="G129" i="2"/>
  <c r="H129" i="2" s="1"/>
  <c r="I129" i="2" s="1"/>
  <c r="J129" i="2" s="1"/>
  <c r="E130" i="2"/>
  <c r="G130" i="1" l="1"/>
  <c r="H130" i="1" s="1"/>
  <c r="E131" i="3"/>
  <c r="G130" i="3"/>
  <c r="H130" i="3" s="1"/>
  <c r="I130" i="3" s="1"/>
  <c r="J130" i="3" s="1"/>
  <c r="C262" i="2"/>
  <c r="D132" i="2"/>
  <c r="A133" i="2"/>
  <c r="A132" i="4"/>
  <c r="D131" i="4"/>
  <c r="C132" i="3"/>
  <c r="A131" i="3"/>
  <c r="D130" i="3"/>
  <c r="G130" i="2"/>
  <c r="H130" i="2" s="1"/>
  <c r="I130" i="2" s="1"/>
  <c r="J130" i="2" s="1"/>
  <c r="E131" i="2"/>
  <c r="G129" i="4"/>
  <c r="H129" i="4" s="1"/>
  <c r="I129" i="4" s="1"/>
  <c r="J129" i="4" s="1"/>
  <c r="E130" i="4"/>
  <c r="A131" i="1"/>
  <c r="F130" i="1"/>
  <c r="E131" i="1" s="1"/>
  <c r="D130" i="1"/>
  <c r="C132" i="4"/>
  <c r="C131" i="1"/>
  <c r="I130" i="1"/>
  <c r="J130" i="1" s="1"/>
  <c r="G131" i="1" l="1"/>
  <c r="H131" i="1" s="1"/>
  <c r="I131" i="1" s="1"/>
  <c r="J131" i="1" s="1"/>
  <c r="D133" i="2"/>
  <c r="A134" i="2"/>
  <c r="A132" i="3"/>
  <c r="D131" i="3"/>
  <c r="C263" i="2"/>
  <c r="G131" i="2"/>
  <c r="H131" i="2" s="1"/>
  <c r="I131" i="2" s="1"/>
  <c r="J131" i="2" s="1"/>
  <c r="E132" i="2"/>
  <c r="C133" i="4"/>
  <c r="F131" i="1"/>
  <c r="E132" i="1" s="1"/>
  <c r="A132" i="1"/>
  <c r="D131" i="1"/>
  <c r="C133" i="3"/>
  <c r="E132" i="3"/>
  <c r="G131" i="3"/>
  <c r="H131" i="3" s="1"/>
  <c r="I131" i="3" s="1"/>
  <c r="J131" i="3" s="1"/>
  <c r="C132" i="1"/>
  <c r="G130" i="4"/>
  <c r="H130" i="4" s="1"/>
  <c r="I130" i="4" s="1"/>
  <c r="J130" i="4" s="1"/>
  <c r="E131" i="4"/>
  <c r="D132" i="4"/>
  <c r="A133" i="4"/>
  <c r="G132" i="1" l="1"/>
  <c r="H132" i="1" s="1"/>
  <c r="I132" i="1" s="1"/>
  <c r="J132" i="1" s="1"/>
  <c r="C264" i="2"/>
  <c r="C134" i="3"/>
  <c r="G131" i="4"/>
  <c r="H131" i="4" s="1"/>
  <c r="I131" i="4" s="1"/>
  <c r="J131" i="4" s="1"/>
  <c r="E132" i="4"/>
  <c r="D132" i="1"/>
  <c r="A133" i="1"/>
  <c r="F132" i="1"/>
  <c r="E133" i="1" s="1"/>
  <c r="A133" i="3"/>
  <c r="D132" i="3"/>
  <c r="C133" i="1"/>
  <c r="C134" i="4"/>
  <c r="D134" i="2"/>
  <c r="A135" i="2"/>
  <c r="E133" i="3"/>
  <c r="G132" i="3"/>
  <c r="H132" i="3" s="1"/>
  <c r="I132" i="3" s="1"/>
  <c r="J132" i="3" s="1"/>
  <c r="G132" i="2"/>
  <c r="H132" i="2" s="1"/>
  <c r="I132" i="2" s="1"/>
  <c r="J132" i="2" s="1"/>
  <c r="E133" i="2"/>
  <c r="D133" i="4"/>
  <c r="A134" i="4"/>
  <c r="G133" i="1" l="1"/>
  <c r="H133" i="1" s="1"/>
  <c r="I133" i="1" s="1"/>
  <c r="J133" i="1" s="1"/>
  <c r="C134" i="1"/>
  <c r="C135" i="3"/>
  <c r="A134" i="3"/>
  <c r="D133" i="3"/>
  <c r="E133" i="4"/>
  <c r="G132" i="4"/>
  <c r="H132" i="4" s="1"/>
  <c r="I132" i="4" s="1"/>
  <c r="J132" i="4" s="1"/>
  <c r="G133" i="2"/>
  <c r="H133" i="2" s="1"/>
  <c r="I133" i="2" s="1"/>
  <c r="J133" i="2" s="1"/>
  <c r="E134" i="2"/>
  <c r="E134" i="3"/>
  <c r="G133" i="3"/>
  <c r="H133" i="3" s="1"/>
  <c r="I133" i="3" s="1"/>
  <c r="J133" i="3" s="1"/>
  <c r="D135" i="2"/>
  <c r="A136" i="2"/>
  <c r="C265" i="2"/>
  <c r="D133" i="1"/>
  <c r="F133" i="1"/>
  <c r="E134" i="1" s="1"/>
  <c r="A134" i="1"/>
  <c r="A135" i="4"/>
  <c r="D134" i="4"/>
  <c r="C135" i="4"/>
  <c r="G134" i="1" l="1"/>
  <c r="H134" i="1" s="1"/>
  <c r="I134" i="1" s="1"/>
  <c r="J134" i="1" s="1"/>
  <c r="A135" i="3"/>
  <c r="D134" i="3"/>
  <c r="F134" i="1"/>
  <c r="E135" i="1" s="1"/>
  <c r="A135" i="1"/>
  <c r="D134" i="1"/>
  <c r="C136" i="3"/>
  <c r="A136" i="4"/>
  <c r="D135" i="4"/>
  <c r="E135" i="3"/>
  <c r="G134" i="3"/>
  <c r="H134" i="3" s="1"/>
  <c r="I134" i="3" s="1"/>
  <c r="J134" i="3" s="1"/>
  <c r="G134" i="2"/>
  <c r="H134" i="2" s="1"/>
  <c r="I134" i="2" s="1"/>
  <c r="J134" i="2" s="1"/>
  <c r="E135" i="2"/>
  <c r="C135" i="1"/>
  <c r="D136" i="2"/>
  <c r="A137" i="2"/>
  <c r="C136" i="4"/>
  <c r="C266" i="2"/>
  <c r="G133" i="4"/>
  <c r="H133" i="4" s="1"/>
  <c r="I133" i="4" s="1"/>
  <c r="J133" i="4" s="1"/>
  <c r="E134" i="4"/>
  <c r="G135" i="1" l="1"/>
  <c r="H135" i="1" s="1"/>
  <c r="I135" i="1" s="1"/>
  <c r="J135" i="1" s="1"/>
  <c r="G135" i="2"/>
  <c r="H135" i="2" s="1"/>
  <c r="I135" i="2" s="1"/>
  <c r="J135" i="2" s="1"/>
  <c r="E136" i="2"/>
  <c r="F135" i="1"/>
  <c r="E136" i="1" s="1"/>
  <c r="D135" i="1"/>
  <c r="A136" i="1"/>
  <c r="C137" i="3"/>
  <c r="A136" i="3"/>
  <c r="D135" i="3"/>
  <c r="C136" i="1"/>
  <c r="C137" i="4"/>
  <c r="D137" i="2"/>
  <c r="A138" i="2"/>
  <c r="C267" i="2"/>
  <c r="E136" i="3"/>
  <c r="G135" i="3"/>
  <c r="H135" i="3" s="1"/>
  <c r="I135" i="3" s="1"/>
  <c r="J135" i="3" s="1"/>
  <c r="D136" i="4"/>
  <c r="A137" i="4"/>
  <c r="G134" i="4"/>
  <c r="H134" i="4" s="1"/>
  <c r="I134" i="4" s="1"/>
  <c r="J134" i="4" s="1"/>
  <c r="E135" i="4"/>
  <c r="G136" i="1" l="1"/>
  <c r="H136" i="1" s="1"/>
  <c r="I136" i="1" s="1"/>
  <c r="J136" i="1" s="1"/>
  <c r="C138" i="3"/>
  <c r="D137" i="4"/>
  <c r="A138" i="4"/>
  <c r="C138" i="4"/>
  <c r="D136" i="1"/>
  <c r="A137" i="1"/>
  <c r="F136" i="1"/>
  <c r="E137" i="1" s="1"/>
  <c r="C137" i="1"/>
  <c r="E137" i="3"/>
  <c r="G136" i="3"/>
  <c r="H136" i="3" s="1"/>
  <c r="I136" i="3" s="1"/>
  <c r="J136" i="3" s="1"/>
  <c r="G136" i="2"/>
  <c r="H136" i="2" s="1"/>
  <c r="I136" i="2" s="1"/>
  <c r="J136" i="2" s="1"/>
  <c r="E137" i="2"/>
  <c r="C268" i="2"/>
  <c r="A137" i="3"/>
  <c r="D136" i="3"/>
  <c r="E136" i="4"/>
  <c r="G135" i="4"/>
  <c r="H135" i="4" s="1"/>
  <c r="I135" i="4" s="1"/>
  <c r="J135" i="4" s="1"/>
  <c r="D138" i="2"/>
  <c r="A139" i="2"/>
  <c r="G137" i="1" l="1"/>
  <c r="H137" i="1" s="1"/>
  <c r="I137" i="1" s="1"/>
  <c r="J137" i="1" s="1"/>
  <c r="D138" i="4"/>
  <c r="A139" i="4"/>
  <c r="C139" i="4"/>
  <c r="G136" i="4"/>
  <c r="H136" i="4" s="1"/>
  <c r="I136" i="4" s="1"/>
  <c r="J136" i="4" s="1"/>
  <c r="E137" i="4"/>
  <c r="E138" i="3"/>
  <c r="G137" i="3"/>
  <c r="H137" i="3" s="1"/>
  <c r="I137" i="3" s="1"/>
  <c r="J137" i="3" s="1"/>
  <c r="C138" i="1"/>
  <c r="D139" i="2"/>
  <c r="A140" i="2"/>
  <c r="A138" i="3"/>
  <c r="D137" i="3"/>
  <c r="C139" i="3"/>
  <c r="G137" i="2"/>
  <c r="H137" i="2" s="1"/>
  <c r="I137" i="2" s="1"/>
  <c r="J137" i="2" s="1"/>
  <c r="E138" i="2"/>
  <c r="C269" i="2"/>
  <c r="A138" i="1"/>
  <c r="F137" i="1"/>
  <c r="E138" i="1" s="1"/>
  <c r="D137" i="1"/>
  <c r="G138" i="1" l="1"/>
  <c r="H138" i="1" s="1"/>
  <c r="I138" i="1" s="1"/>
  <c r="J138" i="1" s="1"/>
  <c r="D138" i="1"/>
  <c r="A139" i="1"/>
  <c r="F138" i="1"/>
  <c r="E139" i="1" s="1"/>
  <c r="D140" i="2"/>
  <c r="A141" i="2"/>
  <c r="C140" i="4"/>
  <c r="C139" i="1"/>
  <c r="C140" i="3"/>
  <c r="E139" i="3"/>
  <c r="G138" i="3"/>
  <c r="H138" i="3" s="1"/>
  <c r="I138" i="3" s="1"/>
  <c r="J138" i="3" s="1"/>
  <c r="E138" i="4"/>
  <c r="G137" i="4"/>
  <c r="H137" i="4" s="1"/>
  <c r="I137" i="4" s="1"/>
  <c r="J137" i="4" s="1"/>
  <c r="A139" i="3"/>
  <c r="D138" i="3"/>
  <c r="C270" i="2"/>
  <c r="G138" i="2"/>
  <c r="H138" i="2" s="1"/>
  <c r="I138" i="2" s="1"/>
  <c r="J138" i="2" s="1"/>
  <c r="E139" i="2"/>
  <c r="D139" i="4"/>
  <c r="A140" i="4"/>
  <c r="G139" i="1" l="1"/>
  <c r="H139" i="1" s="1"/>
  <c r="I139" i="1" s="1"/>
  <c r="J139" i="1" s="1"/>
  <c r="D141" i="2"/>
  <c r="A142" i="2"/>
  <c r="G138" i="4"/>
  <c r="H138" i="4" s="1"/>
  <c r="I138" i="4" s="1"/>
  <c r="J138" i="4" s="1"/>
  <c r="E139" i="4"/>
  <c r="G139" i="2"/>
  <c r="H139" i="2" s="1"/>
  <c r="I139" i="2" s="1"/>
  <c r="J139" i="2" s="1"/>
  <c r="E140" i="2"/>
  <c r="E140" i="3"/>
  <c r="G139" i="3"/>
  <c r="H139" i="3" s="1"/>
  <c r="I139" i="3" s="1"/>
  <c r="J139" i="3" s="1"/>
  <c r="C271" i="2"/>
  <c r="C141" i="3"/>
  <c r="F139" i="1"/>
  <c r="E140" i="1" s="1"/>
  <c r="D139" i="1"/>
  <c r="A140" i="1"/>
  <c r="D140" i="4"/>
  <c r="A141" i="4"/>
  <c r="A140" i="3"/>
  <c r="D139" i="3"/>
  <c r="C140" i="1"/>
  <c r="C141" i="4"/>
  <c r="G140" i="1" l="1"/>
  <c r="H140" i="1" s="1"/>
  <c r="I140" i="1" s="1"/>
  <c r="J140" i="1" s="1"/>
  <c r="G140" i="2"/>
  <c r="H140" i="2" s="1"/>
  <c r="I140" i="2" s="1"/>
  <c r="J140" i="2" s="1"/>
  <c r="E141" i="2"/>
  <c r="C141" i="1"/>
  <c r="E140" i="4"/>
  <c r="G139" i="4"/>
  <c r="H139" i="4" s="1"/>
  <c r="I139" i="4" s="1"/>
  <c r="J139" i="4" s="1"/>
  <c r="C142" i="3"/>
  <c r="A141" i="3"/>
  <c r="D140" i="3"/>
  <c r="D142" i="2"/>
  <c r="A143" i="2"/>
  <c r="C272" i="2"/>
  <c r="D141" i="4"/>
  <c r="A142" i="4"/>
  <c r="C142" i="4"/>
  <c r="F140" i="1"/>
  <c r="E141" i="1" s="1"/>
  <c r="D140" i="1"/>
  <c r="A141" i="1"/>
  <c r="E141" i="3"/>
  <c r="G140" i="3"/>
  <c r="H140" i="3" s="1"/>
  <c r="I140" i="3" s="1"/>
  <c r="J140" i="3" s="1"/>
  <c r="G141" i="1" l="1"/>
  <c r="H141" i="1" s="1"/>
  <c r="I141" i="1" s="1"/>
  <c r="J141" i="1" s="1"/>
  <c r="D141" i="1"/>
  <c r="F141" i="1"/>
  <c r="E142" i="1" s="1"/>
  <c r="A142" i="1"/>
  <c r="C273" i="2"/>
  <c r="G140" i="4"/>
  <c r="H140" i="4" s="1"/>
  <c r="I140" i="4" s="1"/>
  <c r="J140" i="4" s="1"/>
  <c r="E141" i="4"/>
  <c r="D143" i="2"/>
  <c r="A144" i="2"/>
  <c r="C142" i="1"/>
  <c r="G141" i="2"/>
  <c r="H141" i="2" s="1"/>
  <c r="I141" i="2" s="1"/>
  <c r="J141" i="2" s="1"/>
  <c r="E142" i="2"/>
  <c r="C143" i="3"/>
  <c r="E142" i="3"/>
  <c r="G141" i="3"/>
  <c r="H141" i="3" s="1"/>
  <c r="I141" i="3" s="1"/>
  <c r="J141" i="3" s="1"/>
  <c r="C143" i="4"/>
  <c r="A142" i="3"/>
  <c r="D141" i="3"/>
  <c r="D142" i="4"/>
  <c r="A143" i="4"/>
  <c r="G142" i="1" l="1"/>
  <c r="H142" i="1" s="1"/>
  <c r="I142" i="1" s="1"/>
  <c r="J142" i="1" s="1"/>
  <c r="G142" i="2"/>
  <c r="H142" i="2" s="1"/>
  <c r="I142" i="2" s="1"/>
  <c r="J142" i="2" s="1"/>
  <c r="E143" i="2"/>
  <c r="C274" i="2"/>
  <c r="F142" i="1"/>
  <c r="E143" i="1" s="1"/>
  <c r="A143" i="1"/>
  <c r="D142" i="1"/>
  <c r="C144" i="3"/>
  <c r="A143" i="3"/>
  <c r="D142" i="3"/>
  <c r="C144" i="4"/>
  <c r="C143" i="1"/>
  <c r="D144" i="2"/>
  <c r="A145" i="2"/>
  <c r="E143" i="3"/>
  <c r="G142" i="3"/>
  <c r="H142" i="3" s="1"/>
  <c r="I142" i="3" s="1"/>
  <c r="J142" i="3" s="1"/>
  <c r="D143" i="4"/>
  <c r="A144" i="4"/>
  <c r="E142" i="4"/>
  <c r="G141" i="4"/>
  <c r="H141" i="4" s="1"/>
  <c r="I141" i="4" s="1"/>
  <c r="J141" i="4" s="1"/>
  <c r="G143" i="1" l="1"/>
  <c r="H143" i="1" s="1"/>
  <c r="I143" i="1" s="1"/>
  <c r="J143" i="1" s="1"/>
  <c r="C144" i="1"/>
  <c r="G142" i="4"/>
  <c r="H142" i="4" s="1"/>
  <c r="I142" i="4" s="1"/>
  <c r="J142" i="4" s="1"/>
  <c r="E143" i="4"/>
  <c r="A144" i="1"/>
  <c r="F143" i="1"/>
  <c r="E144" i="1" s="1"/>
  <c r="D143" i="1"/>
  <c r="D144" i="4"/>
  <c r="A145" i="4"/>
  <c r="C145" i="4"/>
  <c r="C275" i="2"/>
  <c r="E144" i="3"/>
  <c r="G143" i="3"/>
  <c r="H143" i="3" s="1"/>
  <c r="I143" i="3" s="1"/>
  <c r="J143" i="3" s="1"/>
  <c r="A144" i="3"/>
  <c r="D143" i="3"/>
  <c r="G143" i="2"/>
  <c r="H143" i="2" s="1"/>
  <c r="I143" i="2" s="1"/>
  <c r="J143" i="2" s="1"/>
  <c r="E144" i="2"/>
  <c r="D145" i="2"/>
  <c r="A146" i="2"/>
  <c r="C145" i="3"/>
  <c r="G144" i="1" l="1"/>
  <c r="H144" i="1" s="1"/>
  <c r="I144" i="1" s="1"/>
  <c r="J144" i="1" s="1"/>
  <c r="C146" i="3"/>
  <c r="E145" i="3"/>
  <c r="G144" i="3"/>
  <c r="H144" i="3" s="1"/>
  <c r="I144" i="3" s="1"/>
  <c r="J144" i="3" s="1"/>
  <c r="D146" i="2"/>
  <c r="A147" i="2"/>
  <c r="D144" i="1"/>
  <c r="A145" i="1"/>
  <c r="F144" i="1"/>
  <c r="E145" i="1" s="1"/>
  <c r="C276" i="2"/>
  <c r="E144" i="4"/>
  <c r="G143" i="4"/>
  <c r="H143" i="4" s="1"/>
  <c r="I143" i="4" s="1"/>
  <c r="J143" i="4" s="1"/>
  <c r="C146" i="4"/>
  <c r="G144" i="2"/>
  <c r="H144" i="2" s="1"/>
  <c r="I144" i="2" s="1"/>
  <c r="J144" i="2" s="1"/>
  <c r="E145" i="2"/>
  <c r="D145" i="4"/>
  <c r="A146" i="4"/>
  <c r="C145" i="1"/>
  <c r="A145" i="3"/>
  <c r="D144" i="3"/>
  <c r="G145" i="1" l="1"/>
  <c r="H145" i="1" s="1"/>
  <c r="I145" i="1" s="1"/>
  <c r="J145" i="1" s="1"/>
  <c r="C147" i="4"/>
  <c r="A146" i="3"/>
  <c r="D145" i="3"/>
  <c r="D147" i="2"/>
  <c r="A148" i="2"/>
  <c r="C146" i="1"/>
  <c r="G144" i="4"/>
  <c r="H144" i="4" s="1"/>
  <c r="I144" i="4" s="1"/>
  <c r="J144" i="4" s="1"/>
  <c r="E145" i="4"/>
  <c r="E146" i="3"/>
  <c r="G145" i="3"/>
  <c r="H145" i="3" s="1"/>
  <c r="I145" i="3" s="1"/>
  <c r="J145" i="3" s="1"/>
  <c r="D146" i="4"/>
  <c r="A147" i="4"/>
  <c r="C277" i="2"/>
  <c r="G145" i="2"/>
  <c r="H145" i="2" s="1"/>
  <c r="I145" i="2" s="1"/>
  <c r="J145" i="2" s="1"/>
  <c r="E146" i="2"/>
  <c r="C147" i="3"/>
  <c r="A146" i="1"/>
  <c r="D145" i="1"/>
  <c r="F145" i="1"/>
  <c r="E146" i="1" s="1"/>
  <c r="G146" i="1" l="1"/>
  <c r="H146" i="1" s="1"/>
  <c r="A147" i="3"/>
  <c r="D146" i="3"/>
  <c r="C148" i="3"/>
  <c r="E147" i="3"/>
  <c r="G146" i="3"/>
  <c r="H146" i="3" s="1"/>
  <c r="I146" i="3" s="1"/>
  <c r="J146" i="3" s="1"/>
  <c r="G146" i="2"/>
  <c r="H146" i="2" s="1"/>
  <c r="I146" i="2" s="1"/>
  <c r="J146" i="2" s="1"/>
  <c r="E147" i="2"/>
  <c r="E146" i="4"/>
  <c r="G145" i="4"/>
  <c r="H145" i="4" s="1"/>
  <c r="I145" i="4" s="1"/>
  <c r="J145" i="4" s="1"/>
  <c r="C148" i="4"/>
  <c r="D148" i="2"/>
  <c r="A149" i="2"/>
  <c r="D147" i="4"/>
  <c r="A148" i="4"/>
  <c r="F146" i="1"/>
  <c r="E147" i="1" s="1"/>
  <c r="D146" i="1"/>
  <c r="A147" i="1"/>
  <c r="C278" i="2"/>
  <c r="C147" i="1"/>
  <c r="I146" i="1"/>
  <c r="J146" i="1" s="1"/>
  <c r="G147" i="1" l="1"/>
  <c r="H147" i="1" s="1"/>
  <c r="I147" i="1" s="1"/>
  <c r="J147" i="1" s="1"/>
  <c r="E148" i="3"/>
  <c r="G147" i="3"/>
  <c r="H147" i="3" s="1"/>
  <c r="I147" i="3" s="1"/>
  <c r="J147" i="3" s="1"/>
  <c r="C279" i="2"/>
  <c r="C149" i="4"/>
  <c r="C148" i="1"/>
  <c r="D149" i="2"/>
  <c r="A150" i="2"/>
  <c r="F147" i="1"/>
  <c r="E148" i="1" s="1"/>
  <c r="D147" i="1"/>
  <c r="A148" i="1"/>
  <c r="C149" i="3"/>
  <c r="G146" i="4"/>
  <c r="H146" i="4" s="1"/>
  <c r="I146" i="4" s="1"/>
  <c r="J146" i="4" s="1"/>
  <c r="E147" i="4"/>
  <c r="A148" i="3"/>
  <c r="D147" i="3"/>
  <c r="D148" i="4"/>
  <c r="A149" i="4"/>
  <c r="G147" i="2"/>
  <c r="H147" i="2" s="1"/>
  <c r="I147" i="2" s="1"/>
  <c r="J147" i="2" s="1"/>
  <c r="E148" i="2"/>
  <c r="G148" i="1" l="1"/>
  <c r="H148" i="1" s="1"/>
  <c r="I148" i="1" s="1"/>
  <c r="J148" i="1" s="1"/>
  <c r="C150" i="3"/>
  <c r="C150" i="4"/>
  <c r="D149" i="4"/>
  <c r="A150" i="4"/>
  <c r="F148" i="1"/>
  <c r="E149" i="1" s="1"/>
  <c r="D148" i="1"/>
  <c r="A149" i="1"/>
  <c r="C280" i="2"/>
  <c r="E149" i="3"/>
  <c r="G148" i="3"/>
  <c r="H148" i="3" s="1"/>
  <c r="I148" i="3" s="1"/>
  <c r="J148" i="3" s="1"/>
  <c r="D150" i="2"/>
  <c r="A151" i="2"/>
  <c r="E148" i="4"/>
  <c r="G147" i="4"/>
  <c r="H147" i="4" s="1"/>
  <c r="I147" i="4" s="1"/>
  <c r="J147" i="4" s="1"/>
  <c r="A149" i="3"/>
  <c r="D148" i="3"/>
  <c r="C149" i="1"/>
  <c r="G148" i="2"/>
  <c r="H148" i="2" s="1"/>
  <c r="I148" i="2" s="1"/>
  <c r="J148" i="2" s="1"/>
  <c r="E149" i="2"/>
  <c r="G149" i="1" l="1"/>
  <c r="H149" i="1" s="1"/>
  <c r="I149" i="1" s="1"/>
  <c r="J149" i="1" s="1"/>
  <c r="D150" i="4"/>
  <c r="A151" i="4"/>
  <c r="C150" i="1"/>
  <c r="E150" i="3"/>
  <c r="G149" i="3"/>
  <c r="H149" i="3" s="1"/>
  <c r="I149" i="3" s="1"/>
  <c r="J149" i="3" s="1"/>
  <c r="C151" i="4"/>
  <c r="A150" i="3"/>
  <c r="D149" i="3"/>
  <c r="C281" i="2"/>
  <c r="D149" i="1"/>
  <c r="A150" i="1"/>
  <c r="F149" i="1"/>
  <c r="E150" i="1" s="1"/>
  <c r="C151" i="3"/>
  <c r="G148" i="4"/>
  <c r="H148" i="4" s="1"/>
  <c r="I148" i="4" s="1"/>
  <c r="J148" i="4" s="1"/>
  <c r="E149" i="4"/>
  <c r="G149" i="2"/>
  <c r="H149" i="2" s="1"/>
  <c r="I149" i="2" s="1"/>
  <c r="J149" i="2" s="1"/>
  <c r="E150" i="2"/>
  <c r="D151" i="2"/>
  <c r="A152" i="2"/>
  <c r="G150" i="1" l="1"/>
  <c r="H150" i="1" s="1"/>
  <c r="I150" i="1" s="1"/>
  <c r="J150" i="1" s="1"/>
  <c r="E151" i="3"/>
  <c r="G150" i="3"/>
  <c r="H150" i="3" s="1"/>
  <c r="I150" i="3" s="1"/>
  <c r="J150" i="3" s="1"/>
  <c r="G150" i="2"/>
  <c r="H150" i="2" s="1"/>
  <c r="I150" i="2" s="1"/>
  <c r="J150" i="2" s="1"/>
  <c r="E151" i="2"/>
  <c r="E150" i="4"/>
  <c r="G149" i="4"/>
  <c r="H149" i="4" s="1"/>
  <c r="I149" i="4" s="1"/>
  <c r="J149" i="4" s="1"/>
  <c r="C282" i="2"/>
  <c r="C151" i="1"/>
  <c r="D151" i="4"/>
  <c r="A152" i="4"/>
  <c r="A151" i="3"/>
  <c r="D150" i="3"/>
  <c r="C152" i="3"/>
  <c r="C152" i="4"/>
  <c r="F150" i="1"/>
  <c r="E151" i="1" s="1"/>
  <c r="A151" i="1"/>
  <c r="D150" i="1"/>
  <c r="D152" i="2"/>
  <c r="A153" i="2"/>
  <c r="G151" i="1" l="1"/>
  <c r="H151" i="1" s="1"/>
  <c r="I151" i="1" s="1"/>
  <c r="J151" i="1" s="1"/>
  <c r="A152" i="3"/>
  <c r="D151" i="3"/>
  <c r="G150" i="4"/>
  <c r="H150" i="4" s="1"/>
  <c r="I150" i="4" s="1"/>
  <c r="J150" i="4" s="1"/>
  <c r="E151" i="4"/>
  <c r="D152" i="4"/>
  <c r="A153" i="4"/>
  <c r="G151" i="2"/>
  <c r="H151" i="2" s="1"/>
  <c r="I151" i="2" s="1"/>
  <c r="J151" i="2" s="1"/>
  <c r="E152" i="2"/>
  <c r="C153" i="4"/>
  <c r="C152" i="1"/>
  <c r="E152" i="3"/>
  <c r="G151" i="3"/>
  <c r="H151" i="3" s="1"/>
  <c r="I151" i="3" s="1"/>
  <c r="J151" i="3" s="1"/>
  <c r="D151" i="1"/>
  <c r="A152" i="1"/>
  <c r="F151" i="1"/>
  <c r="E152" i="1" s="1"/>
  <c r="D153" i="2"/>
  <c r="A154" i="2"/>
  <c r="C153" i="3"/>
  <c r="C283" i="2"/>
  <c r="G152" i="1" l="1"/>
  <c r="H152" i="1" s="1"/>
  <c r="I152" i="1" s="1"/>
  <c r="J152" i="1" s="1"/>
  <c r="D153" i="4"/>
  <c r="A154" i="4"/>
  <c r="E153" i="3"/>
  <c r="G152" i="3"/>
  <c r="H152" i="3" s="1"/>
  <c r="I152" i="3" s="1"/>
  <c r="J152" i="3" s="1"/>
  <c r="C154" i="3"/>
  <c r="E152" i="4"/>
  <c r="G151" i="4"/>
  <c r="H151" i="4" s="1"/>
  <c r="I151" i="4" s="1"/>
  <c r="J151" i="4" s="1"/>
  <c r="C154" i="4"/>
  <c r="A153" i="3"/>
  <c r="D152" i="3"/>
  <c r="C284" i="2"/>
  <c r="D154" i="2"/>
  <c r="A155" i="2"/>
  <c r="C153" i="1"/>
  <c r="D152" i="1"/>
  <c r="F152" i="1"/>
  <c r="E153" i="1" s="1"/>
  <c r="A153" i="1"/>
  <c r="G152" i="2"/>
  <c r="H152" i="2" s="1"/>
  <c r="I152" i="2" s="1"/>
  <c r="J152" i="2" s="1"/>
  <c r="E153" i="2"/>
  <c r="G153" i="1" l="1"/>
  <c r="H153" i="1" s="1"/>
  <c r="I153" i="1" s="1"/>
  <c r="J153" i="1" s="1"/>
  <c r="A154" i="1"/>
  <c r="F153" i="1"/>
  <c r="E154" i="1" s="1"/>
  <c r="D153" i="1"/>
  <c r="C285" i="2"/>
  <c r="C155" i="3"/>
  <c r="A154" i="3"/>
  <c r="D153" i="3"/>
  <c r="E154" i="3"/>
  <c r="G153" i="3"/>
  <c r="H153" i="3" s="1"/>
  <c r="I153" i="3" s="1"/>
  <c r="J153" i="3" s="1"/>
  <c r="C155" i="4"/>
  <c r="D154" i="4"/>
  <c r="A155" i="4"/>
  <c r="C154" i="1"/>
  <c r="D155" i="2"/>
  <c r="A156" i="2"/>
  <c r="G153" i="2"/>
  <c r="H153" i="2" s="1"/>
  <c r="I153" i="2" s="1"/>
  <c r="J153" i="2" s="1"/>
  <c r="E154" i="2"/>
  <c r="G152" i="4"/>
  <c r="H152" i="4" s="1"/>
  <c r="I152" i="4" s="1"/>
  <c r="J152" i="4" s="1"/>
  <c r="E153" i="4"/>
  <c r="G154" i="1" l="1"/>
  <c r="H154" i="1" s="1"/>
  <c r="C156" i="3"/>
  <c r="G154" i="2"/>
  <c r="H154" i="2" s="1"/>
  <c r="I154" i="2" s="1"/>
  <c r="J154" i="2" s="1"/>
  <c r="E155" i="2"/>
  <c r="C156" i="4"/>
  <c r="C286" i="2"/>
  <c r="E155" i="3"/>
  <c r="G154" i="3"/>
  <c r="H154" i="3" s="1"/>
  <c r="I154" i="3" s="1"/>
  <c r="J154" i="3" s="1"/>
  <c r="F154" i="1"/>
  <c r="E155" i="1" s="1"/>
  <c r="D154" i="1"/>
  <c r="A155" i="1"/>
  <c r="I154" i="1"/>
  <c r="J154" i="1" s="1"/>
  <c r="C155" i="1"/>
  <c r="A155" i="3"/>
  <c r="D154" i="3"/>
  <c r="D156" i="2"/>
  <c r="A157" i="2"/>
  <c r="E154" i="4"/>
  <c r="G153" i="4"/>
  <c r="H153" i="4" s="1"/>
  <c r="I153" i="4" s="1"/>
  <c r="J153" i="4" s="1"/>
  <c r="D155" i="4"/>
  <c r="A156" i="4"/>
  <c r="G155" i="1" l="1"/>
  <c r="H155" i="1" s="1"/>
  <c r="F155" i="1"/>
  <c r="E156" i="1" s="1"/>
  <c r="A156" i="1"/>
  <c r="D155" i="1"/>
  <c r="G155" i="2"/>
  <c r="H155" i="2" s="1"/>
  <c r="I155" i="2" s="1"/>
  <c r="J155" i="2" s="1"/>
  <c r="E156" i="2"/>
  <c r="E156" i="3"/>
  <c r="G155" i="3"/>
  <c r="H155" i="3" s="1"/>
  <c r="I155" i="3" s="1"/>
  <c r="J155" i="3" s="1"/>
  <c r="C157" i="3"/>
  <c r="A156" i="3"/>
  <c r="D155" i="3"/>
  <c r="C157" i="4"/>
  <c r="G154" i="4"/>
  <c r="H154" i="4" s="1"/>
  <c r="I154" i="4" s="1"/>
  <c r="J154" i="4" s="1"/>
  <c r="E155" i="4"/>
  <c r="D157" i="2"/>
  <c r="A158" i="2"/>
  <c r="D156" i="4"/>
  <c r="A157" i="4"/>
  <c r="I155" i="1"/>
  <c r="J155" i="1" s="1"/>
  <c r="C156" i="1"/>
  <c r="C287" i="2"/>
  <c r="G156" i="1" l="1"/>
  <c r="H156" i="1" s="1"/>
  <c r="I156" i="1" s="1"/>
  <c r="J156" i="1" s="1"/>
  <c r="E157" i="3"/>
  <c r="G156" i="3"/>
  <c r="H156" i="3" s="1"/>
  <c r="I156" i="3" s="1"/>
  <c r="J156" i="3" s="1"/>
  <c r="C157" i="1"/>
  <c r="C158" i="4"/>
  <c r="G156" i="2"/>
  <c r="H156" i="2" s="1"/>
  <c r="I156" i="2" s="1"/>
  <c r="J156" i="2" s="1"/>
  <c r="E157" i="2"/>
  <c r="A157" i="3"/>
  <c r="D156" i="3"/>
  <c r="A157" i="1"/>
  <c r="F156" i="1"/>
  <c r="E157" i="1" s="1"/>
  <c r="D156" i="1"/>
  <c r="D158" i="2"/>
  <c r="A159" i="2"/>
  <c r="C158" i="3"/>
  <c r="C288" i="2"/>
  <c r="D157" i="4"/>
  <c r="A158" i="4"/>
  <c r="E156" i="4"/>
  <c r="G155" i="4"/>
  <c r="H155" i="4" s="1"/>
  <c r="I155" i="4" s="1"/>
  <c r="J155" i="4" s="1"/>
  <c r="G157" i="1" l="1"/>
  <c r="H157" i="1" s="1"/>
  <c r="C159" i="4"/>
  <c r="D157" i="1"/>
  <c r="A158" i="1"/>
  <c r="F157" i="1"/>
  <c r="E158" i="1" s="1"/>
  <c r="C158" i="1"/>
  <c r="I157" i="1"/>
  <c r="J157" i="1" s="1"/>
  <c r="A158" i="3"/>
  <c r="D157" i="3"/>
  <c r="E158" i="3"/>
  <c r="G157" i="3"/>
  <c r="H157" i="3" s="1"/>
  <c r="I157" i="3" s="1"/>
  <c r="J157" i="3" s="1"/>
  <c r="G156" i="4"/>
  <c r="H156" i="4" s="1"/>
  <c r="I156" i="4" s="1"/>
  <c r="J156" i="4" s="1"/>
  <c r="E157" i="4"/>
  <c r="D158" i="4"/>
  <c r="A159" i="4"/>
  <c r="C289" i="2"/>
  <c r="C159" i="3"/>
  <c r="G157" i="2"/>
  <c r="H157" i="2" s="1"/>
  <c r="I157" i="2" s="1"/>
  <c r="J157" i="2" s="1"/>
  <c r="E158" i="2"/>
  <c r="D159" i="2"/>
  <c r="A160" i="2"/>
  <c r="G158" i="1" l="1"/>
  <c r="H158" i="1" s="1"/>
  <c r="I158" i="1" s="1"/>
  <c r="J158" i="1" s="1"/>
  <c r="F158" i="1"/>
  <c r="E159" i="1" s="1"/>
  <c r="A159" i="1"/>
  <c r="D158" i="1"/>
  <c r="E159" i="3"/>
  <c r="G158" i="3"/>
  <c r="H158" i="3" s="1"/>
  <c r="I158" i="3" s="1"/>
  <c r="J158" i="3" s="1"/>
  <c r="C160" i="4"/>
  <c r="C159" i="1"/>
  <c r="E158" i="4"/>
  <c r="G157" i="4"/>
  <c r="H157" i="4" s="1"/>
  <c r="I157" i="4" s="1"/>
  <c r="J157" i="4" s="1"/>
  <c r="C160" i="3"/>
  <c r="C290" i="2"/>
  <c r="A159" i="3"/>
  <c r="D158" i="3"/>
  <c r="G158" i="2"/>
  <c r="H158" i="2" s="1"/>
  <c r="I158" i="2" s="1"/>
  <c r="J158" i="2" s="1"/>
  <c r="E159" i="2"/>
  <c r="D160" i="2"/>
  <c r="A161" i="2"/>
  <c r="D159" i="4"/>
  <c r="A160" i="4"/>
  <c r="G159" i="1" l="1"/>
  <c r="H159" i="1" s="1"/>
  <c r="I159" i="1" s="1"/>
  <c r="J159" i="1" s="1"/>
  <c r="C161" i="3"/>
  <c r="E160" i="3"/>
  <c r="G159" i="3"/>
  <c r="H159" i="3" s="1"/>
  <c r="I159" i="3" s="1"/>
  <c r="J159" i="3" s="1"/>
  <c r="G158" i="4"/>
  <c r="H158" i="4" s="1"/>
  <c r="I158" i="4" s="1"/>
  <c r="J158" i="4" s="1"/>
  <c r="E159" i="4"/>
  <c r="F159" i="1"/>
  <c r="E160" i="1" s="1"/>
  <c r="D159" i="1"/>
  <c r="A160" i="1"/>
  <c r="D161" i="2"/>
  <c r="A162" i="2"/>
  <c r="G159" i="2"/>
  <c r="H159" i="2" s="1"/>
  <c r="I159" i="2" s="1"/>
  <c r="J159" i="2" s="1"/>
  <c r="E160" i="2"/>
  <c r="A160" i="3"/>
  <c r="D159" i="3"/>
  <c r="C160" i="1"/>
  <c r="D160" i="4"/>
  <c r="A161" i="4"/>
  <c r="C291" i="2"/>
  <c r="C161" i="4"/>
  <c r="G160" i="1" l="1"/>
  <c r="H160" i="1" s="1"/>
  <c r="C292" i="2"/>
  <c r="C162" i="4"/>
  <c r="E160" i="4"/>
  <c r="G159" i="4"/>
  <c r="H159" i="4" s="1"/>
  <c r="I159" i="4" s="1"/>
  <c r="J159" i="4" s="1"/>
  <c r="D161" i="4"/>
  <c r="A162" i="4"/>
  <c r="D162" i="2"/>
  <c r="A163" i="2"/>
  <c r="E161" i="3"/>
  <c r="G160" i="3"/>
  <c r="H160" i="3" s="1"/>
  <c r="I160" i="3" s="1"/>
  <c r="J160" i="3" s="1"/>
  <c r="A161" i="3"/>
  <c r="D160" i="3"/>
  <c r="G160" i="2"/>
  <c r="H160" i="2" s="1"/>
  <c r="I160" i="2" s="1"/>
  <c r="J160" i="2" s="1"/>
  <c r="E161" i="2"/>
  <c r="D160" i="1"/>
  <c r="F160" i="1"/>
  <c r="E161" i="1" s="1"/>
  <c r="A161" i="1"/>
  <c r="C162" i="3"/>
  <c r="C161" i="1"/>
  <c r="I160" i="1"/>
  <c r="J160" i="1" s="1"/>
  <c r="G161" i="1" l="1"/>
  <c r="H161" i="1" s="1"/>
  <c r="A162" i="3"/>
  <c r="D161" i="3"/>
  <c r="G160" i="4"/>
  <c r="H160" i="4" s="1"/>
  <c r="I160" i="4" s="1"/>
  <c r="J160" i="4" s="1"/>
  <c r="E161" i="4"/>
  <c r="C163" i="4"/>
  <c r="I161" i="1"/>
  <c r="J161" i="1" s="1"/>
  <c r="C162" i="1"/>
  <c r="A162" i="1"/>
  <c r="F161" i="1"/>
  <c r="E162" i="1" s="1"/>
  <c r="D161" i="1"/>
  <c r="E162" i="3"/>
  <c r="G161" i="3"/>
  <c r="H161" i="3" s="1"/>
  <c r="I161" i="3" s="1"/>
  <c r="J161" i="3" s="1"/>
  <c r="C163" i="3"/>
  <c r="D163" i="2"/>
  <c r="A164" i="2"/>
  <c r="C293" i="2"/>
  <c r="G161" i="2"/>
  <c r="H161" i="2" s="1"/>
  <c r="I161" i="2" s="1"/>
  <c r="J161" i="2" s="1"/>
  <c r="E162" i="2"/>
  <c r="D162" i="4"/>
  <c r="A163" i="4"/>
  <c r="G162" i="1" l="1"/>
  <c r="H162" i="1" s="1"/>
  <c r="E163" i="3"/>
  <c r="G162" i="3"/>
  <c r="H162" i="3" s="1"/>
  <c r="I162" i="3" s="1"/>
  <c r="J162" i="3" s="1"/>
  <c r="E162" i="4"/>
  <c r="G161" i="4"/>
  <c r="H161" i="4" s="1"/>
  <c r="I161" i="4" s="1"/>
  <c r="J161" i="4" s="1"/>
  <c r="C294" i="2"/>
  <c r="D164" i="2"/>
  <c r="A165" i="2"/>
  <c r="A163" i="1"/>
  <c r="F162" i="1"/>
  <c r="E163" i="1" s="1"/>
  <c r="D162" i="1"/>
  <c r="A163" i="3"/>
  <c r="D162" i="3"/>
  <c r="C163" i="1"/>
  <c r="I162" i="1"/>
  <c r="J162" i="1" s="1"/>
  <c r="C164" i="3"/>
  <c r="C164" i="4"/>
  <c r="G162" i="2"/>
  <c r="H162" i="2" s="1"/>
  <c r="I162" i="2" s="1"/>
  <c r="J162" i="2" s="1"/>
  <c r="E163" i="2"/>
  <c r="D163" i="4"/>
  <c r="A164" i="4"/>
  <c r="G163" i="1" l="1"/>
  <c r="H163" i="1" s="1"/>
  <c r="I163" i="1" s="1"/>
  <c r="J163" i="1" s="1"/>
  <c r="C295" i="2"/>
  <c r="C164" i="1"/>
  <c r="G163" i="2"/>
  <c r="H163" i="2" s="1"/>
  <c r="I163" i="2" s="1"/>
  <c r="J163" i="2" s="1"/>
  <c r="E164" i="2"/>
  <c r="C165" i="4"/>
  <c r="G162" i="4"/>
  <c r="H162" i="4" s="1"/>
  <c r="I162" i="4" s="1"/>
  <c r="J162" i="4" s="1"/>
  <c r="E163" i="4"/>
  <c r="D164" i="4"/>
  <c r="A165" i="4"/>
  <c r="F163" i="1"/>
  <c r="E164" i="1" s="1"/>
  <c r="A164" i="1"/>
  <c r="D163" i="1"/>
  <c r="E164" i="3"/>
  <c r="G163" i="3"/>
  <c r="H163" i="3" s="1"/>
  <c r="I163" i="3" s="1"/>
  <c r="J163" i="3" s="1"/>
  <c r="A164" i="3"/>
  <c r="D163" i="3"/>
  <c r="C165" i="3"/>
  <c r="D165" i="2"/>
  <c r="A166" i="2"/>
  <c r="G164" i="1" l="1"/>
  <c r="H164" i="1" s="1"/>
  <c r="I164" i="1" s="1"/>
  <c r="J164" i="1" s="1"/>
  <c r="D164" i="1"/>
  <c r="A165" i="1"/>
  <c r="F164" i="1"/>
  <c r="E165" i="1" s="1"/>
  <c r="G164" i="2"/>
  <c r="H164" i="2" s="1"/>
  <c r="I164" i="2" s="1"/>
  <c r="J164" i="2" s="1"/>
  <c r="E165" i="2"/>
  <c r="C166" i="3"/>
  <c r="D165" i="4"/>
  <c r="A166" i="4"/>
  <c r="C165" i="1"/>
  <c r="A165" i="3"/>
  <c r="D164" i="3"/>
  <c r="E164" i="4"/>
  <c r="G163" i="4"/>
  <c r="H163" i="4" s="1"/>
  <c r="I163" i="4" s="1"/>
  <c r="J163" i="4" s="1"/>
  <c r="C296" i="2"/>
  <c r="C166" i="4"/>
  <c r="E165" i="3"/>
  <c r="G164" i="3"/>
  <c r="H164" i="3" s="1"/>
  <c r="I164" i="3" s="1"/>
  <c r="J164" i="3" s="1"/>
  <c r="D166" i="2"/>
  <c r="A167" i="2"/>
  <c r="G165" i="1" l="1"/>
  <c r="H165" i="1" s="1"/>
  <c r="I165" i="1" s="1"/>
  <c r="J165" i="1" s="1"/>
  <c r="G165" i="2"/>
  <c r="H165" i="2" s="1"/>
  <c r="I165" i="2" s="1"/>
  <c r="J165" i="2" s="1"/>
  <c r="E166" i="2"/>
  <c r="C167" i="4"/>
  <c r="G164" i="4"/>
  <c r="H164" i="4" s="1"/>
  <c r="I164" i="4" s="1"/>
  <c r="J164" i="4" s="1"/>
  <c r="E165" i="4"/>
  <c r="C167" i="3"/>
  <c r="E166" i="3"/>
  <c r="G165" i="3"/>
  <c r="H165" i="3" s="1"/>
  <c r="I165" i="3" s="1"/>
  <c r="J165" i="3" s="1"/>
  <c r="A166" i="3"/>
  <c r="D165" i="3"/>
  <c r="C166" i="1"/>
  <c r="D165" i="1"/>
  <c r="F165" i="1"/>
  <c r="E166" i="1" s="1"/>
  <c r="A166" i="1"/>
  <c r="D166" i="4"/>
  <c r="A167" i="4"/>
  <c r="C297" i="2"/>
  <c r="D167" i="2"/>
  <c r="A168" i="2"/>
  <c r="G166" i="1" l="1"/>
  <c r="H166" i="1" s="1"/>
  <c r="C168" i="4"/>
  <c r="E166" i="4"/>
  <c r="G165" i="4"/>
  <c r="H165" i="4" s="1"/>
  <c r="I165" i="4" s="1"/>
  <c r="J165" i="4" s="1"/>
  <c r="C167" i="1"/>
  <c r="I166" i="1"/>
  <c r="J166" i="1" s="1"/>
  <c r="C298" i="2"/>
  <c r="D167" i="4"/>
  <c r="A168" i="4"/>
  <c r="A167" i="3"/>
  <c r="D166" i="3"/>
  <c r="G166" i="2"/>
  <c r="H166" i="2" s="1"/>
  <c r="I166" i="2" s="1"/>
  <c r="J166" i="2" s="1"/>
  <c r="E167" i="2"/>
  <c r="F166" i="1"/>
  <c r="E167" i="1" s="1"/>
  <c r="A167" i="1"/>
  <c r="D166" i="1"/>
  <c r="E167" i="3"/>
  <c r="G166" i="3"/>
  <c r="H166" i="3" s="1"/>
  <c r="I166" i="3" s="1"/>
  <c r="J166" i="3" s="1"/>
  <c r="D168" i="2"/>
  <c r="A169" i="2"/>
  <c r="C168" i="3"/>
  <c r="G167" i="1" l="1"/>
  <c r="H167" i="1" s="1"/>
  <c r="I167" i="1" s="1"/>
  <c r="J167" i="1" s="1"/>
  <c r="C168" i="1"/>
  <c r="C169" i="3"/>
  <c r="G167" i="2"/>
  <c r="H167" i="2" s="1"/>
  <c r="I167" i="2" s="1"/>
  <c r="J167" i="2" s="1"/>
  <c r="E168" i="2"/>
  <c r="D169" i="2"/>
  <c r="A170" i="2"/>
  <c r="A168" i="3"/>
  <c r="D167" i="3"/>
  <c r="G166" i="4"/>
  <c r="H166" i="4" s="1"/>
  <c r="I166" i="4" s="1"/>
  <c r="J166" i="4" s="1"/>
  <c r="E167" i="4"/>
  <c r="E168" i="3"/>
  <c r="G167" i="3"/>
  <c r="H167" i="3" s="1"/>
  <c r="I167" i="3" s="1"/>
  <c r="J167" i="3" s="1"/>
  <c r="D168" i="4"/>
  <c r="A169" i="4"/>
  <c r="C169" i="4"/>
  <c r="F167" i="1"/>
  <c r="E168" i="1" s="1"/>
  <c r="D167" i="1"/>
  <c r="A168" i="1"/>
  <c r="C299" i="2"/>
  <c r="G168" i="1" l="1"/>
  <c r="H168" i="1" s="1"/>
  <c r="I168" i="1" s="1"/>
  <c r="J168" i="1" s="1"/>
  <c r="G168" i="2"/>
  <c r="H168" i="2" s="1"/>
  <c r="I168" i="2" s="1"/>
  <c r="J168" i="2" s="1"/>
  <c r="E169" i="2"/>
  <c r="E168" i="4"/>
  <c r="G167" i="4"/>
  <c r="H167" i="4" s="1"/>
  <c r="I167" i="4" s="1"/>
  <c r="J167" i="4" s="1"/>
  <c r="C170" i="3"/>
  <c r="C169" i="1"/>
  <c r="D168" i="1"/>
  <c r="A169" i="1"/>
  <c r="F168" i="1"/>
  <c r="E169" i="1" s="1"/>
  <c r="A169" i="3"/>
  <c r="D168" i="3"/>
  <c r="C300" i="2"/>
  <c r="E169" i="3"/>
  <c r="G168" i="3"/>
  <c r="H168" i="3" s="1"/>
  <c r="I168" i="3" s="1"/>
  <c r="J168" i="3" s="1"/>
  <c r="C170" i="4"/>
  <c r="D169" i="4"/>
  <c r="A170" i="4"/>
  <c r="D170" i="2"/>
  <c r="A171" i="2"/>
  <c r="G169" i="1" l="1"/>
  <c r="H169" i="1" s="1"/>
  <c r="I169" i="1" s="1"/>
  <c r="J169" i="1" s="1"/>
  <c r="C171" i="3"/>
  <c r="C171" i="4"/>
  <c r="G168" i="4"/>
  <c r="H168" i="4" s="1"/>
  <c r="I168" i="4" s="1"/>
  <c r="J168" i="4" s="1"/>
  <c r="E169" i="4"/>
  <c r="D170" i="4"/>
  <c r="A171" i="4"/>
  <c r="A170" i="3"/>
  <c r="D169" i="3"/>
  <c r="A170" i="1"/>
  <c r="F169" i="1"/>
  <c r="E170" i="1" s="1"/>
  <c r="D169" i="1"/>
  <c r="G169" i="2"/>
  <c r="H169" i="2" s="1"/>
  <c r="I169" i="2" s="1"/>
  <c r="J169" i="2" s="1"/>
  <c r="E170" i="2"/>
  <c r="D171" i="2"/>
  <c r="A172" i="2"/>
  <c r="C301" i="2"/>
  <c r="C170" i="1"/>
  <c r="E170" i="3"/>
  <c r="G169" i="3"/>
  <c r="H169" i="3" s="1"/>
  <c r="I169" i="3" s="1"/>
  <c r="J169" i="3" s="1"/>
  <c r="G170" i="1" l="1"/>
  <c r="H170" i="1" s="1"/>
  <c r="I170" i="1" s="1"/>
  <c r="J170" i="1" s="1"/>
  <c r="E171" i="3"/>
  <c r="G170" i="3"/>
  <c r="H170" i="3" s="1"/>
  <c r="I170" i="3" s="1"/>
  <c r="J170" i="3" s="1"/>
  <c r="E170" i="4"/>
  <c r="G169" i="4"/>
  <c r="H169" i="4" s="1"/>
  <c r="I169" i="4" s="1"/>
  <c r="J169" i="4" s="1"/>
  <c r="C172" i="4"/>
  <c r="D170" i="1"/>
  <c r="A171" i="1"/>
  <c r="F170" i="1"/>
  <c r="E171" i="1" s="1"/>
  <c r="C171" i="1"/>
  <c r="C302" i="2"/>
  <c r="D172" i="2"/>
  <c r="A173" i="2"/>
  <c r="A171" i="3"/>
  <c r="D170" i="3"/>
  <c r="C172" i="3"/>
  <c r="G170" i="2"/>
  <c r="H170" i="2" s="1"/>
  <c r="I170" i="2" s="1"/>
  <c r="J170" i="2" s="1"/>
  <c r="E171" i="2"/>
  <c r="D171" i="4"/>
  <c r="A172" i="4"/>
  <c r="E172" i="1" l="1"/>
  <c r="G171" i="1"/>
  <c r="H171" i="1" s="1"/>
  <c r="I171" i="1" s="1"/>
  <c r="J171" i="1" s="1"/>
  <c r="C173" i="4"/>
  <c r="G171" i="2"/>
  <c r="H171" i="2" s="1"/>
  <c r="I171" i="2" s="1"/>
  <c r="J171" i="2" s="1"/>
  <c r="E172" i="2"/>
  <c r="G170" i="4"/>
  <c r="H170" i="4" s="1"/>
  <c r="I170" i="4" s="1"/>
  <c r="J170" i="4" s="1"/>
  <c r="E171" i="4"/>
  <c r="D172" i="4"/>
  <c r="A173" i="4"/>
  <c r="D173" i="2"/>
  <c r="A174" i="2"/>
  <c r="E172" i="3"/>
  <c r="G171" i="3"/>
  <c r="H171" i="3" s="1"/>
  <c r="I171" i="3" s="1"/>
  <c r="J171" i="3" s="1"/>
  <c r="C303" i="2"/>
  <c r="C173" i="3"/>
  <c r="C172" i="1"/>
  <c r="A172" i="3"/>
  <c r="D171" i="3"/>
  <c r="F171" i="1"/>
  <c r="D171" i="1"/>
  <c r="A172" i="1"/>
  <c r="C304" i="2" l="1"/>
  <c r="G172" i="2"/>
  <c r="H172" i="2" s="1"/>
  <c r="I172" i="2" s="1"/>
  <c r="J172" i="2" s="1"/>
  <c r="E173" i="2"/>
  <c r="F172" i="1"/>
  <c r="D172" i="1"/>
  <c r="A173" i="1"/>
  <c r="C174" i="3"/>
  <c r="G172" i="1"/>
  <c r="H172" i="1" s="1"/>
  <c r="I172" i="1" s="1"/>
  <c r="J172" i="1" s="1"/>
  <c r="E173" i="1"/>
  <c r="A173" i="3"/>
  <c r="D172" i="3"/>
  <c r="C173" i="1"/>
  <c r="D174" i="2"/>
  <c r="A175" i="2"/>
  <c r="C174" i="4"/>
  <c r="E172" i="4"/>
  <c r="G171" i="4"/>
  <c r="H171" i="4" s="1"/>
  <c r="I171" i="4" s="1"/>
  <c r="J171" i="4" s="1"/>
  <c r="E173" i="3"/>
  <c r="G172" i="3"/>
  <c r="H172" i="3" s="1"/>
  <c r="I172" i="3" s="1"/>
  <c r="J172" i="3" s="1"/>
  <c r="D173" i="4"/>
  <c r="A174" i="4"/>
  <c r="C175" i="3" l="1"/>
  <c r="D173" i="1"/>
  <c r="F173" i="1"/>
  <c r="A174" i="1"/>
  <c r="G172" i="4"/>
  <c r="H172" i="4" s="1"/>
  <c r="I172" i="4" s="1"/>
  <c r="J172" i="4" s="1"/>
  <c r="E173" i="4"/>
  <c r="A174" i="3"/>
  <c r="D173" i="3"/>
  <c r="G173" i="2"/>
  <c r="H173" i="2" s="1"/>
  <c r="I173" i="2" s="1"/>
  <c r="J173" i="2" s="1"/>
  <c r="E174" i="2"/>
  <c r="C305" i="2"/>
  <c r="E174" i="3"/>
  <c r="G173" i="3"/>
  <c r="H173" i="3" s="1"/>
  <c r="I173" i="3" s="1"/>
  <c r="J173" i="3" s="1"/>
  <c r="C174" i="1"/>
  <c r="I173" i="1"/>
  <c r="J173" i="1" s="1"/>
  <c r="C175" i="4"/>
  <c r="G173" i="1"/>
  <c r="H173" i="1" s="1"/>
  <c r="E174" i="1"/>
  <c r="D174" i="4"/>
  <c r="A175" i="4"/>
  <c r="D175" i="2"/>
  <c r="A176" i="2"/>
  <c r="A175" i="3" l="1"/>
  <c r="D174" i="3"/>
  <c r="E174" i="4"/>
  <c r="G173" i="4"/>
  <c r="H173" i="4" s="1"/>
  <c r="I173" i="4" s="1"/>
  <c r="J173" i="4" s="1"/>
  <c r="E175" i="3"/>
  <c r="G174" i="3"/>
  <c r="H174" i="3" s="1"/>
  <c r="I174" i="3" s="1"/>
  <c r="J174" i="3" s="1"/>
  <c r="G174" i="1"/>
  <c r="H174" i="1" s="1"/>
  <c r="I174" i="1" s="1"/>
  <c r="J174" i="1" s="1"/>
  <c r="F174" i="1"/>
  <c r="E175" i="1" s="1"/>
  <c r="A175" i="1"/>
  <c r="D174" i="1"/>
  <c r="D175" i="4"/>
  <c r="A176" i="4"/>
  <c r="C306" i="2"/>
  <c r="D176" i="2"/>
  <c r="A177" i="2"/>
  <c r="C176" i="4"/>
  <c r="G174" i="2"/>
  <c r="H174" i="2" s="1"/>
  <c r="I174" i="2" s="1"/>
  <c r="J174" i="2" s="1"/>
  <c r="E175" i="2"/>
  <c r="C175" i="1"/>
  <c r="C176" i="3"/>
  <c r="G175" i="1" l="1"/>
  <c r="H175" i="1" s="1"/>
  <c r="I175" i="1" s="1"/>
  <c r="J175" i="1" s="1"/>
  <c r="C176" i="1"/>
  <c r="C307" i="2"/>
  <c r="G175" i="2"/>
  <c r="H175" i="2" s="1"/>
  <c r="I175" i="2" s="1"/>
  <c r="J175" i="2" s="1"/>
  <c r="E176" i="2"/>
  <c r="D176" i="4"/>
  <c r="A177" i="4"/>
  <c r="E176" i="3"/>
  <c r="G175" i="3"/>
  <c r="H175" i="3" s="1"/>
  <c r="I175" i="3" s="1"/>
  <c r="J175" i="3" s="1"/>
  <c r="C177" i="3"/>
  <c r="G174" i="4"/>
  <c r="H174" i="4" s="1"/>
  <c r="I174" i="4" s="1"/>
  <c r="J174" i="4" s="1"/>
  <c r="E175" i="4"/>
  <c r="C177" i="4"/>
  <c r="A176" i="1"/>
  <c r="F175" i="1"/>
  <c r="E176" i="1" s="1"/>
  <c r="D175" i="1"/>
  <c r="D177" i="2"/>
  <c r="A178" i="2"/>
  <c r="A176" i="3"/>
  <c r="D175" i="3"/>
  <c r="G176" i="1" l="1"/>
  <c r="H176" i="1" s="1"/>
  <c r="I176" i="1" s="1"/>
  <c r="J176" i="1" s="1"/>
  <c r="C178" i="3"/>
  <c r="C308" i="2"/>
  <c r="D176" i="1"/>
  <c r="A177" i="1"/>
  <c r="F176" i="1"/>
  <c r="E177" i="1" s="1"/>
  <c r="E177" i="3"/>
  <c r="G176" i="3"/>
  <c r="H176" i="3" s="1"/>
  <c r="I176" i="3" s="1"/>
  <c r="J176" i="3" s="1"/>
  <c r="C177" i="1"/>
  <c r="A177" i="3"/>
  <c r="D176" i="3"/>
  <c r="E176" i="4"/>
  <c r="G175" i="4"/>
  <c r="H175" i="4" s="1"/>
  <c r="I175" i="4" s="1"/>
  <c r="J175" i="4" s="1"/>
  <c r="G176" i="2"/>
  <c r="H176" i="2" s="1"/>
  <c r="I176" i="2" s="1"/>
  <c r="J176" i="2" s="1"/>
  <c r="E177" i="2"/>
  <c r="D178" i="2"/>
  <c r="A179" i="2"/>
  <c r="C178" i="4"/>
  <c r="D177" i="4"/>
  <c r="A178" i="4"/>
  <c r="G177" i="1" l="1"/>
  <c r="H177" i="1" s="1"/>
  <c r="I177" i="1" s="1"/>
  <c r="J177" i="1" s="1"/>
  <c r="E178" i="3"/>
  <c r="G177" i="3"/>
  <c r="H177" i="3" s="1"/>
  <c r="I177" i="3" s="1"/>
  <c r="J177" i="3" s="1"/>
  <c r="A178" i="3"/>
  <c r="D177" i="3"/>
  <c r="G176" i="4"/>
  <c r="H176" i="4" s="1"/>
  <c r="I176" i="4" s="1"/>
  <c r="J176" i="4" s="1"/>
  <c r="E177" i="4"/>
  <c r="A178" i="1"/>
  <c r="D177" i="1"/>
  <c r="F177" i="1"/>
  <c r="E178" i="1" s="1"/>
  <c r="C179" i="4"/>
  <c r="D179" i="2"/>
  <c r="A180" i="2"/>
  <c r="C309" i="2"/>
  <c r="C178" i="1"/>
  <c r="D178" i="4"/>
  <c r="A179" i="4"/>
  <c r="G177" i="2"/>
  <c r="H177" i="2" s="1"/>
  <c r="I177" i="2" s="1"/>
  <c r="J177" i="2" s="1"/>
  <c r="E178" i="2"/>
  <c r="C179" i="3"/>
  <c r="G178" i="1" l="1"/>
  <c r="H178" i="1" s="1"/>
  <c r="I178" i="1" s="1"/>
  <c r="J178" i="1" s="1"/>
  <c r="C310" i="2"/>
  <c r="D180" i="2"/>
  <c r="A181" i="2"/>
  <c r="D179" i="4"/>
  <c r="A180" i="4"/>
  <c r="C180" i="4"/>
  <c r="A179" i="3"/>
  <c r="D178" i="3"/>
  <c r="C180" i="3"/>
  <c r="E178" i="4"/>
  <c r="G177" i="4"/>
  <c r="H177" i="4" s="1"/>
  <c r="I177" i="4" s="1"/>
  <c r="J177" i="4" s="1"/>
  <c r="G178" i="2"/>
  <c r="H178" i="2" s="1"/>
  <c r="I178" i="2" s="1"/>
  <c r="J178" i="2" s="1"/>
  <c r="E179" i="2"/>
  <c r="E179" i="3"/>
  <c r="G178" i="3"/>
  <c r="H178" i="3" s="1"/>
  <c r="I178" i="3" s="1"/>
  <c r="J178" i="3" s="1"/>
  <c r="C179" i="1"/>
  <c r="F178" i="1"/>
  <c r="E179" i="1" s="1"/>
  <c r="D178" i="1"/>
  <c r="A179" i="1"/>
  <c r="E180" i="1" l="1"/>
  <c r="G179" i="1"/>
  <c r="H179" i="1" s="1"/>
  <c r="I179" i="1" s="1"/>
  <c r="J179" i="1" s="1"/>
  <c r="F179" i="1"/>
  <c r="D179" i="1"/>
  <c r="A180" i="1"/>
  <c r="E180" i="3"/>
  <c r="G179" i="3"/>
  <c r="H179" i="3" s="1"/>
  <c r="I179" i="3" s="1"/>
  <c r="J179" i="3" s="1"/>
  <c r="C311" i="2"/>
  <c r="D180" i="4"/>
  <c r="A181" i="4"/>
  <c r="G178" i="4"/>
  <c r="H178" i="4" s="1"/>
  <c r="I178" i="4" s="1"/>
  <c r="J178" i="4" s="1"/>
  <c r="E179" i="4"/>
  <c r="D181" i="2"/>
  <c r="A182" i="2"/>
  <c r="C180" i="1"/>
  <c r="C181" i="3"/>
  <c r="A180" i="3"/>
  <c r="D179" i="3"/>
  <c r="G179" i="2"/>
  <c r="H179" i="2" s="1"/>
  <c r="I179" i="2" s="1"/>
  <c r="J179" i="2" s="1"/>
  <c r="E180" i="2"/>
  <c r="C181" i="4"/>
  <c r="C181" i="1" l="1"/>
  <c r="C312" i="2"/>
  <c r="E181" i="3"/>
  <c r="G180" i="3"/>
  <c r="H180" i="3" s="1"/>
  <c r="I180" i="3" s="1"/>
  <c r="J180" i="3" s="1"/>
  <c r="E180" i="4"/>
  <c r="G179" i="4"/>
  <c r="H179" i="4" s="1"/>
  <c r="I179" i="4" s="1"/>
  <c r="J179" i="4" s="1"/>
  <c r="F180" i="1"/>
  <c r="D180" i="1"/>
  <c r="A181" i="1"/>
  <c r="D181" i="4"/>
  <c r="A182" i="4"/>
  <c r="G180" i="2"/>
  <c r="H180" i="2" s="1"/>
  <c r="I180" i="2" s="1"/>
  <c r="J180" i="2" s="1"/>
  <c r="E181" i="2"/>
  <c r="D182" i="2"/>
  <c r="A183" i="2"/>
  <c r="A181" i="3"/>
  <c r="D180" i="3"/>
  <c r="C182" i="3"/>
  <c r="C182" i="4"/>
  <c r="G180" i="1"/>
  <c r="H180" i="1" s="1"/>
  <c r="I180" i="1" s="1"/>
  <c r="J180" i="1" s="1"/>
  <c r="E181" i="1"/>
  <c r="C183" i="4" l="1"/>
  <c r="G181" i="2"/>
  <c r="H181" i="2" s="1"/>
  <c r="I181" i="2" s="1"/>
  <c r="J181" i="2" s="1"/>
  <c r="E182" i="2"/>
  <c r="G180" i="4"/>
  <c r="H180" i="4" s="1"/>
  <c r="I180" i="4" s="1"/>
  <c r="J180" i="4" s="1"/>
  <c r="E181" i="4"/>
  <c r="D182" i="4"/>
  <c r="A183" i="4"/>
  <c r="E182" i="3"/>
  <c r="G181" i="3"/>
  <c r="H181" i="3" s="1"/>
  <c r="I181" i="3" s="1"/>
  <c r="J181" i="3" s="1"/>
  <c r="D181" i="1"/>
  <c r="A182" i="1"/>
  <c r="F181" i="1"/>
  <c r="C313" i="2"/>
  <c r="C182" i="1"/>
  <c r="C183" i="3"/>
  <c r="A182" i="3"/>
  <c r="D181" i="3"/>
  <c r="G181" i="1"/>
  <c r="H181" i="1" s="1"/>
  <c r="I181" i="1" s="1"/>
  <c r="J181" i="1" s="1"/>
  <c r="E182" i="1"/>
  <c r="D183" i="2"/>
  <c r="A184" i="2"/>
  <c r="C314" i="2" l="1"/>
  <c r="E182" i="4"/>
  <c r="G181" i="4"/>
  <c r="H181" i="4" s="1"/>
  <c r="I181" i="4" s="1"/>
  <c r="J181" i="4" s="1"/>
  <c r="A183" i="3"/>
  <c r="D182" i="3"/>
  <c r="F182" i="1"/>
  <c r="A183" i="1"/>
  <c r="D182" i="1"/>
  <c r="G182" i="2"/>
  <c r="H182" i="2" s="1"/>
  <c r="I182" i="2" s="1"/>
  <c r="J182" i="2" s="1"/>
  <c r="E183" i="2"/>
  <c r="D183" i="4"/>
  <c r="A184" i="4"/>
  <c r="C183" i="1"/>
  <c r="E183" i="1"/>
  <c r="G182" i="1"/>
  <c r="H182" i="1" s="1"/>
  <c r="I182" i="1" s="1"/>
  <c r="J182" i="1" s="1"/>
  <c r="C184" i="4"/>
  <c r="C184" i="3"/>
  <c r="D184" i="2"/>
  <c r="A185" i="2"/>
  <c r="E183" i="3"/>
  <c r="G182" i="3"/>
  <c r="H182" i="3" s="1"/>
  <c r="I182" i="3" s="1"/>
  <c r="J182" i="3" s="1"/>
  <c r="E184" i="3" l="1"/>
  <c r="G183" i="3"/>
  <c r="H183" i="3" s="1"/>
  <c r="I183" i="3" s="1"/>
  <c r="J183" i="3" s="1"/>
  <c r="G183" i="1"/>
  <c r="H183" i="1" s="1"/>
  <c r="I183" i="1" s="1"/>
  <c r="J183" i="1" s="1"/>
  <c r="D183" i="1"/>
  <c r="A184" i="1"/>
  <c r="F183" i="1"/>
  <c r="E184" i="1" s="1"/>
  <c r="D185" i="2"/>
  <c r="A186" i="2"/>
  <c r="C184" i="1"/>
  <c r="D184" i="4"/>
  <c r="A185" i="4"/>
  <c r="A184" i="3"/>
  <c r="D183" i="3"/>
  <c r="C185" i="4"/>
  <c r="G183" i="2"/>
  <c r="H183" i="2" s="1"/>
  <c r="I183" i="2" s="1"/>
  <c r="J183" i="2" s="1"/>
  <c r="E184" i="2"/>
  <c r="G182" i="4"/>
  <c r="H182" i="4" s="1"/>
  <c r="I182" i="4" s="1"/>
  <c r="J182" i="4" s="1"/>
  <c r="E183" i="4"/>
  <c r="C185" i="3"/>
  <c r="C315" i="2"/>
  <c r="G184" i="1" l="1"/>
  <c r="H184" i="1" s="1"/>
  <c r="I184" i="1" s="1"/>
  <c r="J184" i="1" s="1"/>
  <c r="C316" i="2"/>
  <c r="C186" i="3"/>
  <c r="A185" i="3"/>
  <c r="D184" i="3"/>
  <c r="D184" i="1"/>
  <c r="F184" i="1"/>
  <c r="E185" i="1" s="1"/>
  <c r="A185" i="1"/>
  <c r="E184" i="4"/>
  <c r="G183" i="4"/>
  <c r="H183" i="4" s="1"/>
  <c r="I183" i="4" s="1"/>
  <c r="J183" i="4" s="1"/>
  <c r="D185" i="4"/>
  <c r="A186" i="4"/>
  <c r="G184" i="2"/>
  <c r="H184" i="2" s="1"/>
  <c r="I184" i="2" s="1"/>
  <c r="J184" i="2" s="1"/>
  <c r="E185" i="2"/>
  <c r="C185" i="1"/>
  <c r="C186" i="4"/>
  <c r="D186" i="2"/>
  <c r="A187" i="2"/>
  <c r="E185" i="3"/>
  <c r="G184" i="3"/>
  <c r="H184" i="3" s="1"/>
  <c r="I184" i="3" s="1"/>
  <c r="J184" i="3" s="1"/>
  <c r="G185" i="1" l="1"/>
  <c r="H185" i="1" s="1"/>
  <c r="D187" i="2"/>
  <c r="A188" i="2"/>
  <c r="A186" i="3"/>
  <c r="D185" i="3"/>
  <c r="C187" i="3"/>
  <c r="G184" i="4"/>
  <c r="H184" i="4" s="1"/>
  <c r="I184" i="4" s="1"/>
  <c r="J184" i="4" s="1"/>
  <c r="E185" i="4"/>
  <c r="D186" i="4"/>
  <c r="A187" i="4"/>
  <c r="C187" i="4"/>
  <c r="A186" i="1"/>
  <c r="F185" i="1"/>
  <c r="E186" i="1" s="1"/>
  <c r="D185" i="1"/>
  <c r="C317" i="2"/>
  <c r="G185" i="2"/>
  <c r="H185" i="2" s="1"/>
  <c r="I185" i="2" s="1"/>
  <c r="J185" i="2" s="1"/>
  <c r="E186" i="2"/>
  <c r="E186" i="3"/>
  <c r="G185" i="3"/>
  <c r="H185" i="3" s="1"/>
  <c r="I185" i="3" s="1"/>
  <c r="J185" i="3" s="1"/>
  <c r="C186" i="1"/>
  <c r="I185" i="1"/>
  <c r="J185" i="1" s="1"/>
  <c r="G186" i="1" l="1"/>
  <c r="H186" i="1" s="1"/>
  <c r="I186" i="1" s="1"/>
  <c r="J186" i="1" s="1"/>
  <c r="F186" i="1"/>
  <c r="E187" i="1" s="1"/>
  <c r="D186" i="1"/>
  <c r="A187" i="1"/>
  <c r="C188" i="3"/>
  <c r="C187" i="1"/>
  <c r="E187" i="3"/>
  <c r="G186" i="3"/>
  <c r="H186" i="3" s="1"/>
  <c r="I186" i="3" s="1"/>
  <c r="J186" i="3" s="1"/>
  <c r="C188" i="4"/>
  <c r="G186" i="2"/>
  <c r="H186" i="2" s="1"/>
  <c r="I186" i="2" s="1"/>
  <c r="J186" i="2" s="1"/>
  <c r="E187" i="2"/>
  <c r="A187" i="3"/>
  <c r="D186" i="3"/>
  <c r="D187" i="4"/>
  <c r="A188" i="4"/>
  <c r="D188" i="2"/>
  <c r="A189" i="2"/>
  <c r="C318" i="2"/>
  <c r="E186" i="4"/>
  <c r="G185" i="4"/>
  <c r="H185" i="4" s="1"/>
  <c r="I185" i="4" s="1"/>
  <c r="J185" i="4" s="1"/>
  <c r="G187" i="1" l="1"/>
  <c r="H187" i="1" s="1"/>
  <c r="I187" i="1" s="1"/>
  <c r="J187" i="1" s="1"/>
  <c r="C188" i="1"/>
  <c r="G186" i="4"/>
  <c r="H186" i="4" s="1"/>
  <c r="I186" i="4" s="1"/>
  <c r="J186" i="4" s="1"/>
  <c r="E187" i="4"/>
  <c r="A188" i="3"/>
  <c r="D187" i="3"/>
  <c r="G187" i="2"/>
  <c r="H187" i="2" s="1"/>
  <c r="I187" i="2" s="1"/>
  <c r="J187" i="2" s="1"/>
  <c r="E188" i="2"/>
  <c r="C189" i="3"/>
  <c r="C319" i="2"/>
  <c r="D189" i="2"/>
  <c r="A190" i="2"/>
  <c r="C189" i="4"/>
  <c r="F187" i="1"/>
  <c r="E188" i="1" s="1"/>
  <c r="A188" i="1"/>
  <c r="D187" i="1"/>
  <c r="E188" i="3"/>
  <c r="G187" i="3"/>
  <c r="H187" i="3" s="1"/>
  <c r="I187" i="3" s="1"/>
  <c r="J187" i="3" s="1"/>
  <c r="D188" i="4"/>
  <c r="A189" i="4"/>
  <c r="G188" i="1" l="1"/>
  <c r="H188" i="1" s="1"/>
  <c r="I188" i="1" s="1"/>
  <c r="J188" i="1" s="1"/>
  <c r="A189" i="3"/>
  <c r="D188" i="3"/>
  <c r="E189" i="3"/>
  <c r="G188" i="3"/>
  <c r="H188" i="3" s="1"/>
  <c r="I188" i="3" s="1"/>
  <c r="J188" i="3" s="1"/>
  <c r="E188" i="4"/>
  <c r="G187" i="4"/>
  <c r="H187" i="4" s="1"/>
  <c r="I187" i="4" s="1"/>
  <c r="J187" i="4" s="1"/>
  <c r="C320" i="2"/>
  <c r="C189" i="1"/>
  <c r="A189" i="1"/>
  <c r="F188" i="1"/>
  <c r="E189" i="1" s="1"/>
  <c r="D188" i="1"/>
  <c r="C190" i="3"/>
  <c r="D190" i="2"/>
  <c r="A191" i="2"/>
  <c r="G188" i="2"/>
  <c r="H188" i="2" s="1"/>
  <c r="I188" i="2" s="1"/>
  <c r="J188" i="2" s="1"/>
  <c r="E189" i="2"/>
  <c r="C190" i="4"/>
  <c r="D189" i="4"/>
  <c r="A190" i="4"/>
  <c r="G189" i="1" l="1"/>
  <c r="H189" i="1" s="1"/>
  <c r="G188" i="4"/>
  <c r="H188" i="4" s="1"/>
  <c r="I188" i="4" s="1"/>
  <c r="J188" i="4" s="1"/>
  <c r="E189" i="4"/>
  <c r="C191" i="4"/>
  <c r="G189" i="2"/>
  <c r="H189" i="2" s="1"/>
  <c r="I189" i="2" s="1"/>
  <c r="J189" i="2" s="1"/>
  <c r="E190" i="2"/>
  <c r="D189" i="1"/>
  <c r="A190" i="1"/>
  <c r="F189" i="1"/>
  <c r="E190" i="1" s="1"/>
  <c r="E190" i="3"/>
  <c r="G189" i="3"/>
  <c r="H189" i="3" s="1"/>
  <c r="I189" i="3" s="1"/>
  <c r="J189" i="3" s="1"/>
  <c r="D191" i="2"/>
  <c r="A192" i="2"/>
  <c r="C190" i="1"/>
  <c r="I189" i="1"/>
  <c r="J189" i="1" s="1"/>
  <c r="A190" i="3"/>
  <c r="D189" i="3"/>
  <c r="C191" i="3"/>
  <c r="D190" i="4"/>
  <c r="A191" i="4"/>
  <c r="C321" i="2"/>
  <c r="G190" i="1" l="1"/>
  <c r="H190" i="1" s="1"/>
  <c r="I190" i="1" s="1"/>
  <c r="J190" i="1" s="1"/>
  <c r="C192" i="4"/>
  <c r="C192" i="3"/>
  <c r="E191" i="3"/>
  <c r="G190" i="3"/>
  <c r="H190" i="3" s="1"/>
  <c r="I190" i="3" s="1"/>
  <c r="J190" i="3" s="1"/>
  <c r="E190" i="4"/>
  <c r="G189" i="4"/>
  <c r="H189" i="4" s="1"/>
  <c r="I189" i="4" s="1"/>
  <c r="J189" i="4" s="1"/>
  <c r="C322" i="2"/>
  <c r="C191" i="1"/>
  <c r="G190" i="2"/>
  <c r="H190" i="2" s="1"/>
  <c r="I190" i="2" s="1"/>
  <c r="J190" i="2" s="1"/>
  <c r="E191" i="2"/>
  <c r="D191" i="4"/>
  <c r="A192" i="4"/>
  <c r="D192" i="2"/>
  <c r="A193" i="2"/>
  <c r="A191" i="3"/>
  <c r="D190" i="3"/>
  <c r="F190" i="1"/>
  <c r="E191" i="1" s="1"/>
  <c r="A191" i="1"/>
  <c r="D190" i="1"/>
  <c r="G191" i="1" l="1"/>
  <c r="H191" i="1" s="1"/>
  <c r="I191" i="1" s="1"/>
  <c r="J191" i="1" s="1"/>
  <c r="E192" i="3"/>
  <c r="G191" i="3"/>
  <c r="H191" i="3" s="1"/>
  <c r="I191" i="3" s="1"/>
  <c r="J191" i="3" s="1"/>
  <c r="F191" i="1"/>
  <c r="E192" i="1" s="1"/>
  <c r="D191" i="1"/>
  <c r="A192" i="1"/>
  <c r="G191" i="2"/>
  <c r="H191" i="2" s="1"/>
  <c r="I191" i="2" s="1"/>
  <c r="J191" i="2" s="1"/>
  <c r="E192" i="2"/>
  <c r="A192" i="3"/>
  <c r="D191" i="3"/>
  <c r="C192" i="1"/>
  <c r="C193" i="3"/>
  <c r="D193" i="2"/>
  <c r="A194" i="2"/>
  <c r="C193" i="4"/>
  <c r="C323" i="2"/>
  <c r="D192" i="4"/>
  <c r="A193" i="4"/>
  <c r="G190" i="4"/>
  <c r="H190" i="4" s="1"/>
  <c r="I190" i="4" s="1"/>
  <c r="J190" i="4" s="1"/>
  <c r="E191" i="4"/>
  <c r="G192" i="1" l="1"/>
  <c r="H192" i="1" s="1"/>
  <c r="I192" i="1" s="1"/>
  <c r="J192" i="1" s="1"/>
  <c r="D193" i="4"/>
  <c r="A194" i="4"/>
  <c r="D192" i="1"/>
  <c r="F192" i="1"/>
  <c r="E193" i="1" s="1"/>
  <c r="A193" i="1"/>
  <c r="C194" i="3"/>
  <c r="E193" i="3"/>
  <c r="G192" i="3"/>
  <c r="H192" i="3" s="1"/>
  <c r="I192" i="3" s="1"/>
  <c r="J192" i="3" s="1"/>
  <c r="C324" i="2"/>
  <c r="C193" i="1"/>
  <c r="C194" i="4"/>
  <c r="A193" i="3"/>
  <c r="D192" i="3"/>
  <c r="E192" i="4"/>
  <c r="G191" i="4"/>
  <c r="H191" i="4" s="1"/>
  <c r="I191" i="4" s="1"/>
  <c r="J191" i="4" s="1"/>
  <c r="D194" i="2"/>
  <c r="A195" i="2"/>
  <c r="G192" i="2"/>
  <c r="H192" i="2" s="1"/>
  <c r="I192" i="2" s="1"/>
  <c r="J192" i="2" s="1"/>
  <c r="E193" i="2"/>
  <c r="G193" i="1" l="1"/>
  <c r="H193" i="1" s="1"/>
  <c r="I193" i="1" s="1"/>
  <c r="J193" i="1" s="1"/>
  <c r="D195" i="2"/>
  <c r="A196" i="2"/>
  <c r="A194" i="1"/>
  <c r="F193" i="1"/>
  <c r="E194" i="1" s="1"/>
  <c r="D193" i="1"/>
  <c r="C194" i="1"/>
  <c r="G192" i="4"/>
  <c r="H192" i="4" s="1"/>
  <c r="I192" i="4" s="1"/>
  <c r="J192" i="4" s="1"/>
  <c r="E193" i="4"/>
  <c r="C325" i="2"/>
  <c r="D194" i="4"/>
  <c r="A195" i="4"/>
  <c r="D193" i="3"/>
  <c r="A194" i="3"/>
  <c r="E194" i="3"/>
  <c r="G193" i="3"/>
  <c r="H193" i="3" s="1"/>
  <c r="I193" i="3" s="1"/>
  <c r="J193" i="3" s="1"/>
  <c r="G193" i="2"/>
  <c r="H193" i="2" s="1"/>
  <c r="I193" i="2" s="1"/>
  <c r="J193" i="2" s="1"/>
  <c r="E194" i="2"/>
  <c r="C195" i="4"/>
  <c r="C195" i="3"/>
  <c r="G194" i="1" l="1"/>
  <c r="H194" i="1" s="1"/>
  <c r="I194" i="1" s="1"/>
  <c r="J194" i="1" s="1"/>
  <c r="E194" i="4"/>
  <c r="G193" i="4"/>
  <c r="H193" i="4" s="1"/>
  <c r="I193" i="4" s="1"/>
  <c r="J193" i="4" s="1"/>
  <c r="C196" i="3"/>
  <c r="A195" i="3"/>
  <c r="D194" i="3"/>
  <c r="C195" i="1"/>
  <c r="C196" i="4"/>
  <c r="D195" i="4"/>
  <c r="A196" i="4"/>
  <c r="G194" i="2"/>
  <c r="H194" i="2" s="1"/>
  <c r="I194" i="2" s="1"/>
  <c r="J194" i="2" s="1"/>
  <c r="E195" i="2"/>
  <c r="C326" i="2"/>
  <c r="A195" i="1"/>
  <c r="F194" i="1"/>
  <c r="E195" i="1" s="1"/>
  <c r="D194" i="1"/>
  <c r="D196" i="2"/>
  <c r="A197" i="2"/>
  <c r="E195" i="3"/>
  <c r="G194" i="3"/>
  <c r="H194" i="3" s="1"/>
  <c r="I194" i="3" s="1"/>
  <c r="J194" i="3" s="1"/>
  <c r="E196" i="1" l="1"/>
  <c r="G195" i="1"/>
  <c r="H195" i="1" s="1"/>
  <c r="I195" i="1" s="1"/>
  <c r="J195" i="1" s="1"/>
  <c r="D195" i="3"/>
  <c r="A196" i="3"/>
  <c r="D197" i="2"/>
  <c r="A198" i="2"/>
  <c r="D196" i="4"/>
  <c r="A197" i="4"/>
  <c r="C196" i="1"/>
  <c r="E196" i="3"/>
  <c r="G195" i="3"/>
  <c r="H195" i="3" s="1"/>
  <c r="I195" i="3" s="1"/>
  <c r="J195" i="3" s="1"/>
  <c r="G195" i="2"/>
  <c r="H195" i="2" s="1"/>
  <c r="I195" i="2" s="1"/>
  <c r="J195" i="2" s="1"/>
  <c r="E196" i="2"/>
  <c r="F195" i="1"/>
  <c r="A196" i="1"/>
  <c r="D195" i="1"/>
  <c r="G194" i="4"/>
  <c r="H194" i="4" s="1"/>
  <c r="I194" i="4" s="1"/>
  <c r="J194" i="4" s="1"/>
  <c r="E195" i="4"/>
  <c r="C197" i="3"/>
  <c r="C197" i="4"/>
  <c r="C327" i="2"/>
  <c r="C328" i="2" l="1"/>
  <c r="G196" i="1"/>
  <c r="H196" i="1" s="1"/>
  <c r="I196" i="1" s="1"/>
  <c r="J196" i="1" s="1"/>
  <c r="D196" i="1"/>
  <c r="A197" i="1"/>
  <c r="F196" i="1"/>
  <c r="E197" i="1" s="1"/>
  <c r="D197" i="4"/>
  <c r="A198" i="4"/>
  <c r="C198" i="4"/>
  <c r="G196" i="2"/>
  <c r="H196" i="2" s="1"/>
  <c r="I196" i="2" s="1"/>
  <c r="J196" i="2" s="1"/>
  <c r="E197" i="2"/>
  <c r="D198" i="2"/>
  <c r="A199" i="2"/>
  <c r="C198" i="3"/>
  <c r="A197" i="3"/>
  <c r="D196" i="3"/>
  <c r="E196" i="4"/>
  <c r="G195" i="4"/>
  <c r="H195" i="4" s="1"/>
  <c r="I195" i="4" s="1"/>
  <c r="J195" i="4" s="1"/>
  <c r="E197" i="3"/>
  <c r="G196" i="3"/>
  <c r="H196" i="3" s="1"/>
  <c r="I196" i="3" s="1"/>
  <c r="J196" i="3" s="1"/>
  <c r="C197" i="1"/>
  <c r="G197" i="1" l="1"/>
  <c r="H197" i="1" s="1"/>
  <c r="I197" i="1" s="1"/>
  <c r="J197" i="1" s="1"/>
  <c r="D199" i="2"/>
  <c r="A200" i="2"/>
  <c r="D197" i="1"/>
  <c r="F197" i="1"/>
  <c r="E198" i="1" s="1"/>
  <c r="A198" i="1"/>
  <c r="E198" i="3"/>
  <c r="G197" i="3"/>
  <c r="H197" i="3" s="1"/>
  <c r="I197" i="3" s="1"/>
  <c r="J197" i="3" s="1"/>
  <c r="C199" i="3"/>
  <c r="C199" i="4"/>
  <c r="C198" i="1"/>
  <c r="A198" i="3"/>
  <c r="D197" i="3"/>
  <c r="C329" i="2"/>
  <c r="G197" i="2"/>
  <c r="H197" i="2" s="1"/>
  <c r="I197" i="2" s="1"/>
  <c r="J197" i="2" s="1"/>
  <c r="E198" i="2"/>
  <c r="G196" i="4"/>
  <c r="H196" i="4" s="1"/>
  <c r="I196" i="4" s="1"/>
  <c r="J196" i="4" s="1"/>
  <c r="E197" i="4"/>
  <c r="D198" i="4"/>
  <c r="A199" i="4"/>
  <c r="G198" i="1" l="1"/>
  <c r="H198" i="1" s="1"/>
  <c r="I198" i="1" s="1"/>
  <c r="J198" i="1" s="1"/>
  <c r="D199" i="4"/>
  <c r="A200" i="4"/>
  <c r="A199" i="3"/>
  <c r="D198" i="3"/>
  <c r="E199" i="3"/>
  <c r="G198" i="3"/>
  <c r="H198" i="3" s="1"/>
  <c r="I198" i="3" s="1"/>
  <c r="J198" i="3" s="1"/>
  <c r="E198" i="4"/>
  <c r="G197" i="4"/>
  <c r="H197" i="4" s="1"/>
  <c r="I197" i="4" s="1"/>
  <c r="J197" i="4" s="1"/>
  <c r="F198" i="1"/>
  <c r="E199" i="1" s="1"/>
  <c r="A199" i="1"/>
  <c r="D198" i="1"/>
  <c r="C199" i="1"/>
  <c r="D200" i="2"/>
  <c r="A201" i="2"/>
  <c r="G198" i="2"/>
  <c r="H198" i="2" s="1"/>
  <c r="I198" i="2" s="1"/>
  <c r="J198" i="2" s="1"/>
  <c r="E199" i="2"/>
  <c r="C200" i="4"/>
  <c r="C330" i="2"/>
  <c r="C200" i="3"/>
  <c r="G199" i="1" l="1"/>
  <c r="H199" i="1" s="1"/>
  <c r="I199" i="1" s="1"/>
  <c r="J199" i="1" s="1"/>
  <c r="C331" i="2"/>
  <c r="G199" i="3"/>
  <c r="H199" i="3" s="1"/>
  <c r="I199" i="3" s="1"/>
  <c r="J199" i="3" s="1"/>
  <c r="E200" i="3"/>
  <c r="A200" i="3"/>
  <c r="D199" i="3"/>
  <c r="F199" i="1"/>
  <c r="E200" i="1" s="1"/>
  <c r="D199" i="1"/>
  <c r="A200" i="1"/>
  <c r="D200" i="4"/>
  <c r="A201" i="4"/>
  <c r="C200" i="1"/>
  <c r="G199" i="2"/>
  <c r="H199" i="2" s="1"/>
  <c r="I199" i="2" s="1"/>
  <c r="J199" i="2" s="1"/>
  <c r="E200" i="2"/>
  <c r="C201" i="4"/>
  <c r="C201" i="3"/>
  <c r="D201" i="2"/>
  <c r="A202" i="2"/>
  <c r="G198" i="4"/>
  <c r="H198" i="4" s="1"/>
  <c r="I198" i="4" s="1"/>
  <c r="J198" i="4" s="1"/>
  <c r="E199" i="4"/>
  <c r="G200" i="1" l="1"/>
  <c r="H200" i="1" s="1"/>
  <c r="A203" i="2"/>
  <c r="D202" i="2"/>
  <c r="C201" i="1"/>
  <c r="I200" i="1"/>
  <c r="J200" i="1" s="1"/>
  <c r="D200" i="3"/>
  <c r="A201" i="3"/>
  <c r="C332" i="2"/>
  <c r="G200" i="3"/>
  <c r="H200" i="3" s="1"/>
  <c r="I200" i="3" s="1"/>
  <c r="J200" i="3" s="1"/>
  <c r="E201" i="3"/>
  <c r="D201" i="4"/>
  <c r="A202" i="4"/>
  <c r="C202" i="3"/>
  <c r="C202" i="4"/>
  <c r="D200" i="1"/>
  <c r="A201" i="1"/>
  <c r="F200" i="1"/>
  <c r="E201" i="1" s="1"/>
  <c r="E200" i="4"/>
  <c r="G199" i="4"/>
  <c r="H199" i="4" s="1"/>
  <c r="I199" i="4" s="1"/>
  <c r="J199" i="4" s="1"/>
  <c r="G200" i="2"/>
  <c r="H200" i="2" s="1"/>
  <c r="I200" i="2" s="1"/>
  <c r="J200" i="2" s="1"/>
  <c r="E201" i="2"/>
  <c r="G201" i="1" l="1"/>
  <c r="H201" i="1" s="1"/>
  <c r="I201" i="1" s="1"/>
  <c r="J201" i="1" s="1"/>
  <c r="C203" i="3"/>
  <c r="A202" i="3"/>
  <c r="D201" i="3"/>
  <c r="C202" i="1"/>
  <c r="G200" i="4"/>
  <c r="H200" i="4" s="1"/>
  <c r="I200" i="4" s="1"/>
  <c r="J200" i="4" s="1"/>
  <c r="E201" i="4"/>
  <c r="A204" i="2"/>
  <c r="D203" i="2"/>
  <c r="C203" i="4"/>
  <c r="C333" i="2"/>
  <c r="D202" i="4"/>
  <c r="A203" i="4"/>
  <c r="A202" i="1"/>
  <c r="F201" i="1"/>
  <c r="E202" i="1" s="1"/>
  <c r="D201" i="1"/>
  <c r="G201" i="3"/>
  <c r="H201" i="3" s="1"/>
  <c r="I201" i="3" s="1"/>
  <c r="J201" i="3" s="1"/>
  <c r="E202" i="3"/>
  <c r="E202" i="2"/>
  <c r="G201" i="2"/>
  <c r="H201" i="2" s="1"/>
  <c r="I201" i="2" s="1"/>
  <c r="J201" i="2" s="1"/>
  <c r="G202" i="1" l="1"/>
  <c r="H202" i="1" s="1"/>
  <c r="I202" i="1" s="1"/>
  <c r="J202" i="1" s="1"/>
  <c r="E203" i="2"/>
  <c r="G202" i="2"/>
  <c r="H202" i="2" s="1"/>
  <c r="I202" i="2" s="1"/>
  <c r="J202" i="2" s="1"/>
  <c r="C334" i="2"/>
  <c r="G202" i="3"/>
  <c r="H202" i="3" s="1"/>
  <c r="I202" i="3" s="1"/>
  <c r="J202" i="3" s="1"/>
  <c r="E203" i="3"/>
  <c r="C203" i="1"/>
  <c r="D202" i="3"/>
  <c r="A203" i="3"/>
  <c r="D202" i="1"/>
  <c r="A203" i="1"/>
  <c r="F202" i="1"/>
  <c r="E203" i="1" s="1"/>
  <c r="A205" i="2"/>
  <c r="D204" i="2"/>
  <c r="C204" i="3"/>
  <c r="C204" i="4"/>
  <c r="D203" i="4"/>
  <c r="A204" i="4"/>
  <c r="E202" i="4"/>
  <c r="G201" i="4"/>
  <c r="H201" i="4" s="1"/>
  <c r="I201" i="4" s="1"/>
  <c r="J201" i="4" s="1"/>
  <c r="G203" i="1" l="1"/>
  <c r="H203" i="1" s="1"/>
  <c r="G202" i="4"/>
  <c r="H202" i="4" s="1"/>
  <c r="I202" i="4" s="1"/>
  <c r="J202" i="4" s="1"/>
  <c r="E203" i="4"/>
  <c r="D205" i="2"/>
  <c r="A206" i="2"/>
  <c r="G203" i="3"/>
  <c r="H203" i="3" s="1"/>
  <c r="I203" i="3" s="1"/>
  <c r="J203" i="3" s="1"/>
  <c r="E204" i="3"/>
  <c r="D204" i="4"/>
  <c r="A205" i="4"/>
  <c r="F203" i="1"/>
  <c r="E204" i="1" s="1"/>
  <c r="D203" i="1"/>
  <c r="A204" i="1"/>
  <c r="C335" i="2"/>
  <c r="C205" i="4"/>
  <c r="A204" i="3"/>
  <c r="D203" i="3"/>
  <c r="C205" i="3"/>
  <c r="E204" i="2"/>
  <c r="G203" i="2"/>
  <c r="H203" i="2" s="1"/>
  <c r="I203" i="2" s="1"/>
  <c r="J203" i="2" s="1"/>
  <c r="I203" i="1"/>
  <c r="J203" i="1" s="1"/>
  <c r="C204" i="1"/>
  <c r="G204" i="1" l="1"/>
  <c r="H204" i="1" s="1"/>
  <c r="I204" i="1" s="1"/>
  <c r="J204" i="1" s="1"/>
  <c r="G204" i="3"/>
  <c r="H204" i="3" s="1"/>
  <c r="I204" i="3" s="1"/>
  <c r="J204" i="3" s="1"/>
  <c r="E205" i="3"/>
  <c r="C336" i="2"/>
  <c r="E205" i="2"/>
  <c r="G204" i="2"/>
  <c r="H204" i="2" s="1"/>
  <c r="I204" i="2" s="1"/>
  <c r="J204" i="2" s="1"/>
  <c r="D206" i="2"/>
  <c r="A207" i="2"/>
  <c r="C205" i="1"/>
  <c r="E204" i="4"/>
  <c r="G203" i="4"/>
  <c r="H203" i="4" s="1"/>
  <c r="I203" i="4" s="1"/>
  <c r="J203" i="4" s="1"/>
  <c r="C206" i="4"/>
  <c r="C206" i="3"/>
  <c r="F204" i="1"/>
  <c r="E205" i="1" s="1"/>
  <c r="D204" i="1"/>
  <c r="A205" i="1"/>
  <c r="D204" i="3"/>
  <c r="A205" i="3"/>
  <c r="D205" i="4"/>
  <c r="A206" i="4"/>
  <c r="G205" i="1" l="1"/>
  <c r="H205" i="1" s="1"/>
  <c r="I205" i="1" s="1"/>
  <c r="J205" i="1" s="1"/>
  <c r="A206" i="3"/>
  <c r="D205" i="3"/>
  <c r="E206" i="2"/>
  <c r="G205" i="2"/>
  <c r="H205" i="2" s="1"/>
  <c r="I205" i="2" s="1"/>
  <c r="J205" i="2" s="1"/>
  <c r="C337" i="2"/>
  <c r="C207" i="4"/>
  <c r="G204" i="4"/>
  <c r="H204" i="4" s="1"/>
  <c r="I204" i="4" s="1"/>
  <c r="J204" i="4" s="1"/>
  <c r="E205" i="4"/>
  <c r="D206" i="4"/>
  <c r="A207" i="4"/>
  <c r="G205" i="3"/>
  <c r="H205" i="3" s="1"/>
  <c r="I205" i="3" s="1"/>
  <c r="J205" i="3" s="1"/>
  <c r="E206" i="3"/>
  <c r="D205" i="1"/>
  <c r="F205" i="1"/>
  <c r="E206" i="1" s="1"/>
  <c r="A206" i="1"/>
  <c r="C206" i="1"/>
  <c r="C207" i="3"/>
  <c r="D207" i="2"/>
  <c r="A208" i="2"/>
  <c r="G206" i="1" l="1"/>
  <c r="H206" i="1" s="1"/>
  <c r="I206" i="1" s="1"/>
  <c r="J206" i="1" s="1"/>
  <c r="E207" i="2"/>
  <c r="G206" i="2"/>
  <c r="H206" i="2" s="1"/>
  <c r="I206" i="2" s="1"/>
  <c r="J206" i="2" s="1"/>
  <c r="D208" i="2"/>
  <c r="A209" i="2"/>
  <c r="D206" i="3"/>
  <c r="A207" i="3"/>
  <c r="G206" i="3"/>
  <c r="H206" i="3" s="1"/>
  <c r="I206" i="3" s="1"/>
  <c r="J206" i="3" s="1"/>
  <c r="E207" i="3"/>
  <c r="C338" i="2"/>
  <c r="C208" i="3"/>
  <c r="D207" i="4"/>
  <c r="A208" i="4"/>
  <c r="C207" i="1"/>
  <c r="E206" i="4"/>
  <c r="G205" i="4"/>
  <c r="H205" i="4" s="1"/>
  <c r="I205" i="4" s="1"/>
  <c r="J205" i="4" s="1"/>
  <c r="F206" i="1"/>
  <c r="E207" i="1" s="1"/>
  <c r="A207" i="1"/>
  <c r="D206" i="1"/>
  <c r="C208" i="4"/>
  <c r="G207" i="1" l="1"/>
  <c r="H207" i="1" s="1"/>
  <c r="I207" i="1" s="1"/>
  <c r="J207" i="1" s="1"/>
  <c r="C208" i="1"/>
  <c r="G207" i="3"/>
  <c r="H207" i="3" s="1"/>
  <c r="I207" i="3" s="1"/>
  <c r="J207" i="3" s="1"/>
  <c r="E208" i="3"/>
  <c r="C209" i="4"/>
  <c r="D208" i="4"/>
  <c r="A209" i="4"/>
  <c r="A208" i="3"/>
  <c r="D207" i="3"/>
  <c r="A208" i="1"/>
  <c r="F207" i="1"/>
  <c r="E208" i="1" s="1"/>
  <c r="D207" i="1"/>
  <c r="C209" i="3"/>
  <c r="D209" i="2"/>
  <c r="A210" i="2"/>
  <c r="C339" i="2"/>
  <c r="G206" i="4"/>
  <c r="H206" i="4" s="1"/>
  <c r="I206" i="4" s="1"/>
  <c r="J206" i="4" s="1"/>
  <c r="E207" i="4"/>
  <c r="E208" i="2"/>
  <c r="G207" i="2"/>
  <c r="H207" i="2" s="1"/>
  <c r="I207" i="2" s="1"/>
  <c r="J207" i="2" s="1"/>
  <c r="G208" i="1" l="1"/>
  <c r="H208" i="1" s="1"/>
  <c r="I208" i="1" s="1"/>
  <c r="J208" i="1" s="1"/>
  <c r="G208" i="3"/>
  <c r="H208" i="3" s="1"/>
  <c r="I208" i="3" s="1"/>
  <c r="J208" i="3" s="1"/>
  <c r="E209" i="3"/>
  <c r="E209" i="2"/>
  <c r="G208" i="2"/>
  <c r="H208" i="2" s="1"/>
  <c r="I208" i="2" s="1"/>
  <c r="J208" i="2" s="1"/>
  <c r="C210" i="4"/>
  <c r="E208" i="4"/>
  <c r="G207" i="4"/>
  <c r="H207" i="4" s="1"/>
  <c r="I207" i="4" s="1"/>
  <c r="J207" i="4" s="1"/>
  <c r="C340" i="2"/>
  <c r="D208" i="1"/>
  <c r="A209" i="1"/>
  <c r="F208" i="1"/>
  <c r="E209" i="1" s="1"/>
  <c r="A211" i="2"/>
  <c r="D210" i="2"/>
  <c r="D208" i="3"/>
  <c r="A209" i="3"/>
  <c r="C209" i="1"/>
  <c r="C210" i="3"/>
  <c r="A210" i="4"/>
  <c r="D209" i="4"/>
  <c r="G209" i="1" l="1"/>
  <c r="H209" i="1" s="1"/>
  <c r="I209" i="1" s="1"/>
  <c r="J209" i="1" s="1"/>
  <c r="A211" i="4"/>
  <c r="D210" i="4"/>
  <c r="A212" i="2"/>
  <c r="D211" i="2"/>
  <c r="C211" i="4"/>
  <c r="C211" i="3"/>
  <c r="E210" i="2"/>
  <c r="G209" i="2"/>
  <c r="H209" i="2" s="1"/>
  <c r="I209" i="2" s="1"/>
  <c r="J209" i="2" s="1"/>
  <c r="A210" i="1"/>
  <c r="D209" i="1"/>
  <c r="F209" i="1"/>
  <c r="E210" i="1" s="1"/>
  <c r="C210" i="1"/>
  <c r="C341" i="2"/>
  <c r="G209" i="3"/>
  <c r="H209" i="3" s="1"/>
  <c r="I209" i="3" s="1"/>
  <c r="J209" i="3" s="1"/>
  <c r="E210" i="3"/>
  <c r="A210" i="3"/>
  <c r="D209" i="3"/>
  <c r="E209" i="4"/>
  <c r="G208" i="4"/>
  <c r="H208" i="4" s="1"/>
  <c r="I208" i="4" s="1"/>
  <c r="J208" i="4" s="1"/>
  <c r="G210" i="1" l="1"/>
  <c r="H210" i="1" s="1"/>
  <c r="I210" i="1" s="1"/>
  <c r="J210" i="1" s="1"/>
  <c r="G210" i="3"/>
  <c r="H210" i="3" s="1"/>
  <c r="I210" i="3" s="1"/>
  <c r="J210" i="3" s="1"/>
  <c r="E211" i="3"/>
  <c r="F210" i="1"/>
  <c r="E211" i="1" s="1"/>
  <c r="D210" i="1"/>
  <c r="A211" i="1"/>
  <c r="D212" i="2"/>
  <c r="A213" i="2"/>
  <c r="C212" i="4"/>
  <c r="C211" i="1"/>
  <c r="D210" i="3"/>
  <c r="A211" i="3"/>
  <c r="C342" i="2"/>
  <c r="E211" i="2"/>
  <c r="G210" i="2"/>
  <c r="H210" i="2" s="1"/>
  <c r="I210" i="2" s="1"/>
  <c r="J210" i="2" s="1"/>
  <c r="A212" i="4"/>
  <c r="D211" i="4"/>
  <c r="E210" i="4"/>
  <c r="G209" i="4"/>
  <c r="H209" i="4" s="1"/>
  <c r="I209" i="4" s="1"/>
  <c r="J209" i="4" s="1"/>
  <c r="C212" i="3"/>
  <c r="G211" i="1" l="1"/>
  <c r="H211" i="1" s="1"/>
  <c r="I211" i="1" s="1"/>
  <c r="J211" i="1" s="1"/>
  <c r="A212" i="3"/>
  <c r="D211" i="3"/>
  <c r="F211" i="1"/>
  <c r="E212" i="1" s="1"/>
  <c r="D211" i="1"/>
  <c r="A212" i="1"/>
  <c r="D212" i="4"/>
  <c r="A213" i="4"/>
  <c r="C212" i="1"/>
  <c r="G211" i="3"/>
  <c r="H211" i="3" s="1"/>
  <c r="I211" i="3" s="1"/>
  <c r="J211" i="3" s="1"/>
  <c r="E212" i="3"/>
  <c r="E211" i="4"/>
  <c r="G210" i="4"/>
  <c r="H210" i="4" s="1"/>
  <c r="I210" i="4" s="1"/>
  <c r="J210" i="4" s="1"/>
  <c r="C213" i="4"/>
  <c r="E212" i="2"/>
  <c r="G211" i="2"/>
  <c r="H211" i="2" s="1"/>
  <c r="I211" i="2" s="1"/>
  <c r="J211" i="2" s="1"/>
  <c r="C213" i="3"/>
  <c r="C343" i="2"/>
  <c r="D213" i="2"/>
  <c r="A214" i="2"/>
  <c r="G212" i="1" l="1"/>
  <c r="H212" i="1" s="1"/>
  <c r="E213" i="1"/>
  <c r="F212" i="1"/>
  <c r="D212" i="1"/>
  <c r="A213" i="1"/>
  <c r="C344" i="2"/>
  <c r="E212" i="4"/>
  <c r="G211" i="4"/>
  <c r="H211" i="4" s="1"/>
  <c r="I211" i="4" s="1"/>
  <c r="J211" i="4" s="1"/>
  <c r="G212" i="3"/>
  <c r="H212" i="3" s="1"/>
  <c r="I212" i="3" s="1"/>
  <c r="J212" i="3" s="1"/>
  <c r="E213" i="3"/>
  <c r="I212" i="1"/>
  <c r="J212" i="1" s="1"/>
  <c r="C213" i="1"/>
  <c r="D212" i="3"/>
  <c r="A213" i="3"/>
  <c r="C214" i="3"/>
  <c r="E213" i="2"/>
  <c r="G212" i="2"/>
  <c r="H212" i="2" s="1"/>
  <c r="I212" i="2" s="1"/>
  <c r="J212" i="2" s="1"/>
  <c r="A215" i="2"/>
  <c r="D214" i="2"/>
  <c r="C214" i="4"/>
  <c r="D213" i="4"/>
  <c r="A214" i="4"/>
  <c r="E213" i="4" l="1"/>
  <c r="G212" i="4"/>
  <c r="H212" i="4" s="1"/>
  <c r="I212" i="4" s="1"/>
  <c r="J212" i="4" s="1"/>
  <c r="C215" i="4"/>
  <c r="A214" i="3"/>
  <c r="D213" i="3"/>
  <c r="C345" i="2"/>
  <c r="C214" i="1"/>
  <c r="D213" i="1"/>
  <c r="A214" i="1"/>
  <c r="F213" i="1"/>
  <c r="A216" i="2"/>
  <c r="D215" i="2"/>
  <c r="A215" i="4"/>
  <c r="D214" i="4"/>
  <c r="G213" i="3"/>
  <c r="H213" i="3" s="1"/>
  <c r="I213" i="3" s="1"/>
  <c r="J213" i="3" s="1"/>
  <c r="E214" i="3"/>
  <c r="C215" i="3"/>
  <c r="E214" i="2"/>
  <c r="G213" i="2"/>
  <c r="H213" i="2" s="1"/>
  <c r="I213" i="2" s="1"/>
  <c r="J213" i="2" s="1"/>
  <c r="G213" i="1"/>
  <c r="H213" i="1" s="1"/>
  <c r="I213" i="1" s="1"/>
  <c r="J213" i="1" s="1"/>
  <c r="E214" i="1"/>
  <c r="D215" i="4" l="1"/>
  <c r="A216" i="4"/>
  <c r="E215" i="2"/>
  <c r="G214" i="2"/>
  <c r="H214" i="2" s="1"/>
  <c r="I214" i="2" s="1"/>
  <c r="J214" i="2" s="1"/>
  <c r="D214" i="3"/>
  <c r="A215" i="3"/>
  <c r="D216" i="2"/>
  <c r="A217" i="2"/>
  <c r="C216" i="3"/>
  <c r="F214" i="1"/>
  <c r="A215" i="1"/>
  <c r="D214" i="1"/>
  <c r="C216" i="4"/>
  <c r="C346" i="2"/>
  <c r="G214" i="3"/>
  <c r="H214" i="3" s="1"/>
  <c r="I214" i="3" s="1"/>
  <c r="J214" i="3" s="1"/>
  <c r="E215" i="3"/>
  <c r="E215" i="1"/>
  <c r="G214" i="1"/>
  <c r="H214" i="1" s="1"/>
  <c r="I214" i="1" s="1"/>
  <c r="J214" i="1" s="1"/>
  <c r="C215" i="1"/>
  <c r="E214" i="4"/>
  <c r="G213" i="4"/>
  <c r="H213" i="4" s="1"/>
  <c r="I213" i="4" s="1"/>
  <c r="J213" i="4" s="1"/>
  <c r="C347" i="2" l="1"/>
  <c r="E215" i="4"/>
  <c r="G214" i="4"/>
  <c r="H214" i="4" s="1"/>
  <c r="I214" i="4" s="1"/>
  <c r="J214" i="4" s="1"/>
  <c r="D217" i="2"/>
  <c r="A218" i="2"/>
  <c r="C217" i="4"/>
  <c r="C216" i="1"/>
  <c r="A216" i="3"/>
  <c r="D215" i="3"/>
  <c r="E216" i="1"/>
  <c r="G215" i="1"/>
  <c r="H215" i="1" s="1"/>
  <c r="I215" i="1" s="1"/>
  <c r="J215" i="1" s="1"/>
  <c r="D215" i="1"/>
  <c r="A216" i="1"/>
  <c r="F215" i="1"/>
  <c r="G215" i="3"/>
  <c r="H215" i="3" s="1"/>
  <c r="I215" i="3" s="1"/>
  <c r="J215" i="3" s="1"/>
  <c r="E216" i="3"/>
  <c r="E216" i="2"/>
  <c r="G215" i="2"/>
  <c r="H215" i="2" s="1"/>
  <c r="I215" i="2" s="1"/>
  <c r="J215" i="2" s="1"/>
  <c r="C217" i="3"/>
  <c r="A217" i="4"/>
  <c r="D216" i="4"/>
  <c r="A219" i="2" l="1"/>
  <c r="D218" i="2"/>
  <c r="A218" i="4"/>
  <c r="D217" i="4"/>
  <c r="C218" i="3"/>
  <c r="D216" i="1"/>
  <c r="F216" i="1"/>
  <c r="E217" i="1" s="1"/>
  <c r="A217" i="1"/>
  <c r="G216" i="3"/>
  <c r="H216" i="3" s="1"/>
  <c r="I216" i="3" s="1"/>
  <c r="J216" i="3" s="1"/>
  <c r="E217" i="3"/>
  <c r="D216" i="3"/>
  <c r="A217" i="3"/>
  <c r="E216" i="4"/>
  <c r="G215" i="4"/>
  <c r="H215" i="4" s="1"/>
  <c r="I215" i="4" s="1"/>
  <c r="J215" i="4" s="1"/>
  <c r="C218" i="4"/>
  <c r="G216" i="1"/>
  <c r="H216" i="1" s="1"/>
  <c r="I216" i="1" s="1"/>
  <c r="J216" i="1" s="1"/>
  <c r="E217" i="2"/>
  <c r="G216" i="2"/>
  <c r="H216" i="2" s="1"/>
  <c r="I216" i="2" s="1"/>
  <c r="J216" i="2" s="1"/>
  <c r="C348" i="2"/>
  <c r="C217" i="1"/>
  <c r="G217" i="1" l="1"/>
  <c r="H217" i="1" s="1"/>
  <c r="I217" i="1" s="1"/>
  <c r="J217" i="1" s="1"/>
  <c r="C349" i="2"/>
  <c r="C218" i="1"/>
  <c r="E217" i="4"/>
  <c r="G216" i="4"/>
  <c r="H216" i="4" s="1"/>
  <c r="I216" i="4" s="1"/>
  <c r="J216" i="4" s="1"/>
  <c r="C219" i="3"/>
  <c r="A218" i="3"/>
  <c r="D217" i="3"/>
  <c r="G217" i="3"/>
  <c r="H217" i="3" s="1"/>
  <c r="I217" i="3" s="1"/>
  <c r="J217" i="3" s="1"/>
  <c r="E218" i="3"/>
  <c r="D218" i="4"/>
  <c r="A219" i="4"/>
  <c r="E218" i="2"/>
  <c r="G217" i="2"/>
  <c r="H217" i="2" s="1"/>
  <c r="I217" i="2" s="1"/>
  <c r="J217" i="2" s="1"/>
  <c r="C219" i="4"/>
  <c r="A218" i="1"/>
  <c r="F217" i="1"/>
  <c r="E218" i="1" s="1"/>
  <c r="D217" i="1"/>
  <c r="A220" i="2"/>
  <c r="D219" i="2"/>
  <c r="G218" i="1" l="1"/>
  <c r="H218" i="1" s="1"/>
  <c r="I218" i="1" s="1"/>
  <c r="J218" i="1" s="1"/>
  <c r="E218" i="4"/>
  <c r="G217" i="4"/>
  <c r="H217" i="4" s="1"/>
  <c r="I217" i="4" s="1"/>
  <c r="J217" i="4" s="1"/>
  <c r="G218" i="3"/>
  <c r="H218" i="3" s="1"/>
  <c r="I218" i="3" s="1"/>
  <c r="J218" i="3" s="1"/>
  <c r="E219" i="3"/>
  <c r="C219" i="1"/>
  <c r="C350" i="2"/>
  <c r="F218" i="1"/>
  <c r="E219" i="1" s="1"/>
  <c r="D218" i="1"/>
  <c r="A219" i="1"/>
  <c r="C220" i="4"/>
  <c r="D218" i="3"/>
  <c r="A219" i="3"/>
  <c r="D220" i="2"/>
  <c r="A221" i="2"/>
  <c r="A220" i="4"/>
  <c r="D219" i="4"/>
  <c r="E219" i="2"/>
  <c r="G218" i="2"/>
  <c r="H218" i="2" s="1"/>
  <c r="I218" i="2" s="1"/>
  <c r="J218" i="2" s="1"/>
  <c r="C220" i="3"/>
  <c r="G219" i="1" l="1"/>
  <c r="H219" i="1" s="1"/>
  <c r="I219" i="1" s="1"/>
  <c r="J219" i="1" s="1"/>
  <c r="C221" i="4"/>
  <c r="C220" i="1"/>
  <c r="E220" i="2"/>
  <c r="G219" i="2"/>
  <c r="H219" i="2" s="1"/>
  <c r="I219" i="2" s="1"/>
  <c r="J219" i="2" s="1"/>
  <c r="G219" i="3"/>
  <c r="H219" i="3" s="1"/>
  <c r="I219" i="3" s="1"/>
  <c r="J219" i="3" s="1"/>
  <c r="E220" i="3"/>
  <c r="F219" i="1"/>
  <c r="E220" i="1" s="1"/>
  <c r="A220" i="1"/>
  <c r="D219" i="1"/>
  <c r="D221" i="2"/>
  <c r="A222" i="2"/>
  <c r="E219" i="4"/>
  <c r="G218" i="4"/>
  <c r="H218" i="4" s="1"/>
  <c r="I218" i="4" s="1"/>
  <c r="J218" i="4" s="1"/>
  <c r="C351" i="2"/>
  <c r="D220" i="4"/>
  <c r="A221" i="4"/>
  <c r="C221" i="3"/>
  <c r="A220" i="3"/>
  <c r="D219" i="3"/>
  <c r="G220" i="1" l="1"/>
  <c r="H220" i="1" s="1"/>
  <c r="I220" i="1" s="1"/>
  <c r="J220" i="1" s="1"/>
  <c r="C222" i="3"/>
  <c r="A223" i="2"/>
  <c r="D222" i="2"/>
  <c r="E221" i="2"/>
  <c r="G220" i="2"/>
  <c r="H220" i="2" s="1"/>
  <c r="I220" i="2" s="1"/>
  <c r="J220" i="2" s="1"/>
  <c r="C221" i="1"/>
  <c r="D220" i="3"/>
  <c r="A221" i="3"/>
  <c r="E220" i="4"/>
  <c r="G219" i="4"/>
  <c r="H219" i="4" s="1"/>
  <c r="I219" i="4" s="1"/>
  <c r="J219" i="4" s="1"/>
  <c r="D221" i="4"/>
  <c r="A222" i="4"/>
  <c r="A221" i="1"/>
  <c r="F220" i="1"/>
  <c r="E221" i="1" s="1"/>
  <c r="D220" i="1"/>
  <c r="C222" i="4"/>
  <c r="C352" i="2"/>
  <c r="G220" i="3"/>
  <c r="H220" i="3" s="1"/>
  <c r="I220" i="3" s="1"/>
  <c r="J220" i="3" s="1"/>
  <c r="E221" i="3"/>
  <c r="G221" i="1" l="1"/>
  <c r="H221" i="1" s="1"/>
  <c r="E222" i="2"/>
  <c r="G221" i="2"/>
  <c r="H221" i="2" s="1"/>
  <c r="I221" i="2" s="1"/>
  <c r="J221" i="2" s="1"/>
  <c r="C353" i="2"/>
  <c r="E221" i="4"/>
  <c r="G220" i="4"/>
  <c r="H220" i="4" s="1"/>
  <c r="I220" i="4" s="1"/>
  <c r="J220" i="4" s="1"/>
  <c r="A224" i="2"/>
  <c r="D223" i="2"/>
  <c r="C223" i="4"/>
  <c r="A222" i="3"/>
  <c r="D221" i="3"/>
  <c r="C223" i="3"/>
  <c r="A223" i="4"/>
  <c r="D222" i="4"/>
  <c r="G221" i="3"/>
  <c r="H221" i="3" s="1"/>
  <c r="I221" i="3" s="1"/>
  <c r="J221" i="3" s="1"/>
  <c r="E222" i="3"/>
  <c r="D221" i="1"/>
  <c r="A222" i="1"/>
  <c r="F221" i="1"/>
  <c r="E222" i="1" s="1"/>
  <c r="C222" i="1"/>
  <c r="I221" i="1"/>
  <c r="J221" i="1" s="1"/>
  <c r="G222" i="1" l="1"/>
  <c r="H222" i="1" s="1"/>
  <c r="C224" i="3"/>
  <c r="E222" i="4"/>
  <c r="G221" i="4"/>
  <c r="H221" i="4" s="1"/>
  <c r="I221" i="4" s="1"/>
  <c r="J221" i="4" s="1"/>
  <c r="C354" i="2"/>
  <c r="D222" i="3"/>
  <c r="A223" i="3"/>
  <c r="G222" i="3"/>
  <c r="H222" i="3" s="1"/>
  <c r="I222" i="3" s="1"/>
  <c r="J222" i="3" s="1"/>
  <c r="E223" i="3"/>
  <c r="F222" i="1"/>
  <c r="E223" i="1" s="1"/>
  <c r="A223" i="1"/>
  <c r="D222" i="1"/>
  <c r="E223" i="2"/>
  <c r="G222" i="2"/>
  <c r="H222" i="2" s="1"/>
  <c r="I222" i="2" s="1"/>
  <c r="J222" i="2" s="1"/>
  <c r="C223" i="1"/>
  <c r="I222" i="1"/>
  <c r="J222" i="1" s="1"/>
  <c r="C224" i="4"/>
  <c r="D223" i="4"/>
  <c r="A224" i="4"/>
  <c r="D224" i="2"/>
  <c r="A225" i="2"/>
  <c r="G223" i="1" l="1"/>
  <c r="H223" i="1" s="1"/>
  <c r="I223" i="1" s="1"/>
  <c r="J223" i="1" s="1"/>
  <c r="E224" i="1"/>
  <c r="E223" i="4"/>
  <c r="G222" i="4"/>
  <c r="H222" i="4" s="1"/>
  <c r="I222" i="4" s="1"/>
  <c r="J222" i="4" s="1"/>
  <c r="E224" i="2"/>
  <c r="G223" i="2"/>
  <c r="H223" i="2" s="1"/>
  <c r="I223" i="2" s="1"/>
  <c r="J223" i="2" s="1"/>
  <c r="C355" i="2"/>
  <c r="A225" i="4"/>
  <c r="D224" i="4"/>
  <c r="F223" i="1"/>
  <c r="D223" i="1"/>
  <c r="A224" i="1"/>
  <c r="C225" i="4"/>
  <c r="G223" i="3"/>
  <c r="H223" i="3" s="1"/>
  <c r="I223" i="3" s="1"/>
  <c r="J223" i="3" s="1"/>
  <c r="E224" i="3"/>
  <c r="C225" i="3"/>
  <c r="D225" i="2"/>
  <c r="A226" i="2"/>
  <c r="C224" i="1"/>
  <c r="A224" i="3"/>
  <c r="D223" i="3"/>
  <c r="C356" i="2" l="1"/>
  <c r="C226" i="4"/>
  <c r="A226" i="4"/>
  <c r="D225" i="4"/>
  <c r="D224" i="3"/>
  <c r="A225" i="3"/>
  <c r="C225" i="1"/>
  <c r="A227" i="2"/>
  <c r="D226" i="2"/>
  <c r="D224" i="1"/>
  <c r="F224" i="1"/>
  <c r="A225" i="1"/>
  <c r="E225" i="2"/>
  <c r="G224" i="2"/>
  <c r="H224" i="2" s="1"/>
  <c r="I224" i="2" s="1"/>
  <c r="J224" i="2" s="1"/>
  <c r="C226" i="3"/>
  <c r="E224" i="4"/>
  <c r="G223" i="4"/>
  <c r="H223" i="4" s="1"/>
  <c r="I223" i="4" s="1"/>
  <c r="J223" i="4" s="1"/>
  <c r="G224" i="1"/>
  <c r="H224" i="1" s="1"/>
  <c r="I224" i="1" s="1"/>
  <c r="J224" i="1" s="1"/>
  <c r="E225" i="1"/>
  <c r="G224" i="3"/>
  <c r="H224" i="3" s="1"/>
  <c r="I224" i="3" s="1"/>
  <c r="J224" i="3" s="1"/>
  <c r="E225" i="3"/>
  <c r="G225" i="1" l="1"/>
  <c r="H225" i="1" s="1"/>
  <c r="E226" i="2"/>
  <c r="G225" i="2"/>
  <c r="H225" i="2" s="1"/>
  <c r="I225" i="2" s="1"/>
  <c r="J225" i="2" s="1"/>
  <c r="A226" i="3"/>
  <c r="D225" i="3"/>
  <c r="D226" i="4"/>
  <c r="A227" i="4"/>
  <c r="C227" i="4"/>
  <c r="A228" i="2"/>
  <c r="D227" i="2"/>
  <c r="E225" i="4"/>
  <c r="G224" i="4"/>
  <c r="H224" i="4" s="1"/>
  <c r="I224" i="4" s="1"/>
  <c r="J224" i="4" s="1"/>
  <c r="C227" i="3"/>
  <c r="C357" i="2"/>
  <c r="A226" i="1"/>
  <c r="F225" i="1"/>
  <c r="E226" i="1" s="1"/>
  <c r="D225" i="1"/>
  <c r="G225" i="3"/>
  <c r="H225" i="3" s="1"/>
  <c r="I225" i="3" s="1"/>
  <c r="J225" i="3" s="1"/>
  <c r="E226" i="3"/>
  <c r="I225" i="1"/>
  <c r="J225" i="1" s="1"/>
  <c r="C226" i="1"/>
  <c r="G226" i="1" l="1"/>
  <c r="H226" i="1" s="1"/>
  <c r="I226" i="1" s="1"/>
  <c r="J226" i="1" s="1"/>
  <c r="G226" i="3"/>
  <c r="H226" i="3" s="1"/>
  <c r="I226" i="3" s="1"/>
  <c r="J226" i="3" s="1"/>
  <c r="E227" i="3"/>
  <c r="C228" i="3"/>
  <c r="D227" i="4"/>
  <c r="A228" i="4"/>
  <c r="E226" i="4"/>
  <c r="G225" i="4"/>
  <c r="H225" i="4" s="1"/>
  <c r="I225" i="4" s="1"/>
  <c r="J225" i="4" s="1"/>
  <c r="D226" i="3"/>
  <c r="A227" i="3"/>
  <c r="A227" i="1"/>
  <c r="F226" i="1"/>
  <c r="E227" i="1" s="1"/>
  <c r="D226" i="1"/>
  <c r="D228" i="2"/>
  <c r="A229" i="2"/>
  <c r="E227" i="2"/>
  <c r="G226" i="2"/>
  <c r="H226" i="2" s="1"/>
  <c r="I226" i="2" s="1"/>
  <c r="J226" i="2" s="1"/>
  <c r="C358" i="2"/>
  <c r="C228" i="4"/>
  <c r="C227" i="1"/>
  <c r="G227" i="1" l="1"/>
  <c r="H227" i="1" s="1"/>
  <c r="I227" i="1" s="1"/>
  <c r="J227" i="1" s="1"/>
  <c r="C229" i="4"/>
  <c r="C229" i="3"/>
  <c r="E228" i="2"/>
  <c r="G227" i="2"/>
  <c r="H227" i="2" s="1"/>
  <c r="I227" i="2" s="1"/>
  <c r="J227" i="2" s="1"/>
  <c r="A230" i="2"/>
  <c r="D229" i="2"/>
  <c r="E227" i="4"/>
  <c r="G226" i="4"/>
  <c r="H226" i="4" s="1"/>
  <c r="I226" i="4" s="1"/>
  <c r="J226" i="4" s="1"/>
  <c r="C228" i="1"/>
  <c r="D228" i="4"/>
  <c r="A229" i="4"/>
  <c r="C359" i="2"/>
  <c r="F227" i="1"/>
  <c r="E228" i="1" s="1"/>
  <c r="A228" i="1"/>
  <c r="D227" i="1"/>
  <c r="A228" i="3"/>
  <c r="D227" i="3"/>
  <c r="G227" i="3"/>
  <c r="H227" i="3" s="1"/>
  <c r="I227" i="3" s="1"/>
  <c r="J227" i="3" s="1"/>
  <c r="E228" i="3"/>
  <c r="G228" i="1" l="1"/>
  <c r="H228" i="1" s="1"/>
  <c r="I228" i="1" s="1"/>
  <c r="J228" i="1" s="1"/>
  <c r="E229" i="2"/>
  <c r="G228" i="2"/>
  <c r="H228" i="2" s="1"/>
  <c r="I228" i="2" s="1"/>
  <c r="J228" i="2" s="1"/>
  <c r="C229" i="1"/>
  <c r="C230" i="3"/>
  <c r="D228" i="3"/>
  <c r="A229" i="3"/>
  <c r="D228" i="1"/>
  <c r="A229" i="1"/>
  <c r="F228" i="1"/>
  <c r="E229" i="1" s="1"/>
  <c r="C230" i="4"/>
  <c r="D229" i="4"/>
  <c r="A230" i="4"/>
  <c r="E228" i="4"/>
  <c r="G227" i="4"/>
  <c r="H227" i="4" s="1"/>
  <c r="I227" i="4" s="1"/>
  <c r="J227" i="4" s="1"/>
  <c r="C360" i="2"/>
  <c r="G228" i="3"/>
  <c r="H228" i="3" s="1"/>
  <c r="I228" i="3" s="1"/>
  <c r="J228" i="3" s="1"/>
  <c r="E229" i="3"/>
  <c r="D230" i="2"/>
  <c r="A231" i="2"/>
  <c r="G229" i="1" l="1"/>
  <c r="H229" i="1" s="1"/>
  <c r="I229" i="1" s="1"/>
  <c r="J229" i="1" s="1"/>
  <c r="C231" i="3"/>
  <c r="C231" i="4"/>
  <c r="G229" i="3"/>
  <c r="H229" i="3" s="1"/>
  <c r="I229" i="3" s="1"/>
  <c r="J229" i="3" s="1"/>
  <c r="E230" i="3"/>
  <c r="C361" i="2"/>
  <c r="C230" i="1"/>
  <c r="A232" i="2"/>
  <c r="D231" i="2"/>
  <c r="D229" i="1"/>
  <c r="F229" i="1"/>
  <c r="E230" i="1" s="1"/>
  <c r="A230" i="1"/>
  <c r="E230" i="2"/>
  <c r="G229" i="2"/>
  <c r="H229" i="2" s="1"/>
  <c r="I229" i="2" s="1"/>
  <c r="J229" i="2" s="1"/>
  <c r="E229" i="4"/>
  <c r="G228" i="4"/>
  <c r="H228" i="4" s="1"/>
  <c r="I228" i="4" s="1"/>
  <c r="J228" i="4" s="1"/>
  <c r="A230" i="3"/>
  <c r="D229" i="3"/>
  <c r="D230" i="4"/>
  <c r="A231" i="4"/>
  <c r="G230" i="1" l="1"/>
  <c r="H230" i="1" s="1"/>
  <c r="A233" i="2"/>
  <c r="D232" i="2"/>
  <c r="D230" i="3"/>
  <c r="A231" i="3"/>
  <c r="C232" i="4"/>
  <c r="E230" i="4"/>
  <c r="G229" i="4"/>
  <c r="H229" i="4" s="1"/>
  <c r="I229" i="4" s="1"/>
  <c r="J229" i="4" s="1"/>
  <c r="C231" i="1"/>
  <c r="I230" i="1"/>
  <c r="J230" i="1" s="1"/>
  <c r="C232" i="3"/>
  <c r="E231" i="2"/>
  <c r="G230" i="2"/>
  <c r="H230" i="2" s="1"/>
  <c r="I230" i="2" s="1"/>
  <c r="J230" i="2" s="1"/>
  <c r="C362" i="2"/>
  <c r="G230" i="3"/>
  <c r="H230" i="3" s="1"/>
  <c r="I230" i="3" s="1"/>
  <c r="J230" i="3" s="1"/>
  <c r="E231" i="3"/>
  <c r="D231" i="4"/>
  <c r="A232" i="4"/>
  <c r="F230" i="1"/>
  <c r="E231" i="1" s="1"/>
  <c r="A231" i="1"/>
  <c r="D230" i="1"/>
  <c r="G231" i="1" l="1"/>
  <c r="H231" i="1" s="1"/>
  <c r="I231" i="1" s="1"/>
  <c r="J231" i="1" s="1"/>
  <c r="C233" i="4"/>
  <c r="E232" i="2"/>
  <c r="G231" i="2"/>
  <c r="H231" i="2" s="1"/>
  <c r="I231" i="2" s="1"/>
  <c r="J231" i="2" s="1"/>
  <c r="F231" i="1"/>
  <c r="E232" i="1" s="1"/>
  <c r="D231" i="1"/>
  <c r="A232" i="1"/>
  <c r="D232" i="4"/>
  <c r="A233" i="4"/>
  <c r="C233" i="3"/>
  <c r="A232" i="3"/>
  <c r="D231" i="3"/>
  <c r="C232" i="1"/>
  <c r="D233" i="2"/>
  <c r="A234" i="2"/>
  <c r="C363" i="2"/>
  <c r="G231" i="3"/>
  <c r="H231" i="3" s="1"/>
  <c r="I231" i="3" s="1"/>
  <c r="J231" i="3" s="1"/>
  <c r="E232" i="3"/>
  <c r="E231" i="4"/>
  <c r="G230" i="4"/>
  <c r="H230" i="4" s="1"/>
  <c r="I230" i="4" s="1"/>
  <c r="J230" i="4" s="1"/>
  <c r="G232" i="1" l="1"/>
  <c r="H232" i="1" s="1"/>
  <c r="I232" i="1" s="1"/>
  <c r="J232" i="1" s="1"/>
  <c r="C364" i="2"/>
  <c r="E233" i="2"/>
  <c r="G232" i="2"/>
  <c r="H232" i="2" s="1"/>
  <c r="I232" i="2" s="1"/>
  <c r="J232" i="2" s="1"/>
  <c r="D232" i="3"/>
  <c r="A233" i="3"/>
  <c r="C234" i="3"/>
  <c r="C234" i="4"/>
  <c r="C233" i="1"/>
  <c r="D232" i="1"/>
  <c r="A233" i="1"/>
  <c r="F232" i="1"/>
  <c r="E233" i="1" s="1"/>
  <c r="E232" i="4"/>
  <c r="G231" i="4"/>
  <c r="H231" i="4" s="1"/>
  <c r="I231" i="4" s="1"/>
  <c r="J231" i="4" s="1"/>
  <c r="G232" i="3"/>
  <c r="H232" i="3" s="1"/>
  <c r="I232" i="3" s="1"/>
  <c r="J232" i="3" s="1"/>
  <c r="E233" i="3"/>
  <c r="A235" i="2"/>
  <c r="D234" i="2"/>
  <c r="D233" i="4"/>
  <c r="A234" i="4"/>
  <c r="G233" i="1" l="1"/>
  <c r="H233" i="1" s="1"/>
  <c r="I233" i="1" s="1"/>
  <c r="J233" i="1" s="1"/>
  <c r="E234" i="2"/>
  <c r="G233" i="2"/>
  <c r="H233" i="2" s="1"/>
  <c r="I233" i="2" s="1"/>
  <c r="J233" i="2" s="1"/>
  <c r="C365" i="2"/>
  <c r="A234" i="3"/>
  <c r="D233" i="3"/>
  <c r="A236" i="2"/>
  <c r="D235" i="2"/>
  <c r="G233" i="3"/>
  <c r="H233" i="3" s="1"/>
  <c r="I233" i="3" s="1"/>
  <c r="J233" i="3" s="1"/>
  <c r="E234" i="3"/>
  <c r="C234" i="1"/>
  <c r="C235" i="4"/>
  <c r="E233" i="4"/>
  <c r="G232" i="4"/>
  <c r="H232" i="4" s="1"/>
  <c r="I232" i="4" s="1"/>
  <c r="J232" i="4" s="1"/>
  <c r="C235" i="3"/>
  <c r="A234" i="1"/>
  <c r="F233" i="1"/>
  <c r="E234" i="1" s="1"/>
  <c r="D233" i="1"/>
  <c r="D234" i="4"/>
  <c r="A235" i="4"/>
  <c r="G234" i="1" l="1"/>
  <c r="H234" i="1" s="1"/>
  <c r="I234" i="1" s="1"/>
  <c r="J234" i="1" s="1"/>
  <c r="D234" i="3"/>
  <c r="A235" i="3"/>
  <c r="C366" i="2"/>
  <c r="C236" i="4"/>
  <c r="D234" i="1"/>
  <c r="A235" i="1"/>
  <c r="F234" i="1"/>
  <c r="E235" i="1" s="1"/>
  <c r="C235" i="1"/>
  <c r="C236" i="3"/>
  <c r="E235" i="2"/>
  <c r="G234" i="2"/>
  <c r="H234" i="2" s="1"/>
  <c r="I234" i="2" s="1"/>
  <c r="J234" i="2" s="1"/>
  <c r="G234" i="3"/>
  <c r="H234" i="3" s="1"/>
  <c r="I234" i="3" s="1"/>
  <c r="J234" i="3" s="1"/>
  <c r="E235" i="3"/>
  <c r="D235" i="4"/>
  <c r="A236" i="4"/>
  <c r="E234" i="4"/>
  <c r="G233" i="4"/>
  <c r="H233" i="4" s="1"/>
  <c r="I233" i="4" s="1"/>
  <c r="J233" i="4" s="1"/>
  <c r="A237" i="2"/>
  <c r="D236" i="2"/>
  <c r="G235" i="1" l="1"/>
  <c r="H235" i="1" s="1"/>
  <c r="I235" i="1" s="1"/>
  <c r="J235" i="1" s="1"/>
  <c r="C237" i="3"/>
  <c r="A238" i="2"/>
  <c r="D237" i="2"/>
  <c r="C237" i="4"/>
  <c r="E235" i="4"/>
  <c r="G234" i="4"/>
  <c r="H234" i="4" s="1"/>
  <c r="I234" i="4" s="1"/>
  <c r="J234" i="4" s="1"/>
  <c r="C367" i="2"/>
  <c r="E236" i="2"/>
  <c r="G235" i="2"/>
  <c r="H235" i="2" s="1"/>
  <c r="I235" i="2" s="1"/>
  <c r="J235" i="2" s="1"/>
  <c r="D236" i="4"/>
  <c r="A237" i="4"/>
  <c r="C236" i="1"/>
  <c r="A236" i="3"/>
  <c r="D235" i="3"/>
  <c r="G235" i="3"/>
  <c r="H235" i="3" s="1"/>
  <c r="I235" i="3" s="1"/>
  <c r="J235" i="3" s="1"/>
  <c r="E236" i="3"/>
  <c r="F235" i="1"/>
  <c r="E236" i="1" s="1"/>
  <c r="D235" i="1"/>
  <c r="A236" i="1"/>
  <c r="G236" i="1" l="1"/>
  <c r="H236" i="1" s="1"/>
  <c r="I236" i="1" s="1"/>
  <c r="J236" i="1" s="1"/>
  <c r="A239" i="2"/>
  <c r="D238" i="2"/>
  <c r="C368" i="2"/>
  <c r="C238" i="3"/>
  <c r="D237" i="4"/>
  <c r="A238" i="4"/>
  <c r="G236" i="3"/>
  <c r="H236" i="3" s="1"/>
  <c r="I236" i="3" s="1"/>
  <c r="J236" i="3" s="1"/>
  <c r="E237" i="3"/>
  <c r="E237" i="2"/>
  <c r="G236" i="2"/>
  <c r="H236" i="2" s="1"/>
  <c r="I236" i="2" s="1"/>
  <c r="J236" i="2" s="1"/>
  <c r="D236" i="3"/>
  <c r="A237" i="3"/>
  <c r="C238" i="4"/>
  <c r="C237" i="1"/>
  <c r="F236" i="1"/>
  <c r="E237" i="1" s="1"/>
  <c r="D236" i="1"/>
  <c r="A237" i="1"/>
  <c r="E236" i="4"/>
  <c r="G235" i="4"/>
  <c r="H235" i="4" s="1"/>
  <c r="I235" i="4" s="1"/>
  <c r="J235" i="4" s="1"/>
  <c r="G237" i="1" l="1"/>
  <c r="H237" i="1" s="1"/>
  <c r="I237" i="1" s="1"/>
  <c r="J237" i="1" s="1"/>
  <c r="E237" i="4"/>
  <c r="G236" i="4"/>
  <c r="H236" i="4" s="1"/>
  <c r="I236" i="4" s="1"/>
  <c r="J236" i="4" s="1"/>
  <c r="C369" i="2"/>
  <c r="E238" i="2"/>
  <c r="G237" i="2"/>
  <c r="H237" i="2" s="1"/>
  <c r="I237" i="2" s="1"/>
  <c r="J237" i="2" s="1"/>
  <c r="D237" i="3"/>
  <c r="A238" i="3"/>
  <c r="D237" i="1"/>
  <c r="F237" i="1"/>
  <c r="E238" i="1" s="1"/>
  <c r="A238" i="1"/>
  <c r="A240" i="2"/>
  <c r="D239" i="2"/>
  <c r="C239" i="3"/>
  <c r="G237" i="3"/>
  <c r="H237" i="3" s="1"/>
  <c r="I237" i="3" s="1"/>
  <c r="J237" i="3" s="1"/>
  <c r="E238" i="3"/>
  <c r="C238" i="1"/>
  <c r="C239" i="4"/>
  <c r="D238" i="4"/>
  <c r="A239" i="4"/>
  <c r="G238" i="1" l="1"/>
  <c r="H238" i="1" s="1"/>
  <c r="I238" i="1" s="1"/>
  <c r="J238" i="1" s="1"/>
  <c r="E239" i="2"/>
  <c r="G238" i="2"/>
  <c r="H238" i="2" s="1"/>
  <c r="I238" i="2" s="1"/>
  <c r="J238" i="2" s="1"/>
  <c r="A241" i="2"/>
  <c r="D240" i="2"/>
  <c r="C370" i="2"/>
  <c r="C240" i="3"/>
  <c r="C240" i="4"/>
  <c r="F238" i="1"/>
  <c r="E239" i="1" s="1"/>
  <c r="A239" i="1"/>
  <c r="D238" i="1"/>
  <c r="C239" i="1"/>
  <c r="D239" i="4"/>
  <c r="A240" i="4"/>
  <c r="G238" i="3"/>
  <c r="H238" i="3" s="1"/>
  <c r="I238" i="3" s="1"/>
  <c r="J238" i="3" s="1"/>
  <c r="E239" i="3"/>
  <c r="E238" i="4"/>
  <c r="G237" i="4"/>
  <c r="H237" i="4" s="1"/>
  <c r="I237" i="4" s="1"/>
  <c r="J237" i="4" s="1"/>
  <c r="D238" i="3"/>
  <c r="A239" i="3"/>
  <c r="G239" i="1" l="1"/>
  <c r="H239" i="1" s="1"/>
  <c r="E239" i="4"/>
  <c r="G238" i="4"/>
  <c r="H238" i="4" s="1"/>
  <c r="I238" i="4" s="1"/>
  <c r="J238" i="4" s="1"/>
  <c r="A240" i="1"/>
  <c r="F239" i="1"/>
  <c r="E240" i="1" s="1"/>
  <c r="D239" i="1"/>
  <c r="G239" i="3"/>
  <c r="H239" i="3" s="1"/>
  <c r="I239" i="3" s="1"/>
  <c r="J239" i="3" s="1"/>
  <c r="E240" i="3"/>
  <c r="A242" i="2"/>
  <c r="D241" i="2"/>
  <c r="C241" i="4"/>
  <c r="D240" i="4"/>
  <c r="A241" i="4"/>
  <c r="E240" i="2"/>
  <c r="G239" i="2"/>
  <c r="H239" i="2" s="1"/>
  <c r="I239" i="2" s="1"/>
  <c r="J239" i="2" s="1"/>
  <c r="C240" i="1"/>
  <c r="I239" i="1"/>
  <c r="J239" i="1" s="1"/>
  <c r="C371" i="2"/>
  <c r="D239" i="3"/>
  <c r="A240" i="3"/>
  <c r="C241" i="3"/>
  <c r="G240" i="1" l="1"/>
  <c r="H240" i="1" s="1"/>
  <c r="C372" i="2"/>
  <c r="C242" i="4"/>
  <c r="D240" i="1"/>
  <c r="F240" i="1"/>
  <c r="E241" i="1" s="1"/>
  <c r="A241" i="1"/>
  <c r="E241" i="2"/>
  <c r="G240" i="2"/>
  <c r="H240" i="2" s="1"/>
  <c r="I240" i="2" s="1"/>
  <c r="J240" i="2" s="1"/>
  <c r="D241" i="4"/>
  <c r="A242" i="4"/>
  <c r="D240" i="3"/>
  <c r="A241" i="3"/>
  <c r="E240" i="4"/>
  <c r="G239" i="4"/>
  <c r="H239" i="4" s="1"/>
  <c r="I239" i="4" s="1"/>
  <c r="J239" i="4" s="1"/>
  <c r="C241" i="1"/>
  <c r="I240" i="1"/>
  <c r="J240" i="1" s="1"/>
  <c r="A243" i="2"/>
  <c r="D242" i="2"/>
  <c r="C242" i="3"/>
  <c r="G240" i="3"/>
  <c r="H240" i="3" s="1"/>
  <c r="I240" i="3" s="1"/>
  <c r="J240" i="3" s="1"/>
  <c r="E241" i="3"/>
  <c r="G241" i="1" l="1"/>
  <c r="H241" i="1" s="1"/>
  <c r="C243" i="4"/>
  <c r="D242" i="4"/>
  <c r="A243" i="4"/>
  <c r="C373" i="2"/>
  <c r="E241" i="4"/>
  <c r="G240" i="4"/>
  <c r="H240" i="4" s="1"/>
  <c r="I240" i="4" s="1"/>
  <c r="J240" i="4" s="1"/>
  <c r="C243" i="3"/>
  <c r="A244" i="2"/>
  <c r="D243" i="2"/>
  <c r="D241" i="3"/>
  <c r="A242" i="3"/>
  <c r="I241" i="1"/>
  <c r="J241" i="1" s="1"/>
  <c r="C242" i="1"/>
  <c r="E242" i="2"/>
  <c r="G241" i="2"/>
  <c r="H241" i="2" s="1"/>
  <c r="I241" i="2" s="1"/>
  <c r="J241" i="2" s="1"/>
  <c r="G241" i="3"/>
  <c r="H241" i="3" s="1"/>
  <c r="I241" i="3" s="1"/>
  <c r="J241" i="3" s="1"/>
  <c r="E242" i="3"/>
  <c r="A242" i="1"/>
  <c r="F241" i="1"/>
  <c r="E242" i="1" s="1"/>
  <c r="D241" i="1"/>
  <c r="G242" i="1" l="1"/>
  <c r="H242" i="1" s="1"/>
  <c r="I242" i="1" s="1"/>
  <c r="J242" i="1" s="1"/>
  <c r="D243" i="4"/>
  <c r="A244" i="4"/>
  <c r="A245" i="2"/>
  <c r="D244" i="2"/>
  <c r="C244" i="4"/>
  <c r="C243" i="1"/>
  <c r="D242" i="3"/>
  <c r="A243" i="3"/>
  <c r="C374" i="2"/>
  <c r="A243" i="1"/>
  <c r="F242" i="1"/>
  <c r="E243" i="1" s="1"/>
  <c r="D242" i="1"/>
  <c r="G242" i="3"/>
  <c r="H242" i="3" s="1"/>
  <c r="I242" i="3" s="1"/>
  <c r="J242" i="3" s="1"/>
  <c r="E243" i="3"/>
  <c r="E243" i="2"/>
  <c r="G242" i="2"/>
  <c r="H242" i="2" s="1"/>
  <c r="I242" i="2" s="1"/>
  <c r="J242" i="2" s="1"/>
  <c r="C244" i="3"/>
  <c r="E242" i="4"/>
  <c r="G241" i="4"/>
  <c r="H241" i="4" s="1"/>
  <c r="I241" i="4" s="1"/>
  <c r="J241" i="4" s="1"/>
  <c r="G243" i="1" l="1"/>
  <c r="H243" i="1" s="1"/>
  <c r="I243" i="1" s="1"/>
  <c r="J243" i="1" s="1"/>
  <c r="C245" i="4"/>
  <c r="C244" i="1"/>
  <c r="E243" i="4"/>
  <c r="G242" i="4"/>
  <c r="H242" i="4" s="1"/>
  <c r="I242" i="4" s="1"/>
  <c r="J242" i="4" s="1"/>
  <c r="F243" i="1"/>
  <c r="E244" i="1" s="1"/>
  <c r="D243" i="1"/>
  <c r="A244" i="1"/>
  <c r="A246" i="2"/>
  <c r="D245" i="2"/>
  <c r="E244" i="2"/>
  <c r="G243" i="2"/>
  <c r="H243" i="2" s="1"/>
  <c r="I243" i="2" s="1"/>
  <c r="J243" i="2" s="1"/>
  <c r="D243" i="3"/>
  <c r="A244" i="3"/>
  <c r="D244" i="4"/>
  <c r="A245" i="4"/>
  <c r="C375" i="2"/>
  <c r="C245" i="3"/>
  <c r="G243" i="3"/>
  <c r="H243" i="3" s="1"/>
  <c r="I243" i="3" s="1"/>
  <c r="J243" i="3" s="1"/>
  <c r="E244" i="3"/>
  <c r="G244" i="1" l="1"/>
  <c r="H244" i="1" s="1"/>
  <c r="I244" i="1" s="1"/>
  <c r="J244" i="1" s="1"/>
  <c r="E244" i="4"/>
  <c r="G243" i="4"/>
  <c r="H243" i="4" s="1"/>
  <c r="I243" i="4" s="1"/>
  <c r="J243" i="4" s="1"/>
  <c r="C246" i="3"/>
  <c r="E245" i="2"/>
  <c r="G244" i="2"/>
  <c r="H244" i="2" s="1"/>
  <c r="I244" i="2" s="1"/>
  <c r="J244" i="2" s="1"/>
  <c r="C245" i="1"/>
  <c r="G244" i="3"/>
  <c r="H244" i="3" s="1"/>
  <c r="I244" i="3" s="1"/>
  <c r="J244" i="3" s="1"/>
  <c r="E245" i="3"/>
  <c r="D244" i="3"/>
  <c r="A245" i="3"/>
  <c r="C376" i="2"/>
  <c r="A247" i="2"/>
  <c r="D246" i="2"/>
  <c r="C246" i="4"/>
  <c r="D245" i="4"/>
  <c r="A246" i="4"/>
  <c r="F244" i="1"/>
  <c r="E245" i="1" s="1"/>
  <c r="D244" i="1"/>
  <c r="A245" i="1"/>
  <c r="G245" i="1" l="1"/>
  <c r="H245" i="1" s="1"/>
  <c r="I245" i="1" s="1"/>
  <c r="J245" i="1" s="1"/>
  <c r="E246" i="2"/>
  <c r="G245" i="2"/>
  <c r="H245" i="2" s="1"/>
  <c r="I245" i="2" s="1"/>
  <c r="J245" i="2" s="1"/>
  <c r="C377" i="2"/>
  <c r="D246" i="4"/>
  <c r="A247" i="4"/>
  <c r="D245" i="3"/>
  <c r="A246" i="3"/>
  <c r="C247" i="3"/>
  <c r="C247" i="4"/>
  <c r="G245" i="3"/>
  <c r="H245" i="3" s="1"/>
  <c r="I245" i="3" s="1"/>
  <c r="J245" i="3" s="1"/>
  <c r="E246" i="3"/>
  <c r="E245" i="4"/>
  <c r="G244" i="4"/>
  <c r="H244" i="4" s="1"/>
  <c r="I244" i="4" s="1"/>
  <c r="J244" i="4" s="1"/>
  <c r="C246" i="1"/>
  <c r="D245" i="1"/>
  <c r="A246" i="1"/>
  <c r="F245" i="1"/>
  <c r="E246" i="1" s="1"/>
  <c r="A248" i="2"/>
  <c r="D247" i="2"/>
  <c r="G246" i="1" l="1"/>
  <c r="H246" i="1" s="1"/>
  <c r="I246" i="1" s="1"/>
  <c r="J246" i="1" s="1"/>
  <c r="D248" i="2"/>
  <c r="A249" i="2"/>
  <c r="G246" i="3"/>
  <c r="H246" i="3" s="1"/>
  <c r="I246" i="3" s="1"/>
  <c r="J246" i="3" s="1"/>
  <c r="E247" i="3"/>
  <c r="D247" i="4"/>
  <c r="A248" i="4"/>
  <c r="F246" i="1"/>
  <c r="E247" i="1" s="1"/>
  <c r="D246" i="1"/>
  <c r="A247" i="1"/>
  <c r="C378" i="2"/>
  <c r="C248" i="4"/>
  <c r="C247" i="1"/>
  <c r="C248" i="3"/>
  <c r="E247" i="2"/>
  <c r="G246" i="2"/>
  <c r="H246" i="2" s="1"/>
  <c r="I246" i="2" s="1"/>
  <c r="J246" i="2" s="1"/>
  <c r="D246" i="3"/>
  <c r="A247" i="3"/>
  <c r="E246" i="4"/>
  <c r="G245" i="4"/>
  <c r="H245" i="4" s="1"/>
  <c r="I245" i="4" s="1"/>
  <c r="J245" i="4" s="1"/>
  <c r="G247" i="1" l="1"/>
  <c r="H247" i="1" s="1"/>
  <c r="D247" i="3"/>
  <c r="A248" i="3"/>
  <c r="G247" i="3"/>
  <c r="H247" i="3" s="1"/>
  <c r="I247" i="3" s="1"/>
  <c r="J247" i="3" s="1"/>
  <c r="E248" i="3"/>
  <c r="D248" i="4"/>
  <c r="A249" i="4"/>
  <c r="C249" i="4"/>
  <c r="C379" i="2"/>
  <c r="E248" i="2"/>
  <c r="G247" i="2"/>
  <c r="H247" i="2" s="1"/>
  <c r="I247" i="2" s="1"/>
  <c r="J247" i="2" s="1"/>
  <c r="D249" i="2"/>
  <c r="A250" i="2"/>
  <c r="E247" i="4"/>
  <c r="G246" i="4"/>
  <c r="H246" i="4" s="1"/>
  <c r="I246" i="4" s="1"/>
  <c r="J246" i="4" s="1"/>
  <c r="A248" i="1"/>
  <c r="F247" i="1"/>
  <c r="E248" i="1" s="1"/>
  <c r="D247" i="1"/>
  <c r="C248" i="1"/>
  <c r="I247" i="1"/>
  <c r="J247" i="1" s="1"/>
  <c r="C249" i="3"/>
  <c r="G248" i="1" l="1"/>
  <c r="H248" i="1" s="1"/>
  <c r="I248" i="1" s="1"/>
  <c r="J248" i="1" s="1"/>
  <c r="G248" i="3"/>
  <c r="H248" i="3" s="1"/>
  <c r="I248" i="3" s="1"/>
  <c r="J248" i="3" s="1"/>
  <c r="E249" i="3"/>
  <c r="D250" i="2"/>
  <c r="A251" i="2"/>
  <c r="C249" i="1"/>
  <c r="E249" i="2"/>
  <c r="G248" i="2"/>
  <c r="H248" i="2" s="1"/>
  <c r="I248" i="2" s="1"/>
  <c r="J248" i="2" s="1"/>
  <c r="C380" i="2"/>
  <c r="D248" i="3"/>
  <c r="A249" i="3"/>
  <c r="A250" i="4"/>
  <c r="D249" i="4"/>
  <c r="D248" i="1"/>
  <c r="A249" i="1"/>
  <c r="F248" i="1"/>
  <c r="E249" i="1" s="1"/>
  <c r="C250" i="3"/>
  <c r="E248" i="4"/>
  <c r="G247" i="4"/>
  <c r="H247" i="4" s="1"/>
  <c r="I247" i="4" s="1"/>
  <c r="J247" i="4" s="1"/>
  <c r="C250" i="4"/>
  <c r="G249" i="1" l="1"/>
  <c r="H249" i="1" s="1"/>
  <c r="I249" i="1" s="1"/>
  <c r="J249" i="1" s="1"/>
  <c r="A251" i="4"/>
  <c r="D250" i="4"/>
  <c r="C250" i="1"/>
  <c r="G248" i="4"/>
  <c r="H248" i="4" s="1"/>
  <c r="I248" i="4" s="1"/>
  <c r="J248" i="4" s="1"/>
  <c r="E249" i="4"/>
  <c r="D249" i="3"/>
  <c r="A250" i="3"/>
  <c r="D251" i="2"/>
  <c r="A252" i="2"/>
  <c r="C381" i="2"/>
  <c r="G249" i="3"/>
  <c r="H249" i="3" s="1"/>
  <c r="I249" i="3" s="1"/>
  <c r="J249" i="3" s="1"/>
  <c r="E250" i="3"/>
  <c r="C251" i="4"/>
  <c r="C251" i="3"/>
  <c r="A250" i="1"/>
  <c r="F249" i="1"/>
  <c r="E250" i="1" s="1"/>
  <c r="D249" i="1"/>
  <c r="E250" i="2"/>
  <c r="G249" i="2"/>
  <c r="H249" i="2" s="1"/>
  <c r="I249" i="2" s="1"/>
  <c r="J249" i="2" s="1"/>
  <c r="G250" i="1" l="1"/>
  <c r="H250" i="1" s="1"/>
  <c r="I250" i="1" s="1"/>
  <c r="J250" i="1" s="1"/>
  <c r="C382" i="2"/>
  <c r="C251" i="1"/>
  <c r="D250" i="1"/>
  <c r="A251" i="1"/>
  <c r="F250" i="1"/>
  <c r="E251" i="1" s="1"/>
  <c r="D252" i="2"/>
  <c r="A253" i="2"/>
  <c r="E251" i="2"/>
  <c r="G250" i="2"/>
  <c r="H250" i="2" s="1"/>
  <c r="I250" i="2" s="1"/>
  <c r="J250" i="2" s="1"/>
  <c r="G249" i="4"/>
  <c r="H249" i="4" s="1"/>
  <c r="I249" i="4" s="1"/>
  <c r="J249" i="4" s="1"/>
  <c r="E250" i="4"/>
  <c r="A252" i="4"/>
  <c r="D251" i="4"/>
  <c r="G250" i="3"/>
  <c r="H250" i="3" s="1"/>
  <c r="I250" i="3" s="1"/>
  <c r="J250" i="3" s="1"/>
  <c r="E251" i="3"/>
  <c r="C252" i="3"/>
  <c r="C252" i="4"/>
  <c r="D250" i="3"/>
  <c r="A251" i="3"/>
  <c r="G251" i="1" l="1"/>
  <c r="H251" i="1" s="1"/>
  <c r="I251" i="1" s="1"/>
  <c r="J251" i="1" s="1"/>
  <c r="D252" i="4"/>
  <c r="A253" i="4"/>
  <c r="C253" i="4"/>
  <c r="F251" i="1"/>
  <c r="E252" i="1" s="1"/>
  <c r="D251" i="1"/>
  <c r="A252" i="1"/>
  <c r="G250" i="4"/>
  <c r="H250" i="4" s="1"/>
  <c r="I250" i="4" s="1"/>
  <c r="J250" i="4" s="1"/>
  <c r="E251" i="4"/>
  <c r="C252" i="1"/>
  <c r="C253" i="3"/>
  <c r="E252" i="2"/>
  <c r="G251" i="2"/>
  <c r="H251" i="2" s="1"/>
  <c r="I251" i="2" s="1"/>
  <c r="J251" i="2" s="1"/>
  <c r="C383" i="2"/>
  <c r="G251" i="3"/>
  <c r="H251" i="3" s="1"/>
  <c r="I251" i="3" s="1"/>
  <c r="J251" i="3" s="1"/>
  <c r="E252" i="3"/>
  <c r="D253" i="2"/>
  <c r="A254" i="2"/>
  <c r="D251" i="3"/>
  <c r="A252" i="3"/>
  <c r="G252" i="1" l="1"/>
  <c r="H252" i="1" s="1"/>
  <c r="I252" i="1" s="1"/>
  <c r="J252" i="1" s="1"/>
  <c r="E253" i="2"/>
  <c r="G252" i="2"/>
  <c r="H252" i="2" s="1"/>
  <c r="I252" i="2" s="1"/>
  <c r="J252" i="2" s="1"/>
  <c r="D254" i="2"/>
  <c r="A255" i="2"/>
  <c r="C254" i="3"/>
  <c r="G252" i="3"/>
  <c r="H252" i="3" s="1"/>
  <c r="I252" i="3" s="1"/>
  <c r="J252" i="3" s="1"/>
  <c r="E253" i="3"/>
  <c r="C253" i="1"/>
  <c r="C254" i="4"/>
  <c r="D253" i="4"/>
  <c r="A254" i="4"/>
  <c r="D252" i="3"/>
  <c r="A253" i="3"/>
  <c r="C384" i="2"/>
  <c r="G251" i="4"/>
  <c r="H251" i="4" s="1"/>
  <c r="I251" i="4" s="1"/>
  <c r="J251" i="4" s="1"/>
  <c r="E252" i="4"/>
  <c r="F252" i="1"/>
  <c r="E253" i="1" s="1"/>
  <c r="A253" i="1"/>
  <c r="D252" i="1"/>
  <c r="G253" i="1" l="1"/>
  <c r="H253" i="1" s="1"/>
  <c r="I253" i="1" s="1"/>
  <c r="J253" i="1" s="1"/>
  <c r="C255" i="3"/>
  <c r="D253" i="1"/>
  <c r="A254" i="1"/>
  <c r="F253" i="1"/>
  <c r="E254" i="1" s="1"/>
  <c r="A255" i="4"/>
  <c r="D254" i="4"/>
  <c r="G252" i="4"/>
  <c r="H252" i="4" s="1"/>
  <c r="I252" i="4" s="1"/>
  <c r="J252" i="4" s="1"/>
  <c r="E253" i="4"/>
  <c r="D255" i="2"/>
  <c r="A256" i="2"/>
  <c r="C255" i="4"/>
  <c r="C385" i="2"/>
  <c r="C254" i="1"/>
  <c r="E254" i="2"/>
  <c r="G253" i="2"/>
  <c r="H253" i="2" s="1"/>
  <c r="I253" i="2" s="1"/>
  <c r="J253" i="2" s="1"/>
  <c r="D253" i="3"/>
  <c r="A254" i="3"/>
  <c r="G253" i="3"/>
  <c r="H253" i="3" s="1"/>
  <c r="I253" i="3" s="1"/>
  <c r="J253" i="3" s="1"/>
  <c r="E254" i="3"/>
  <c r="G254" i="1" l="1"/>
  <c r="H254" i="1" s="1"/>
  <c r="I254" i="1" s="1"/>
  <c r="J254" i="1" s="1"/>
  <c r="D255" i="4"/>
  <c r="A256" i="4"/>
  <c r="D254" i="3"/>
  <c r="A255" i="3"/>
  <c r="C256" i="4"/>
  <c r="F254" i="1"/>
  <c r="E255" i="1" s="1"/>
  <c r="D254" i="1"/>
  <c r="A255" i="1"/>
  <c r="C255" i="1"/>
  <c r="G254" i="3"/>
  <c r="H254" i="3" s="1"/>
  <c r="I254" i="3" s="1"/>
  <c r="J254" i="3" s="1"/>
  <c r="E255" i="3"/>
  <c r="C386" i="2"/>
  <c r="D256" i="2"/>
  <c r="A257" i="2"/>
  <c r="E255" i="2"/>
  <c r="G254" i="2"/>
  <c r="H254" i="2" s="1"/>
  <c r="I254" i="2" s="1"/>
  <c r="J254" i="2" s="1"/>
  <c r="G253" i="4"/>
  <c r="H253" i="4" s="1"/>
  <c r="I253" i="4" s="1"/>
  <c r="J253" i="4" s="1"/>
  <c r="E254" i="4"/>
  <c r="C256" i="3"/>
  <c r="G255" i="1" l="1"/>
  <c r="H255" i="1" s="1"/>
  <c r="I255" i="1" s="1"/>
  <c r="J255" i="1" s="1"/>
  <c r="C257" i="3"/>
  <c r="C257" i="4"/>
  <c r="G254" i="4"/>
  <c r="H254" i="4" s="1"/>
  <c r="I254" i="4" s="1"/>
  <c r="J254" i="4" s="1"/>
  <c r="E255" i="4"/>
  <c r="G255" i="3"/>
  <c r="H255" i="3" s="1"/>
  <c r="I255" i="3" s="1"/>
  <c r="J255" i="3" s="1"/>
  <c r="E256" i="3"/>
  <c r="D255" i="3"/>
  <c r="A256" i="3"/>
  <c r="E256" i="2"/>
  <c r="G255" i="2"/>
  <c r="H255" i="2" s="1"/>
  <c r="I255" i="2" s="1"/>
  <c r="J255" i="2" s="1"/>
  <c r="C256" i="1"/>
  <c r="D256" i="4"/>
  <c r="A257" i="4"/>
  <c r="D257" i="2"/>
  <c r="A258" i="2"/>
  <c r="A256" i="1"/>
  <c r="F255" i="1"/>
  <c r="E256" i="1" s="1"/>
  <c r="D255" i="1"/>
  <c r="C387" i="2"/>
  <c r="G256" i="1" l="1"/>
  <c r="H256" i="1" s="1"/>
  <c r="I256" i="1" s="1"/>
  <c r="J256" i="1" s="1"/>
  <c r="G255" i="4"/>
  <c r="H255" i="4" s="1"/>
  <c r="I255" i="4" s="1"/>
  <c r="J255" i="4" s="1"/>
  <c r="E256" i="4"/>
  <c r="D256" i="1"/>
  <c r="A257" i="1"/>
  <c r="F256" i="1"/>
  <c r="E257" i="1" s="1"/>
  <c r="E257" i="2"/>
  <c r="G256" i="2"/>
  <c r="H256" i="2" s="1"/>
  <c r="I256" i="2" s="1"/>
  <c r="J256" i="2" s="1"/>
  <c r="C258" i="4"/>
  <c r="C257" i="1"/>
  <c r="D258" i="2"/>
  <c r="A259" i="2"/>
  <c r="D256" i="3"/>
  <c r="A257" i="3"/>
  <c r="C388" i="2"/>
  <c r="C258" i="3"/>
  <c r="A258" i="4"/>
  <c r="D257" i="4"/>
  <c r="G256" i="3"/>
  <c r="H256" i="3" s="1"/>
  <c r="I256" i="3" s="1"/>
  <c r="J256" i="3" s="1"/>
  <c r="E257" i="3"/>
  <c r="G257" i="1" l="1"/>
  <c r="H257" i="1" s="1"/>
  <c r="I257" i="1" s="1"/>
  <c r="J257" i="1" s="1"/>
  <c r="E258" i="2"/>
  <c r="G257" i="2"/>
  <c r="H257" i="2" s="1"/>
  <c r="I257" i="2" s="1"/>
  <c r="J257" i="2" s="1"/>
  <c r="D259" i="2"/>
  <c r="A260" i="2"/>
  <c r="A259" i="4"/>
  <c r="D258" i="4"/>
  <c r="A258" i="1"/>
  <c r="F257" i="1"/>
  <c r="E258" i="1" s="1"/>
  <c r="D257" i="1"/>
  <c r="C259" i="3"/>
  <c r="C258" i="1"/>
  <c r="G256" i="4"/>
  <c r="H256" i="4" s="1"/>
  <c r="I256" i="4" s="1"/>
  <c r="J256" i="4" s="1"/>
  <c r="E257" i="4"/>
  <c r="C389" i="2"/>
  <c r="G257" i="3"/>
  <c r="H257" i="3" s="1"/>
  <c r="I257" i="3" s="1"/>
  <c r="J257" i="3" s="1"/>
  <c r="E258" i="3"/>
  <c r="C259" i="4"/>
  <c r="D257" i="3"/>
  <c r="A258" i="3"/>
  <c r="G258" i="1" l="1"/>
  <c r="H258" i="1" s="1"/>
  <c r="I258" i="1" s="1"/>
  <c r="J258" i="1" s="1"/>
  <c r="C260" i="4"/>
  <c r="D259" i="4"/>
  <c r="A260" i="4"/>
  <c r="C259" i="1"/>
  <c r="D260" i="2"/>
  <c r="A261" i="2"/>
  <c r="E259" i="2"/>
  <c r="G258" i="2"/>
  <c r="H258" i="2" s="1"/>
  <c r="I258" i="2" s="1"/>
  <c r="J258" i="2" s="1"/>
  <c r="G258" i="3"/>
  <c r="H258" i="3" s="1"/>
  <c r="I258" i="3" s="1"/>
  <c r="J258" i="3" s="1"/>
  <c r="E259" i="3"/>
  <c r="C260" i="3"/>
  <c r="C390" i="2"/>
  <c r="D258" i="3"/>
  <c r="A259" i="3"/>
  <c r="G257" i="4"/>
  <c r="H257" i="4" s="1"/>
  <c r="I257" i="4" s="1"/>
  <c r="J257" i="4" s="1"/>
  <c r="E258" i="4"/>
  <c r="A259" i="1"/>
  <c r="F258" i="1"/>
  <c r="E259" i="1" s="1"/>
  <c r="D258" i="1"/>
  <c r="G259" i="1" l="1"/>
  <c r="H259" i="1" s="1"/>
  <c r="I259" i="1" s="1"/>
  <c r="J259" i="1" s="1"/>
  <c r="F259" i="1"/>
  <c r="E260" i="1" s="1"/>
  <c r="A260" i="1"/>
  <c r="D259" i="1"/>
  <c r="C261" i="3"/>
  <c r="C260" i="1"/>
  <c r="G258" i="4"/>
  <c r="H258" i="4" s="1"/>
  <c r="I258" i="4" s="1"/>
  <c r="J258" i="4" s="1"/>
  <c r="E259" i="4"/>
  <c r="G259" i="3"/>
  <c r="H259" i="3" s="1"/>
  <c r="I259" i="3" s="1"/>
  <c r="J259" i="3" s="1"/>
  <c r="E260" i="3"/>
  <c r="D260" i="4"/>
  <c r="A261" i="4"/>
  <c r="C261" i="4"/>
  <c r="E260" i="2"/>
  <c r="G259" i="2"/>
  <c r="H259" i="2" s="1"/>
  <c r="I259" i="2" s="1"/>
  <c r="J259" i="2" s="1"/>
  <c r="D259" i="3"/>
  <c r="A260" i="3"/>
  <c r="C391" i="2"/>
  <c r="D261" i="2"/>
  <c r="A262" i="2"/>
  <c r="G260" i="1" l="1"/>
  <c r="H260" i="1" s="1"/>
  <c r="I260" i="1" s="1"/>
  <c r="J260" i="1" s="1"/>
  <c r="C262" i="4"/>
  <c r="C392" i="2"/>
  <c r="D261" i="4"/>
  <c r="A262" i="4"/>
  <c r="C262" i="3"/>
  <c r="F260" i="1"/>
  <c r="E261" i="1" s="1"/>
  <c r="D260" i="1"/>
  <c r="A261" i="1"/>
  <c r="G259" i="4"/>
  <c r="H259" i="4" s="1"/>
  <c r="I259" i="4" s="1"/>
  <c r="J259" i="4" s="1"/>
  <c r="E260" i="4"/>
  <c r="G260" i="3"/>
  <c r="H260" i="3" s="1"/>
  <c r="I260" i="3" s="1"/>
  <c r="J260" i="3" s="1"/>
  <c r="E261" i="3"/>
  <c r="E261" i="2"/>
  <c r="G260" i="2"/>
  <c r="H260" i="2" s="1"/>
  <c r="I260" i="2" s="1"/>
  <c r="J260" i="2" s="1"/>
  <c r="D260" i="3"/>
  <c r="A261" i="3"/>
  <c r="D262" i="2"/>
  <c r="A263" i="2"/>
  <c r="C261" i="1"/>
  <c r="G261" i="1" l="1"/>
  <c r="H261" i="1" s="1"/>
  <c r="C393" i="2"/>
  <c r="D261" i="3"/>
  <c r="A262" i="3"/>
  <c r="D261" i="1"/>
  <c r="F261" i="1"/>
  <c r="E262" i="1" s="1"/>
  <c r="A262" i="1"/>
  <c r="C263" i="4"/>
  <c r="D263" i="2"/>
  <c r="A264" i="2"/>
  <c r="G260" i="4"/>
  <c r="H260" i="4" s="1"/>
  <c r="I260" i="4" s="1"/>
  <c r="J260" i="4" s="1"/>
  <c r="E261" i="4"/>
  <c r="C262" i="1"/>
  <c r="I261" i="1"/>
  <c r="J261" i="1" s="1"/>
  <c r="A263" i="4"/>
  <c r="D262" i="4"/>
  <c r="E262" i="2"/>
  <c r="G261" i="2"/>
  <c r="H261" i="2" s="1"/>
  <c r="I261" i="2" s="1"/>
  <c r="J261" i="2" s="1"/>
  <c r="G261" i="3"/>
  <c r="H261" i="3" s="1"/>
  <c r="I261" i="3" s="1"/>
  <c r="J261" i="3" s="1"/>
  <c r="E262" i="3"/>
  <c r="C263" i="3"/>
  <c r="G262" i="1" l="1"/>
  <c r="H262" i="1" s="1"/>
  <c r="I262" i="1" s="1"/>
  <c r="J262" i="1" s="1"/>
  <c r="D262" i="3"/>
  <c r="A263" i="3"/>
  <c r="C263" i="1"/>
  <c r="G262" i="3"/>
  <c r="H262" i="3" s="1"/>
  <c r="I262" i="3" s="1"/>
  <c r="J262" i="3" s="1"/>
  <c r="E263" i="3"/>
  <c r="C394" i="2"/>
  <c r="C264" i="3"/>
  <c r="G261" i="4"/>
  <c r="H261" i="4" s="1"/>
  <c r="I261" i="4" s="1"/>
  <c r="J261" i="4" s="1"/>
  <c r="E262" i="4"/>
  <c r="C264" i="4"/>
  <c r="D264" i="2"/>
  <c r="A265" i="2"/>
  <c r="E263" i="2"/>
  <c r="G262" i="2"/>
  <c r="H262" i="2" s="1"/>
  <c r="I262" i="2" s="1"/>
  <c r="J262" i="2" s="1"/>
  <c r="A264" i="4"/>
  <c r="D263" i="4"/>
  <c r="F262" i="1"/>
  <c r="E263" i="1" s="1"/>
  <c r="D262" i="1"/>
  <c r="A263" i="1"/>
  <c r="G263" i="1" l="1"/>
  <c r="H263" i="1" s="1"/>
  <c r="I263" i="1" s="1"/>
  <c r="J263" i="1" s="1"/>
  <c r="G262" i="4"/>
  <c r="H262" i="4" s="1"/>
  <c r="I262" i="4" s="1"/>
  <c r="J262" i="4" s="1"/>
  <c r="E263" i="4"/>
  <c r="C264" i="1"/>
  <c r="D263" i="3"/>
  <c r="A264" i="3"/>
  <c r="C265" i="4"/>
  <c r="E264" i="2"/>
  <c r="G263" i="2"/>
  <c r="H263" i="2" s="1"/>
  <c r="I263" i="2" s="1"/>
  <c r="J263" i="2" s="1"/>
  <c r="C265" i="3"/>
  <c r="G263" i="3"/>
  <c r="H263" i="3" s="1"/>
  <c r="I263" i="3" s="1"/>
  <c r="J263" i="3" s="1"/>
  <c r="E264" i="3"/>
  <c r="C395" i="2"/>
  <c r="D264" i="4"/>
  <c r="A265" i="4"/>
  <c r="D265" i="2"/>
  <c r="A266" i="2"/>
  <c r="A264" i="1"/>
  <c r="D263" i="1"/>
  <c r="F263" i="1"/>
  <c r="E264" i="1" s="1"/>
  <c r="G264" i="1" l="1"/>
  <c r="H264" i="1" s="1"/>
  <c r="I264" i="1" s="1"/>
  <c r="J264" i="1" s="1"/>
  <c r="D266" i="2"/>
  <c r="A267" i="2"/>
  <c r="C266" i="3"/>
  <c r="C265" i="1"/>
  <c r="G263" i="4"/>
  <c r="H263" i="4" s="1"/>
  <c r="I263" i="4" s="1"/>
  <c r="J263" i="4" s="1"/>
  <c r="E264" i="4"/>
  <c r="G264" i="3"/>
  <c r="H264" i="3" s="1"/>
  <c r="I264" i="3" s="1"/>
  <c r="J264" i="3" s="1"/>
  <c r="E265" i="3"/>
  <c r="D264" i="3"/>
  <c r="A265" i="3"/>
  <c r="D264" i="1"/>
  <c r="F264" i="1"/>
  <c r="E265" i="1" s="1"/>
  <c r="A265" i="1"/>
  <c r="A266" i="4"/>
  <c r="D265" i="4"/>
  <c r="E265" i="2"/>
  <c r="G264" i="2"/>
  <c r="H264" i="2" s="1"/>
  <c r="I264" i="2" s="1"/>
  <c r="J264" i="2" s="1"/>
  <c r="C396" i="2"/>
  <c r="C266" i="4"/>
  <c r="G265" i="1" l="1"/>
  <c r="H265" i="1" s="1"/>
  <c r="I265" i="1" s="1"/>
  <c r="J265" i="1" s="1"/>
  <c r="C267" i="4"/>
  <c r="C266" i="1"/>
  <c r="A266" i="1"/>
  <c r="F265" i="1"/>
  <c r="E266" i="1" s="1"/>
  <c r="D265" i="1"/>
  <c r="C397" i="2"/>
  <c r="D265" i="3"/>
  <c r="A266" i="3"/>
  <c r="C267" i="3"/>
  <c r="E266" i="2"/>
  <c r="G265" i="2"/>
  <c r="H265" i="2" s="1"/>
  <c r="I265" i="2" s="1"/>
  <c r="J265" i="2" s="1"/>
  <c r="G265" i="3"/>
  <c r="H265" i="3" s="1"/>
  <c r="I265" i="3" s="1"/>
  <c r="J265" i="3" s="1"/>
  <c r="E266" i="3"/>
  <c r="D267" i="2"/>
  <c r="A268" i="2"/>
  <c r="A267" i="4"/>
  <c r="D266" i="4"/>
  <c r="G264" i="4"/>
  <c r="H264" i="4" s="1"/>
  <c r="I264" i="4" s="1"/>
  <c r="J264" i="4" s="1"/>
  <c r="E265" i="4"/>
  <c r="G266" i="1" l="1"/>
  <c r="H266" i="1" s="1"/>
  <c r="I266" i="1" s="1"/>
  <c r="J266" i="1" s="1"/>
  <c r="A267" i="1"/>
  <c r="F266" i="1"/>
  <c r="E267" i="1" s="1"/>
  <c r="D266" i="1"/>
  <c r="A268" i="4"/>
  <c r="D267" i="4"/>
  <c r="C268" i="3"/>
  <c r="C267" i="1"/>
  <c r="E267" i="2"/>
  <c r="G266" i="2"/>
  <c r="H266" i="2" s="1"/>
  <c r="I266" i="2" s="1"/>
  <c r="J266" i="2" s="1"/>
  <c r="D268" i="2"/>
  <c r="A269" i="2"/>
  <c r="D266" i="3"/>
  <c r="A267" i="3"/>
  <c r="C268" i="4"/>
  <c r="G266" i="3"/>
  <c r="H266" i="3" s="1"/>
  <c r="I266" i="3" s="1"/>
  <c r="J266" i="3" s="1"/>
  <c r="E267" i="3"/>
  <c r="C398" i="2"/>
  <c r="G265" i="4"/>
  <c r="H265" i="4" s="1"/>
  <c r="I265" i="4" s="1"/>
  <c r="J265" i="4" s="1"/>
  <c r="E266" i="4"/>
  <c r="G267" i="1" l="1"/>
  <c r="H267" i="1" s="1"/>
  <c r="I267" i="1" s="1"/>
  <c r="J267" i="1" s="1"/>
  <c r="C269" i="3"/>
  <c r="C399" i="2"/>
  <c r="D269" i="2"/>
  <c r="A270" i="2"/>
  <c r="D268" i="4"/>
  <c r="A269" i="4"/>
  <c r="G267" i="3"/>
  <c r="H267" i="3" s="1"/>
  <c r="I267" i="3" s="1"/>
  <c r="J267" i="3" s="1"/>
  <c r="E268" i="3"/>
  <c r="C269" i="4"/>
  <c r="F267" i="1"/>
  <c r="E268" i="1" s="1"/>
  <c r="D267" i="1"/>
  <c r="A268" i="1"/>
  <c r="E268" i="2"/>
  <c r="G267" i="2"/>
  <c r="H267" i="2" s="1"/>
  <c r="I267" i="2" s="1"/>
  <c r="J267" i="2" s="1"/>
  <c r="C268" i="1"/>
  <c r="G266" i="4"/>
  <c r="H266" i="4" s="1"/>
  <c r="I266" i="4" s="1"/>
  <c r="J266" i="4" s="1"/>
  <c r="E267" i="4"/>
  <c r="D267" i="3"/>
  <c r="A268" i="3"/>
  <c r="G268" i="1" l="1"/>
  <c r="H268" i="1" s="1"/>
  <c r="G267" i="4"/>
  <c r="H267" i="4" s="1"/>
  <c r="I267" i="4" s="1"/>
  <c r="J267" i="4" s="1"/>
  <c r="E268" i="4"/>
  <c r="C400" i="2"/>
  <c r="C270" i="4"/>
  <c r="D270" i="2"/>
  <c r="A271" i="2"/>
  <c r="I268" i="1"/>
  <c r="J268" i="1" s="1"/>
  <c r="C269" i="1"/>
  <c r="G268" i="3"/>
  <c r="H268" i="3" s="1"/>
  <c r="I268" i="3" s="1"/>
  <c r="J268" i="3" s="1"/>
  <c r="E269" i="3"/>
  <c r="D268" i="3"/>
  <c r="A269" i="3"/>
  <c r="C270" i="3"/>
  <c r="F268" i="1"/>
  <c r="E269" i="1" s="1"/>
  <c r="D268" i="1"/>
  <c r="A269" i="1"/>
  <c r="E269" i="2"/>
  <c r="G268" i="2"/>
  <c r="H268" i="2" s="1"/>
  <c r="I268" i="2" s="1"/>
  <c r="J268" i="2" s="1"/>
  <c r="D269" i="4"/>
  <c r="A270" i="4"/>
  <c r="G269" i="1" l="1"/>
  <c r="H269" i="1" s="1"/>
  <c r="I269" i="1" s="1"/>
  <c r="J269" i="1" s="1"/>
  <c r="C271" i="4"/>
  <c r="E270" i="2"/>
  <c r="G269" i="2"/>
  <c r="H269" i="2" s="1"/>
  <c r="I269" i="2" s="1"/>
  <c r="J269" i="2" s="1"/>
  <c r="G269" i="3"/>
  <c r="H269" i="3" s="1"/>
  <c r="I269" i="3" s="1"/>
  <c r="J269" i="3" s="1"/>
  <c r="E270" i="3"/>
  <c r="C401" i="2"/>
  <c r="C270" i="1"/>
  <c r="G268" i="4"/>
  <c r="H268" i="4" s="1"/>
  <c r="I268" i="4" s="1"/>
  <c r="J268" i="4" s="1"/>
  <c r="E269" i="4"/>
  <c r="D269" i="1"/>
  <c r="A270" i="1"/>
  <c r="F269" i="1"/>
  <c r="E270" i="1" s="1"/>
  <c r="A271" i="4"/>
  <c r="D270" i="4"/>
  <c r="D269" i="3"/>
  <c r="A270" i="3"/>
  <c r="D271" i="2"/>
  <c r="A272" i="2"/>
  <c r="C271" i="3"/>
  <c r="G270" i="1" l="1"/>
  <c r="H270" i="1" s="1"/>
  <c r="I270" i="1" s="1"/>
  <c r="J270" i="1" s="1"/>
  <c r="C272" i="3"/>
  <c r="F270" i="1"/>
  <c r="E271" i="1" s="1"/>
  <c r="D270" i="1"/>
  <c r="A271" i="1"/>
  <c r="G270" i="3"/>
  <c r="H270" i="3" s="1"/>
  <c r="I270" i="3" s="1"/>
  <c r="J270" i="3" s="1"/>
  <c r="E271" i="3"/>
  <c r="D272" i="2"/>
  <c r="A273" i="2"/>
  <c r="E271" i="2"/>
  <c r="G270" i="2"/>
  <c r="H270" i="2" s="1"/>
  <c r="I270" i="2" s="1"/>
  <c r="J270" i="2" s="1"/>
  <c r="C272" i="4"/>
  <c r="C271" i="1"/>
  <c r="G269" i="4"/>
  <c r="H269" i="4" s="1"/>
  <c r="I269" i="4" s="1"/>
  <c r="J269" i="4" s="1"/>
  <c r="E270" i="4"/>
  <c r="D270" i="3"/>
  <c r="A271" i="3"/>
  <c r="D271" i="4"/>
  <c r="A272" i="4"/>
  <c r="C402" i="2"/>
  <c r="G271" i="1" l="1"/>
  <c r="H271" i="1" s="1"/>
  <c r="D272" i="4"/>
  <c r="A273" i="4"/>
  <c r="C273" i="4"/>
  <c r="A272" i="1"/>
  <c r="F271" i="1"/>
  <c r="E272" i="1" s="1"/>
  <c r="D271" i="1"/>
  <c r="C272" i="1"/>
  <c r="I271" i="1"/>
  <c r="J271" i="1" s="1"/>
  <c r="E272" i="2"/>
  <c r="G271" i="2"/>
  <c r="H271" i="2" s="1"/>
  <c r="I271" i="2" s="1"/>
  <c r="J271" i="2" s="1"/>
  <c r="D271" i="3"/>
  <c r="A272" i="3"/>
  <c r="G270" i="4"/>
  <c r="H270" i="4" s="1"/>
  <c r="I270" i="4" s="1"/>
  <c r="J270" i="4" s="1"/>
  <c r="E271" i="4"/>
  <c r="D273" i="2"/>
  <c r="A274" i="2"/>
  <c r="C273" i="3"/>
  <c r="C403" i="2"/>
  <c r="G271" i="3"/>
  <c r="H271" i="3" s="1"/>
  <c r="I271" i="3" s="1"/>
  <c r="J271" i="3" s="1"/>
  <c r="E272" i="3"/>
  <c r="G272" i="1" l="1"/>
  <c r="H272" i="1" s="1"/>
  <c r="C404" i="2"/>
  <c r="D272" i="3"/>
  <c r="A273" i="3"/>
  <c r="D272" i="1"/>
  <c r="A273" i="1"/>
  <c r="F272" i="1"/>
  <c r="E273" i="1" s="1"/>
  <c r="G272" i="3"/>
  <c r="H272" i="3" s="1"/>
  <c r="I272" i="3" s="1"/>
  <c r="J272" i="3" s="1"/>
  <c r="E273" i="3"/>
  <c r="G271" i="4"/>
  <c r="H271" i="4" s="1"/>
  <c r="I271" i="4" s="1"/>
  <c r="J271" i="4" s="1"/>
  <c r="E272" i="4"/>
  <c r="C274" i="4"/>
  <c r="C274" i="3"/>
  <c r="E273" i="2"/>
  <c r="G272" i="2"/>
  <c r="H272" i="2" s="1"/>
  <c r="I272" i="2" s="1"/>
  <c r="J272" i="2" s="1"/>
  <c r="A274" i="4"/>
  <c r="D273" i="4"/>
  <c r="D274" i="2"/>
  <c r="A275" i="2"/>
  <c r="C273" i="1"/>
  <c r="I272" i="1"/>
  <c r="J272" i="1" s="1"/>
  <c r="G273" i="1" l="1"/>
  <c r="H273" i="1" s="1"/>
  <c r="I273" i="1" s="1"/>
  <c r="J273" i="1" s="1"/>
  <c r="C275" i="4"/>
  <c r="D273" i="3"/>
  <c r="A274" i="3"/>
  <c r="A274" i="1"/>
  <c r="D273" i="1"/>
  <c r="F273" i="1"/>
  <c r="E274" i="1" s="1"/>
  <c r="C405" i="2"/>
  <c r="C274" i="1"/>
  <c r="C275" i="3"/>
  <c r="D275" i="2"/>
  <c r="A276" i="2"/>
  <c r="A275" i="4"/>
  <c r="D274" i="4"/>
  <c r="G273" i="3"/>
  <c r="H273" i="3" s="1"/>
  <c r="I273" i="3" s="1"/>
  <c r="J273" i="3" s="1"/>
  <c r="E274" i="3"/>
  <c r="G272" i="4"/>
  <c r="H272" i="4" s="1"/>
  <c r="I272" i="4" s="1"/>
  <c r="J272" i="4" s="1"/>
  <c r="E273" i="4"/>
  <c r="E274" i="2"/>
  <c r="G273" i="2"/>
  <c r="H273" i="2" s="1"/>
  <c r="I273" i="2" s="1"/>
  <c r="J273" i="2" s="1"/>
  <c r="G274" i="1" l="1"/>
  <c r="H274" i="1" s="1"/>
  <c r="I274" i="1" s="1"/>
  <c r="J274" i="1" s="1"/>
  <c r="G273" i="4"/>
  <c r="H273" i="4" s="1"/>
  <c r="I273" i="4" s="1"/>
  <c r="J273" i="4" s="1"/>
  <c r="E274" i="4"/>
  <c r="F274" i="1"/>
  <c r="E275" i="1" s="1"/>
  <c r="D274" i="1"/>
  <c r="A275" i="1"/>
  <c r="C276" i="3"/>
  <c r="D274" i="3"/>
  <c r="A275" i="3"/>
  <c r="C275" i="1"/>
  <c r="C276" i="4"/>
  <c r="C406" i="2"/>
  <c r="D275" i="4"/>
  <c r="A276" i="4"/>
  <c r="E275" i="2"/>
  <c r="G274" i="2"/>
  <c r="H274" i="2" s="1"/>
  <c r="I274" i="2" s="1"/>
  <c r="J274" i="2" s="1"/>
  <c r="G274" i="3"/>
  <c r="H274" i="3" s="1"/>
  <c r="I274" i="3" s="1"/>
  <c r="J274" i="3" s="1"/>
  <c r="E275" i="3"/>
  <c r="D276" i="2"/>
  <c r="A277" i="2"/>
  <c r="G275" i="1" l="1"/>
  <c r="H275" i="1" s="1"/>
  <c r="I275" i="1" s="1"/>
  <c r="J275" i="1" s="1"/>
  <c r="C277" i="3"/>
  <c r="G275" i="3"/>
  <c r="H275" i="3" s="1"/>
  <c r="I275" i="3" s="1"/>
  <c r="J275" i="3" s="1"/>
  <c r="E276" i="3"/>
  <c r="C277" i="4"/>
  <c r="F275" i="1"/>
  <c r="E276" i="1" s="1"/>
  <c r="A276" i="1"/>
  <c r="D275" i="1"/>
  <c r="E276" i="2"/>
  <c r="G275" i="2"/>
  <c r="H275" i="2" s="1"/>
  <c r="I275" i="2" s="1"/>
  <c r="J275" i="2" s="1"/>
  <c r="C276" i="1"/>
  <c r="G274" i="4"/>
  <c r="H274" i="4" s="1"/>
  <c r="I274" i="4" s="1"/>
  <c r="J274" i="4" s="1"/>
  <c r="E275" i="4"/>
  <c r="D276" i="4"/>
  <c r="A277" i="4"/>
  <c r="D275" i="3"/>
  <c r="A276" i="3"/>
  <c r="D277" i="2"/>
  <c r="A278" i="2"/>
  <c r="C407" i="2"/>
  <c r="G276" i="1" l="1"/>
  <c r="H276" i="1" s="1"/>
  <c r="I276" i="1" s="1"/>
  <c r="J276" i="1" s="1"/>
  <c r="D278" i="2"/>
  <c r="A279" i="2"/>
  <c r="C277" i="1"/>
  <c r="C278" i="4"/>
  <c r="G276" i="3"/>
  <c r="H276" i="3" s="1"/>
  <c r="I276" i="3" s="1"/>
  <c r="J276" i="3" s="1"/>
  <c r="E277" i="3"/>
  <c r="E277" i="2"/>
  <c r="G276" i="2"/>
  <c r="H276" i="2" s="1"/>
  <c r="I276" i="2" s="1"/>
  <c r="J276" i="2" s="1"/>
  <c r="C278" i="3"/>
  <c r="F276" i="1"/>
  <c r="E277" i="1" s="1"/>
  <c r="A277" i="1"/>
  <c r="D276" i="1"/>
  <c r="D276" i="3"/>
  <c r="A277" i="3"/>
  <c r="A278" i="4"/>
  <c r="D277" i="4"/>
  <c r="C408" i="2"/>
  <c r="G275" i="4"/>
  <c r="H275" i="4" s="1"/>
  <c r="I275" i="4" s="1"/>
  <c r="J275" i="4" s="1"/>
  <c r="E276" i="4"/>
  <c r="G277" i="1" l="1"/>
  <c r="H277" i="1" s="1"/>
  <c r="I277" i="1" s="1"/>
  <c r="J277" i="1" s="1"/>
  <c r="H3" i="1" s="1"/>
  <c r="C279" i="4"/>
  <c r="D277" i="1"/>
  <c r="F277" i="1"/>
  <c r="E278" i="1" s="1"/>
  <c r="A278" i="1"/>
  <c r="C409" i="2"/>
  <c r="C279" i="3"/>
  <c r="C278" i="1"/>
  <c r="D279" i="2"/>
  <c r="A280" i="2"/>
  <c r="A279" i="4"/>
  <c r="D278" i="4"/>
  <c r="D277" i="3"/>
  <c r="A278" i="3"/>
  <c r="E278" i="2"/>
  <c r="G277" i="2"/>
  <c r="H277" i="2" s="1"/>
  <c r="I277" i="2" s="1"/>
  <c r="J277" i="2" s="1"/>
  <c r="H3" i="2" s="1"/>
  <c r="G277" i="3"/>
  <c r="H277" i="3" s="1"/>
  <c r="I277" i="3" s="1"/>
  <c r="J277" i="3" s="1"/>
  <c r="H3" i="3" s="1"/>
  <c r="E278" i="3"/>
  <c r="G276" i="4"/>
  <c r="H276" i="4" s="1"/>
  <c r="I276" i="4" s="1"/>
  <c r="J276" i="4" s="1"/>
  <c r="E277" i="4"/>
  <c r="G278" i="1" l="1"/>
  <c r="H278" i="1" s="1"/>
  <c r="I278" i="1" s="1"/>
  <c r="J278" i="1" s="1"/>
  <c r="A280" i="4"/>
  <c r="D279" i="4"/>
  <c r="G278" i="3"/>
  <c r="H278" i="3" s="1"/>
  <c r="I278" i="3" s="1"/>
  <c r="J278" i="3" s="1"/>
  <c r="E279" i="3"/>
  <c r="D280" i="2"/>
  <c r="A281" i="2"/>
  <c r="F278" i="1"/>
  <c r="E279" i="1" s="1"/>
  <c r="D278" i="1"/>
  <c r="A279" i="1"/>
  <c r="E279" i="2"/>
  <c r="G278" i="2"/>
  <c r="H278" i="2" s="1"/>
  <c r="I278" i="2" s="1"/>
  <c r="J278" i="2" s="1"/>
  <c r="C279" i="1"/>
  <c r="G277" i="4"/>
  <c r="H277" i="4" s="1"/>
  <c r="I277" i="4" s="1"/>
  <c r="J277" i="4" s="1"/>
  <c r="H3" i="4" s="1"/>
  <c r="E278" i="4"/>
  <c r="D278" i="3"/>
  <c r="A279" i="3"/>
  <c r="C280" i="4"/>
  <c r="C280" i="3"/>
  <c r="C410" i="2"/>
  <c r="G279" i="1" l="1"/>
  <c r="H279" i="1" s="1"/>
  <c r="I279" i="1" s="1"/>
  <c r="J279" i="1" s="1"/>
  <c r="D281" i="2"/>
  <c r="A282" i="2"/>
  <c r="C281" i="3"/>
  <c r="C280" i="1"/>
  <c r="G279" i="3"/>
  <c r="H279" i="3" s="1"/>
  <c r="I279" i="3" s="1"/>
  <c r="J279" i="3" s="1"/>
  <c r="E280" i="3"/>
  <c r="C281" i="4"/>
  <c r="E280" i="2"/>
  <c r="G279" i="2"/>
  <c r="H279" i="2" s="1"/>
  <c r="I279" i="2" s="1"/>
  <c r="J279" i="2" s="1"/>
  <c r="D279" i="3"/>
  <c r="A280" i="3"/>
  <c r="A280" i="1"/>
  <c r="F279" i="1"/>
  <c r="E280" i="1" s="1"/>
  <c r="D279" i="1"/>
  <c r="A281" i="4"/>
  <c r="D280" i="4"/>
  <c r="C411" i="2"/>
  <c r="G278" i="4"/>
  <c r="H278" i="4" s="1"/>
  <c r="I278" i="4" s="1"/>
  <c r="J278" i="4" s="1"/>
  <c r="E279" i="4"/>
  <c r="G280" i="1" l="1"/>
  <c r="H280" i="1" s="1"/>
  <c r="I280" i="1" s="1"/>
  <c r="J280" i="1" s="1"/>
  <c r="C281" i="1"/>
  <c r="E281" i="2"/>
  <c r="G280" i="2"/>
  <c r="H280" i="2" s="1"/>
  <c r="I280" i="2" s="1"/>
  <c r="J280" i="2" s="1"/>
  <c r="C282" i="3"/>
  <c r="D280" i="3"/>
  <c r="A281" i="3"/>
  <c r="C412" i="2"/>
  <c r="A282" i="4"/>
  <c r="D281" i="4"/>
  <c r="D282" i="2"/>
  <c r="A283" i="2"/>
  <c r="C282" i="4"/>
  <c r="G280" i="3"/>
  <c r="H280" i="3" s="1"/>
  <c r="I280" i="3" s="1"/>
  <c r="J280" i="3" s="1"/>
  <c r="E281" i="3"/>
  <c r="G279" i="4"/>
  <c r="H279" i="4" s="1"/>
  <c r="I279" i="4" s="1"/>
  <c r="J279" i="4" s="1"/>
  <c r="E280" i="4"/>
  <c r="D280" i="1"/>
  <c r="A281" i="1"/>
  <c r="F280" i="1"/>
  <c r="E281" i="1" s="1"/>
  <c r="G281" i="1" l="1"/>
  <c r="H281" i="1" s="1"/>
  <c r="I281" i="1" s="1"/>
  <c r="J281" i="1" s="1"/>
  <c r="C283" i="3"/>
  <c r="A282" i="1"/>
  <c r="F281" i="1"/>
  <c r="E282" i="1" s="1"/>
  <c r="D281" i="1"/>
  <c r="A283" i="4"/>
  <c r="D282" i="4"/>
  <c r="E282" i="2"/>
  <c r="G281" i="2"/>
  <c r="H281" i="2" s="1"/>
  <c r="I281" i="2" s="1"/>
  <c r="J281" i="2" s="1"/>
  <c r="G281" i="3"/>
  <c r="H281" i="3" s="1"/>
  <c r="I281" i="3" s="1"/>
  <c r="J281" i="3" s="1"/>
  <c r="E282" i="3"/>
  <c r="C413" i="2"/>
  <c r="D283" i="2"/>
  <c r="A284" i="2"/>
  <c r="C282" i="1"/>
  <c r="G280" i="4"/>
  <c r="H280" i="4" s="1"/>
  <c r="I280" i="4" s="1"/>
  <c r="J280" i="4" s="1"/>
  <c r="E281" i="4"/>
  <c r="D281" i="3"/>
  <c r="A282" i="3"/>
  <c r="C283" i="4"/>
  <c r="G282" i="1" l="1"/>
  <c r="H282" i="1" s="1"/>
  <c r="I282" i="1" s="1"/>
  <c r="J282" i="1" s="1"/>
  <c r="A284" i="4"/>
  <c r="D283" i="4"/>
  <c r="D282" i="3"/>
  <c r="A283" i="3"/>
  <c r="C414" i="2"/>
  <c r="G281" i="4"/>
  <c r="H281" i="4" s="1"/>
  <c r="I281" i="4" s="1"/>
  <c r="J281" i="4" s="1"/>
  <c r="E282" i="4"/>
  <c r="G282" i="3"/>
  <c r="H282" i="3" s="1"/>
  <c r="I282" i="3" s="1"/>
  <c r="J282" i="3" s="1"/>
  <c r="E283" i="3"/>
  <c r="A283" i="1"/>
  <c r="F282" i="1"/>
  <c r="E283" i="1" s="1"/>
  <c r="D282" i="1"/>
  <c r="D284" i="2"/>
  <c r="A285" i="2"/>
  <c r="C284" i="3"/>
  <c r="C284" i="4"/>
  <c r="C283" i="1"/>
  <c r="E283" i="2"/>
  <c r="G282" i="2"/>
  <c r="H282" i="2" s="1"/>
  <c r="I282" i="2" s="1"/>
  <c r="J282" i="2" s="1"/>
  <c r="G283" i="1" l="1"/>
  <c r="H283" i="1" s="1"/>
  <c r="I283" i="1" s="1"/>
  <c r="J283" i="1" s="1"/>
  <c r="C415" i="2"/>
  <c r="D283" i="3"/>
  <c r="A284" i="3"/>
  <c r="C284" i="1"/>
  <c r="F283" i="1"/>
  <c r="E284" i="1" s="1"/>
  <c r="A284" i="1"/>
  <c r="D283" i="1"/>
  <c r="C285" i="4"/>
  <c r="G283" i="3"/>
  <c r="H283" i="3" s="1"/>
  <c r="I283" i="3" s="1"/>
  <c r="J283" i="3" s="1"/>
  <c r="E284" i="3"/>
  <c r="A285" i="4"/>
  <c r="D284" i="4"/>
  <c r="D285" i="2"/>
  <c r="A286" i="2"/>
  <c r="E284" i="2"/>
  <c r="G283" i="2"/>
  <c r="H283" i="2" s="1"/>
  <c r="I283" i="2" s="1"/>
  <c r="J283" i="2" s="1"/>
  <c r="C285" i="3"/>
  <c r="G282" i="4"/>
  <c r="H282" i="4" s="1"/>
  <c r="I282" i="4" s="1"/>
  <c r="J282" i="4" s="1"/>
  <c r="E283" i="4"/>
  <c r="G284" i="1" l="1"/>
  <c r="H284" i="1" s="1"/>
  <c r="I284" i="1" s="1"/>
  <c r="J284" i="1" s="1"/>
  <c r="A286" i="4"/>
  <c r="D285" i="4"/>
  <c r="C285" i="1"/>
  <c r="G284" i="3"/>
  <c r="H284" i="3" s="1"/>
  <c r="I284" i="3" s="1"/>
  <c r="J284" i="3" s="1"/>
  <c r="E285" i="3"/>
  <c r="D284" i="3"/>
  <c r="A285" i="3"/>
  <c r="E285" i="2"/>
  <c r="G284" i="2"/>
  <c r="H284" i="2" s="1"/>
  <c r="I284" i="2" s="1"/>
  <c r="J284" i="2" s="1"/>
  <c r="C286" i="4"/>
  <c r="C416" i="2"/>
  <c r="F284" i="1"/>
  <c r="E285" i="1" s="1"/>
  <c r="D284" i="1"/>
  <c r="A285" i="1"/>
  <c r="C286" i="3"/>
  <c r="D286" i="2"/>
  <c r="A287" i="2"/>
  <c r="G283" i="4"/>
  <c r="H283" i="4" s="1"/>
  <c r="I283" i="4" s="1"/>
  <c r="J283" i="4" s="1"/>
  <c r="E284" i="4"/>
  <c r="G285" i="1" l="1"/>
  <c r="H285" i="1" s="1"/>
  <c r="I285" i="1" s="1"/>
  <c r="J285" i="1" s="1"/>
  <c r="C417" i="2"/>
  <c r="G285" i="3"/>
  <c r="H285" i="3" s="1"/>
  <c r="I285" i="3" s="1"/>
  <c r="J285" i="3" s="1"/>
  <c r="E286" i="3"/>
  <c r="D285" i="3"/>
  <c r="A286" i="3"/>
  <c r="G284" i="4"/>
  <c r="H284" i="4" s="1"/>
  <c r="I284" i="4" s="1"/>
  <c r="J284" i="4" s="1"/>
  <c r="E285" i="4"/>
  <c r="D287" i="2"/>
  <c r="A288" i="2"/>
  <c r="C287" i="4"/>
  <c r="C286" i="1"/>
  <c r="D285" i="1"/>
  <c r="F285" i="1"/>
  <c r="E286" i="1" s="1"/>
  <c r="A286" i="1"/>
  <c r="E286" i="2"/>
  <c r="G285" i="2"/>
  <c r="H285" i="2" s="1"/>
  <c r="I285" i="2" s="1"/>
  <c r="J285" i="2" s="1"/>
  <c r="A287" i="4"/>
  <c r="D286" i="4"/>
  <c r="C287" i="3"/>
  <c r="G286" i="1" l="1"/>
  <c r="H286" i="1" s="1"/>
  <c r="C288" i="3"/>
  <c r="D286" i="3"/>
  <c r="A287" i="3"/>
  <c r="A288" i="4"/>
  <c r="D287" i="4"/>
  <c r="G286" i="3"/>
  <c r="H286" i="3" s="1"/>
  <c r="I286" i="3" s="1"/>
  <c r="J286" i="3" s="1"/>
  <c r="E287" i="3"/>
  <c r="D288" i="2"/>
  <c r="A289" i="2"/>
  <c r="C418" i="2"/>
  <c r="C287" i="1"/>
  <c r="I286" i="1"/>
  <c r="J286" i="1" s="1"/>
  <c r="C288" i="4"/>
  <c r="E287" i="2"/>
  <c r="G286" i="2"/>
  <c r="H286" i="2" s="1"/>
  <c r="I286" i="2" s="1"/>
  <c r="J286" i="2" s="1"/>
  <c r="F286" i="1"/>
  <c r="E287" i="1" s="1"/>
  <c r="D286" i="1"/>
  <c r="A287" i="1"/>
  <c r="G285" i="4"/>
  <c r="H285" i="4" s="1"/>
  <c r="I285" i="4" s="1"/>
  <c r="J285" i="4" s="1"/>
  <c r="E286" i="4"/>
  <c r="G287" i="1" l="1"/>
  <c r="H287" i="1" s="1"/>
  <c r="I287" i="1" s="1"/>
  <c r="J287" i="1" s="1"/>
  <c r="A288" i="1"/>
  <c r="F287" i="1"/>
  <c r="E288" i="1" s="1"/>
  <c r="D287" i="1"/>
  <c r="C288" i="1"/>
  <c r="A289" i="4"/>
  <c r="D288" i="4"/>
  <c r="C419" i="2"/>
  <c r="D287" i="3"/>
  <c r="A288" i="3"/>
  <c r="D289" i="2"/>
  <c r="A290" i="2"/>
  <c r="C289" i="3"/>
  <c r="E288" i="2"/>
  <c r="G287" i="2"/>
  <c r="H287" i="2" s="1"/>
  <c r="I287" i="2" s="1"/>
  <c r="J287" i="2" s="1"/>
  <c r="G287" i="3"/>
  <c r="H287" i="3" s="1"/>
  <c r="I287" i="3" s="1"/>
  <c r="J287" i="3" s="1"/>
  <c r="E288" i="3"/>
  <c r="G286" i="4"/>
  <c r="H286" i="4" s="1"/>
  <c r="I286" i="4" s="1"/>
  <c r="J286" i="4" s="1"/>
  <c r="E287" i="4"/>
  <c r="C289" i="4"/>
  <c r="G288" i="1" l="1"/>
  <c r="H288" i="1" s="1"/>
  <c r="I288" i="1" s="1"/>
  <c r="J288" i="1" s="1"/>
  <c r="G288" i="2"/>
  <c r="H288" i="2" s="1"/>
  <c r="I288" i="2" s="1"/>
  <c r="J288" i="2" s="1"/>
  <c r="E289" i="2"/>
  <c r="C290" i="4"/>
  <c r="C290" i="3"/>
  <c r="A290" i="4"/>
  <c r="D289" i="4"/>
  <c r="G287" i="4"/>
  <c r="H287" i="4" s="1"/>
  <c r="I287" i="4" s="1"/>
  <c r="J287" i="4" s="1"/>
  <c r="E288" i="4"/>
  <c r="D290" i="2"/>
  <c r="A291" i="2"/>
  <c r="C289" i="1"/>
  <c r="C420" i="2"/>
  <c r="D288" i="1"/>
  <c r="F288" i="1"/>
  <c r="E289" i="1" s="1"/>
  <c r="A289" i="1"/>
  <c r="G288" i="3"/>
  <c r="H288" i="3" s="1"/>
  <c r="I288" i="3" s="1"/>
  <c r="J288" i="3" s="1"/>
  <c r="E289" i="3"/>
  <c r="D288" i="3"/>
  <c r="A289" i="3"/>
  <c r="G289" i="1" l="1"/>
  <c r="H289" i="1" s="1"/>
  <c r="I289" i="1" s="1"/>
  <c r="J289" i="1" s="1"/>
  <c r="G289" i="3"/>
  <c r="H289" i="3" s="1"/>
  <c r="I289" i="3" s="1"/>
  <c r="J289" i="3" s="1"/>
  <c r="E290" i="3"/>
  <c r="C290" i="1"/>
  <c r="C291" i="3"/>
  <c r="C421" i="2"/>
  <c r="D289" i="3"/>
  <c r="A290" i="3"/>
  <c r="A291" i="4"/>
  <c r="D290" i="4"/>
  <c r="A292" i="2"/>
  <c r="D291" i="2"/>
  <c r="C291" i="4"/>
  <c r="A290" i="1"/>
  <c r="F289" i="1"/>
  <c r="E290" i="1" s="1"/>
  <c r="D289" i="1"/>
  <c r="G288" i="4"/>
  <c r="H288" i="4" s="1"/>
  <c r="I288" i="4" s="1"/>
  <c r="J288" i="4" s="1"/>
  <c r="E289" i="4"/>
  <c r="G289" i="2"/>
  <c r="H289" i="2" s="1"/>
  <c r="I289" i="2" s="1"/>
  <c r="J289" i="2" s="1"/>
  <c r="E290" i="2"/>
  <c r="G290" i="1" l="1"/>
  <c r="H290" i="1" s="1"/>
  <c r="I290" i="1" s="1"/>
  <c r="J290" i="1" s="1"/>
  <c r="G289" i="4"/>
  <c r="H289" i="4" s="1"/>
  <c r="I289" i="4" s="1"/>
  <c r="J289" i="4" s="1"/>
  <c r="E290" i="4"/>
  <c r="A293" i="2"/>
  <c r="D292" i="2"/>
  <c r="C292" i="3"/>
  <c r="C291" i="1"/>
  <c r="A292" i="4"/>
  <c r="D291" i="4"/>
  <c r="D290" i="3"/>
  <c r="A291" i="3"/>
  <c r="G290" i="3"/>
  <c r="H290" i="3" s="1"/>
  <c r="I290" i="3" s="1"/>
  <c r="J290" i="3" s="1"/>
  <c r="E291" i="3"/>
  <c r="D290" i="1"/>
  <c r="A291" i="1"/>
  <c r="F290" i="1"/>
  <c r="E291" i="1" s="1"/>
  <c r="C422" i="2"/>
  <c r="G290" i="2"/>
  <c r="H290" i="2" s="1"/>
  <c r="I290" i="2" s="1"/>
  <c r="J290" i="2" s="1"/>
  <c r="E291" i="2"/>
  <c r="C292" i="4"/>
  <c r="G291" i="1" l="1"/>
  <c r="H291" i="1" s="1"/>
  <c r="I291" i="1" s="1"/>
  <c r="J291" i="1" s="1"/>
  <c r="C292" i="1"/>
  <c r="C293" i="4"/>
  <c r="G291" i="3"/>
  <c r="H291" i="3" s="1"/>
  <c r="I291" i="3" s="1"/>
  <c r="J291" i="3" s="1"/>
  <c r="E292" i="3"/>
  <c r="C293" i="3"/>
  <c r="A294" i="2"/>
  <c r="D293" i="2"/>
  <c r="G290" i="4"/>
  <c r="H290" i="4" s="1"/>
  <c r="I290" i="4" s="1"/>
  <c r="J290" i="4" s="1"/>
  <c r="E291" i="4"/>
  <c r="E292" i="2"/>
  <c r="G291" i="2"/>
  <c r="H291" i="2" s="1"/>
  <c r="I291" i="2" s="1"/>
  <c r="J291" i="2" s="1"/>
  <c r="C423" i="2"/>
  <c r="A293" i="4"/>
  <c r="D292" i="4"/>
  <c r="F291" i="1"/>
  <c r="E292" i="1" s="1"/>
  <c r="D291" i="1"/>
  <c r="A292" i="1"/>
  <c r="D291" i="3"/>
  <c r="A292" i="3"/>
  <c r="G292" i="1" l="1"/>
  <c r="H292" i="1" s="1"/>
  <c r="I292" i="1" s="1"/>
  <c r="J292" i="1" s="1"/>
  <c r="G292" i="3"/>
  <c r="H292" i="3" s="1"/>
  <c r="I292" i="3" s="1"/>
  <c r="J292" i="3" s="1"/>
  <c r="E293" i="3"/>
  <c r="C294" i="4"/>
  <c r="C293" i="1"/>
  <c r="G291" i="4"/>
  <c r="H291" i="4" s="1"/>
  <c r="I291" i="4" s="1"/>
  <c r="J291" i="4" s="1"/>
  <c r="E292" i="4"/>
  <c r="D294" i="2"/>
  <c r="A295" i="2"/>
  <c r="A294" i="4"/>
  <c r="D293" i="4"/>
  <c r="C424" i="2"/>
  <c r="F292" i="1"/>
  <c r="E293" i="1" s="1"/>
  <c r="A293" i="1"/>
  <c r="D292" i="1"/>
  <c r="G292" i="2"/>
  <c r="H292" i="2" s="1"/>
  <c r="I292" i="2" s="1"/>
  <c r="J292" i="2" s="1"/>
  <c r="E293" i="2"/>
  <c r="D292" i="3"/>
  <c r="A293" i="3"/>
  <c r="C294" i="3"/>
  <c r="G293" i="1" l="1"/>
  <c r="H293" i="1" s="1"/>
  <c r="I293" i="1" s="1"/>
  <c r="J293" i="1" s="1"/>
  <c r="D293" i="1"/>
  <c r="A294" i="1"/>
  <c r="F293" i="1"/>
  <c r="E294" i="1" s="1"/>
  <c r="G292" i="4"/>
  <c r="H292" i="4" s="1"/>
  <c r="I292" i="4" s="1"/>
  <c r="J292" i="4" s="1"/>
  <c r="E293" i="4"/>
  <c r="C295" i="3"/>
  <c r="C425" i="2"/>
  <c r="C294" i="1"/>
  <c r="D293" i="3"/>
  <c r="A294" i="3"/>
  <c r="G293" i="2"/>
  <c r="H293" i="2" s="1"/>
  <c r="I293" i="2" s="1"/>
  <c r="J293" i="2" s="1"/>
  <c r="E294" i="2"/>
  <c r="A295" i="4"/>
  <c r="D294" i="4"/>
  <c r="C295" i="4"/>
  <c r="A296" i="2"/>
  <c r="D295" i="2"/>
  <c r="G293" i="3"/>
  <c r="H293" i="3" s="1"/>
  <c r="I293" i="3" s="1"/>
  <c r="J293" i="3" s="1"/>
  <c r="E294" i="3"/>
  <c r="G294" i="1" l="1"/>
  <c r="H294" i="1" s="1"/>
  <c r="I294" i="1" s="1"/>
  <c r="J294" i="1" s="1"/>
  <c r="D294" i="3"/>
  <c r="A295" i="3"/>
  <c r="G293" i="4"/>
  <c r="H293" i="4" s="1"/>
  <c r="I293" i="4" s="1"/>
  <c r="J293" i="4" s="1"/>
  <c r="E294" i="4"/>
  <c r="C296" i="3"/>
  <c r="A297" i="2"/>
  <c r="D296" i="2"/>
  <c r="C296" i="4"/>
  <c r="C295" i="1"/>
  <c r="F294" i="1"/>
  <c r="E295" i="1" s="1"/>
  <c r="D294" i="1"/>
  <c r="A295" i="1"/>
  <c r="C426" i="2"/>
  <c r="A296" i="4"/>
  <c r="D295" i="4"/>
  <c r="G294" i="3"/>
  <c r="H294" i="3" s="1"/>
  <c r="I294" i="3" s="1"/>
  <c r="J294" i="3" s="1"/>
  <c r="E295" i="3"/>
  <c r="G294" i="2"/>
  <c r="H294" i="2" s="1"/>
  <c r="I294" i="2" s="1"/>
  <c r="J294" i="2" s="1"/>
  <c r="E295" i="2"/>
  <c r="G295" i="1" l="1"/>
  <c r="H295" i="1" s="1"/>
  <c r="G295" i="3"/>
  <c r="H295" i="3" s="1"/>
  <c r="I295" i="3" s="1"/>
  <c r="J295" i="3" s="1"/>
  <c r="E296" i="3"/>
  <c r="C297" i="3"/>
  <c r="G294" i="4"/>
  <c r="H294" i="4" s="1"/>
  <c r="I294" i="4" s="1"/>
  <c r="J294" i="4" s="1"/>
  <c r="E295" i="4"/>
  <c r="I295" i="1"/>
  <c r="J295" i="1" s="1"/>
  <c r="C296" i="1"/>
  <c r="A297" i="4"/>
  <c r="D296" i="4"/>
  <c r="D295" i="3"/>
  <c r="A296" i="3"/>
  <c r="C427" i="2"/>
  <c r="C297" i="4"/>
  <c r="G295" i="2"/>
  <c r="H295" i="2" s="1"/>
  <c r="I295" i="2" s="1"/>
  <c r="J295" i="2" s="1"/>
  <c r="E296" i="2"/>
  <c r="A296" i="1"/>
  <c r="F295" i="1"/>
  <c r="E296" i="1" s="1"/>
  <c r="D295" i="1"/>
  <c r="A298" i="2"/>
  <c r="D297" i="2"/>
  <c r="G296" i="1" l="1"/>
  <c r="H296" i="1" s="1"/>
  <c r="D296" i="3"/>
  <c r="A297" i="3"/>
  <c r="C298" i="3"/>
  <c r="G296" i="3"/>
  <c r="H296" i="3" s="1"/>
  <c r="I296" i="3" s="1"/>
  <c r="J296" i="3" s="1"/>
  <c r="E297" i="3"/>
  <c r="D298" i="2"/>
  <c r="A299" i="2"/>
  <c r="C428" i="2"/>
  <c r="G295" i="4"/>
  <c r="H295" i="4" s="1"/>
  <c r="I295" i="4" s="1"/>
  <c r="J295" i="4" s="1"/>
  <c r="E296" i="4"/>
  <c r="D296" i="1"/>
  <c r="A297" i="1"/>
  <c r="F296" i="1"/>
  <c r="E297" i="1" s="1"/>
  <c r="G296" i="2"/>
  <c r="H296" i="2" s="1"/>
  <c r="I296" i="2" s="1"/>
  <c r="J296" i="2" s="1"/>
  <c r="E297" i="2"/>
  <c r="A298" i="4"/>
  <c r="D297" i="4"/>
  <c r="C297" i="1"/>
  <c r="I296" i="1"/>
  <c r="J296" i="1" s="1"/>
  <c r="C298" i="4"/>
  <c r="G297" i="1" l="1"/>
  <c r="H297" i="1" s="1"/>
  <c r="I297" i="1" s="1"/>
  <c r="J297" i="1" s="1"/>
  <c r="A298" i="1"/>
  <c r="D297" i="1"/>
  <c r="F297" i="1"/>
  <c r="E298" i="1" s="1"/>
  <c r="G297" i="3"/>
  <c r="H297" i="3" s="1"/>
  <c r="I297" i="3" s="1"/>
  <c r="J297" i="3" s="1"/>
  <c r="E298" i="3"/>
  <c r="C298" i="1"/>
  <c r="G296" i="4"/>
  <c r="H296" i="4" s="1"/>
  <c r="I296" i="4" s="1"/>
  <c r="J296" i="4" s="1"/>
  <c r="E297" i="4"/>
  <c r="C299" i="3"/>
  <c r="A299" i="4"/>
  <c r="D298" i="4"/>
  <c r="C429" i="2"/>
  <c r="D297" i="3"/>
  <c r="A298" i="3"/>
  <c r="A300" i="2"/>
  <c r="D299" i="2"/>
  <c r="C299" i="4"/>
  <c r="G297" i="2"/>
  <c r="H297" i="2" s="1"/>
  <c r="I297" i="2" s="1"/>
  <c r="J297" i="2" s="1"/>
  <c r="E298" i="2"/>
  <c r="G298" i="1" l="1"/>
  <c r="H298" i="1" s="1"/>
  <c r="I298" i="1" s="1"/>
  <c r="J298" i="1" s="1"/>
  <c r="G298" i="3"/>
  <c r="H298" i="3" s="1"/>
  <c r="I298" i="3" s="1"/>
  <c r="J298" i="3" s="1"/>
  <c r="E299" i="3"/>
  <c r="C299" i="1"/>
  <c r="C300" i="4"/>
  <c r="A300" i="4"/>
  <c r="D299" i="4"/>
  <c r="A301" i="2"/>
  <c r="D300" i="2"/>
  <c r="C300" i="3"/>
  <c r="D298" i="3"/>
  <c r="A299" i="3"/>
  <c r="G297" i="4"/>
  <c r="H297" i="4" s="1"/>
  <c r="I297" i="4" s="1"/>
  <c r="J297" i="4" s="1"/>
  <c r="E298" i="4"/>
  <c r="D298" i="1"/>
  <c r="A299" i="1"/>
  <c r="F298" i="1"/>
  <c r="E299" i="1" s="1"/>
  <c r="G298" i="2"/>
  <c r="H298" i="2" s="1"/>
  <c r="I298" i="2" s="1"/>
  <c r="J298" i="2" s="1"/>
  <c r="E299" i="2"/>
  <c r="C430" i="2"/>
  <c r="G299" i="1" l="1"/>
  <c r="H299" i="1" s="1"/>
  <c r="I299" i="1" s="1"/>
  <c r="J299" i="1" s="1"/>
  <c r="E300" i="1"/>
  <c r="C301" i="4"/>
  <c r="D299" i="3"/>
  <c r="A300" i="3"/>
  <c r="G299" i="2"/>
  <c r="H299" i="2" s="1"/>
  <c r="I299" i="2" s="1"/>
  <c r="J299" i="2" s="1"/>
  <c r="E300" i="2"/>
  <c r="C301" i="3"/>
  <c r="C300" i="1"/>
  <c r="G299" i="3"/>
  <c r="H299" i="3" s="1"/>
  <c r="I299" i="3" s="1"/>
  <c r="J299" i="3" s="1"/>
  <c r="E300" i="3"/>
  <c r="A300" i="1"/>
  <c r="F299" i="1"/>
  <c r="D299" i="1"/>
  <c r="A302" i="2"/>
  <c r="D301" i="2"/>
  <c r="G298" i="4"/>
  <c r="H298" i="4" s="1"/>
  <c r="I298" i="4" s="1"/>
  <c r="J298" i="4" s="1"/>
  <c r="E299" i="4"/>
  <c r="C431" i="2"/>
  <c r="A301" i="4"/>
  <c r="D300" i="4"/>
  <c r="D302" i="2" l="1"/>
  <c r="A303" i="2"/>
  <c r="G300" i="1"/>
  <c r="H300" i="1" s="1"/>
  <c r="I300" i="1" s="1"/>
  <c r="J300" i="1" s="1"/>
  <c r="A302" i="4"/>
  <c r="D301" i="4"/>
  <c r="G300" i="2"/>
  <c r="H300" i="2" s="1"/>
  <c r="I300" i="2" s="1"/>
  <c r="J300" i="2" s="1"/>
  <c r="E301" i="2"/>
  <c r="C432" i="2"/>
  <c r="F300" i="1"/>
  <c r="E301" i="1" s="1"/>
  <c r="A301" i="1"/>
  <c r="D300" i="1"/>
  <c r="G300" i="3"/>
  <c r="H300" i="3" s="1"/>
  <c r="I300" i="3" s="1"/>
  <c r="J300" i="3" s="1"/>
  <c r="E301" i="3"/>
  <c r="D300" i="3"/>
  <c r="A301" i="3"/>
  <c r="C301" i="1"/>
  <c r="G299" i="4"/>
  <c r="H299" i="4" s="1"/>
  <c r="I299" i="4" s="1"/>
  <c r="J299" i="4" s="1"/>
  <c r="E300" i="4"/>
  <c r="C302" i="4"/>
  <c r="C302" i="3"/>
  <c r="G301" i="1" l="1"/>
  <c r="H301" i="1" s="1"/>
  <c r="I301" i="1" s="1"/>
  <c r="J301" i="1" s="1"/>
  <c r="G301" i="2"/>
  <c r="H301" i="2" s="1"/>
  <c r="I301" i="2" s="1"/>
  <c r="J301" i="2" s="1"/>
  <c r="E302" i="2"/>
  <c r="E302" i="3"/>
  <c r="G301" i="3"/>
  <c r="H301" i="3" s="1"/>
  <c r="I301" i="3" s="1"/>
  <c r="J301" i="3" s="1"/>
  <c r="A303" i="4"/>
  <c r="D302" i="4"/>
  <c r="G300" i="4"/>
  <c r="H300" i="4" s="1"/>
  <c r="I300" i="4" s="1"/>
  <c r="J300" i="4" s="1"/>
  <c r="E301" i="4"/>
  <c r="D301" i="1"/>
  <c r="F301" i="1"/>
  <c r="E302" i="1" s="1"/>
  <c r="A302" i="1"/>
  <c r="C303" i="3"/>
  <c r="C303" i="4"/>
  <c r="C302" i="1"/>
  <c r="C433" i="2"/>
  <c r="D303" i="2"/>
  <c r="A304" i="2"/>
  <c r="D301" i="3"/>
  <c r="A302" i="3"/>
  <c r="G302" i="1" l="1"/>
  <c r="H302" i="1" s="1"/>
  <c r="I302" i="1" s="1"/>
  <c r="J302" i="1" s="1"/>
  <c r="C304" i="4"/>
  <c r="A305" i="2"/>
  <c r="D304" i="2"/>
  <c r="D303" i="4"/>
  <c r="A304" i="4"/>
  <c r="F302" i="1"/>
  <c r="E303" i="1" s="1"/>
  <c r="D302" i="1"/>
  <c r="A303" i="1"/>
  <c r="G302" i="3"/>
  <c r="H302" i="3" s="1"/>
  <c r="I302" i="3" s="1"/>
  <c r="J302" i="3" s="1"/>
  <c r="E303" i="3"/>
  <c r="C304" i="3"/>
  <c r="C434" i="2"/>
  <c r="G302" i="2"/>
  <c r="H302" i="2" s="1"/>
  <c r="I302" i="2" s="1"/>
  <c r="J302" i="2" s="1"/>
  <c r="E303" i="2"/>
  <c r="A303" i="3"/>
  <c r="D302" i="3"/>
  <c r="C303" i="1"/>
  <c r="G301" i="4"/>
  <c r="H301" i="4" s="1"/>
  <c r="I301" i="4" s="1"/>
  <c r="J301" i="4" s="1"/>
  <c r="E302" i="4"/>
  <c r="G303" i="1" l="1"/>
  <c r="H303" i="1" s="1"/>
  <c r="I303" i="1" s="1"/>
  <c r="J303" i="1" s="1"/>
  <c r="A305" i="4"/>
  <c r="D304" i="4"/>
  <c r="C304" i="1"/>
  <c r="C305" i="3"/>
  <c r="G303" i="3"/>
  <c r="H303" i="3" s="1"/>
  <c r="I303" i="3" s="1"/>
  <c r="J303" i="3" s="1"/>
  <c r="E304" i="3"/>
  <c r="A306" i="2"/>
  <c r="D305" i="2"/>
  <c r="C305" i="4"/>
  <c r="A304" i="3"/>
  <c r="D303" i="3"/>
  <c r="G303" i="2"/>
  <c r="H303" i="2" s="1"/>
  <c r="I303" i="2" s="1"/>
  <c r="J303" i="2" s="1"/>
  <c r="E304" i="2"/>
  <c r="F303" i="1"/>
  <c r="E304" i="1" s="1"/>
  <c r="A304" i="1"/>
  <c r="D303" i="1"/>
  <c r="G302" i="4"/>
  <c r="H302" i="4" s="1"/>
  <c r="I302" i="4" s="1"/>
  <c r="J302" i="4" s="1"/>
  <c r="E303" i="4"/>
  <c r="C435" i="2"/>
  <c r="G304" i="1" l="1"/>
  <c r="H304" i="1" s="1"/>
  <c r="I304" i="1" s="1"/>
  <c r="J304" i="1" s="1"/>
  <c r="G303" i="4"/>
  <c r="H303" i="4" s="1"/>
  <c r="I303" i="4" s="1"/>
  <c r="J303" i="4" s="1"/>
  <c r="E304" i="4"/>
  <c r="D304" i="3"/>
  <c r="A305" i="3"/>
  <c r="C306" i="3"/>
  <c r="C306" i="4"/>
  <c r="C305" i="1"/>
  <c r="A306" i="4"/>
  <c r="D305" i="4"/>
  <c r="C436" i="2"/>
  <c r="F304" i="1"/>
  <c r="E305" i="1" s="1"/>
  <c r="D304" i="1"/>
  <c r="A305" i="1"/>
  <c r="D306" i="2"/>
  <c r="A307" i="2"/>
  <c r="G304" i="2"/>
  <c r="H304" i="2" s="1"/>
  <c r="I304" i="2" s="1"/>
  <c r="J304" i="2" s="1"/>
  <c r="E305" i="2"/>
  <c r="G304" i="3"/>
  <c r="H304" i="3" s="1"/>
  <c r="I304" i="3" s="1"/>
  <c r="J304" i="3" s="1"/>
  <c r="E305" i="3"/>
  <c r="G305" i="1" l="1"/>
  <c r="H305" i="1" s="1"/>
  <c r="I305" i="1" s="1"/>
  <c r="J305" i="1" s="1"/>
  <c r="C437" i="2"/>
  <c r="G305" i="2"/>
  <c r="H305" i="2" s="1"/>
  <c r="I305" i="2" s="1"/>
  <c r="J305" i="2" s="1"/>
  <c r="E306" i="2"/>
  <c r="C307" i="3"/>
  <c r="A306" i="3"/>
  <c r="D305" i="3"/>
  <c r="G304" i="4"/>
  <c r="H304" i="4" s="1"/>
  <c r="I304" i="4" s="1"/>
  <c r="J304" i="4" s="1"/>
  <c r="E305" i="4"/>
  <c r="A308" i="2"/>
  <c r="D307" i="2"/>
  <c r="D305" i="1"/>
  <c r="A306" i="1"/>
  <c r="F305" i="1"/>
  <c r="E306" i="1" s="1"/>
  <c r="D306" i="4"/>
  <c r="A307" i="4"/>
  <c r="C306" i="1"/>
  <c r="C307" i="4"/>
  <c r="G305" i="3"/>
  <c r="H305" i="3" s="1"/>
  <c r="I305" i="3" s="1"/>
  <c r="J305" i="3" s="1"/>
  <c r="E306" i="3"/>
  <c r="G306" i="1" l="1"/>
  <c r="H306" i="1" s="1"/>
  <c r="I306" i="1" s="1"/>
  <c r="J306" i="1" s="1"/>
  <c r="C308" i="3"/>
  <c r="G306" i="2"/>
  <c r="H306" i="2" s="1"/>
  <c r="I306" i="2" s="1"/>
  <c r="J306" i="2" s="1"/>
  <c r="E307" i="2"/>
  <c r="D306" i="1"/>
  <c r="A307" i="1"/>
  <c r="F306" i="1"/>
  <c r="E307" i="1" s="1"/>
  <c r="C308" i="4"/>
  <c r="A309" i="2"/>
  <c r="D308" i="2"/>
  <c r="C307" i="1"/>
  <c r="E306" i="4"/>
  <c r="G305" i="4"/>
  <c r="H305" i="4" s="1"/>
  <c r="I305" i="4" s="1"/>
  <c r="J305" i="4" s="1"/>
  <c r="C438" i="2"/>
  <c r="D307" i="4"/>
  <c r="A308" i="4"/>
  <c r="G306" i="3"/>
  <c r="H306" i="3" s="1"/>
  <c r="I306" i="3" s="1"/>
  <c r="J306" i="3" s="1"/>
  <c r="E307" i="3"/>
  <c r="D306" i="3"/>
  <c r="A307" i="3"/>
  <c r="G307" i="1" l="1"/>
  <c r="H307" i="1" s="1"/>
  <c r="I307" i="1" s="1"/>
  <c r="J307" i="1" s="1"/>
  <c r="C308" i="1"/>
  <c r="G307" i="2"/>
  <c r="H307" i="2" s="1"/>
  <c r="I307" i="2" s="1"/>
  <c r="J307" i="2" s="1"/>
  <c r="E308" i="2"/>
  <c r="A308" i="3"/>
  <c r="D307" i="3"/>
  <c r="G306" i="4"/>
  <c r="H306" i="4" s="1"/>
  <c r="I306" i="4" s="1"/>
  <c r="J306" i="4" s="1"/>
  <c r="E307" i="4"/>
  <c r="A308" i="1"/>
  <c r="F307" i="1"/>
  <c r="E308" i="1" s="1"/>
  <c r="D307" i="1"/>
  <c r="G307" i="3"/>
  <c r="H307" i="3" s="1"/>
  <c r="I307" i="3" s="1"/>
  <c r="J307" i="3" s="1"/>
  <c r="E308" i="3"/>
  <c r="D308" i="4"/>
  <c r="A309" i="4"/>
  <c r="D309" i="2"/>
  <c r="A310" i="2"/>
  <c r="C309" i="3"/>
  <c r="C309" i="4"/>
  <c r="C439" i="2"/>
  <c r="G308" i="1" l="1"/>
  <c r="H308" i="1" s="1"/>
  <c r="I308" i="1" s="1"/>
  <c r="J308" i="1" s="1"/>
  <c r="C310" i="4"/>
  <c r="G308" i="3"/>
  <c r="H308" i="3" s="1"/>
  <c r="I308" i="3" s="1"/>
  <c r="J308" i="3" s="1"/>
  <c r="E309" i="3"/>
  <c r="A309" i="3"/>
  <c r="D308" i="3"/>
  <c r="C440" i="2"/>
  <c r="A310" i="4"/>
  <c r="D309" i="4"/>
  <c r="C310" i="3"/>
  <c r="C309" i="1"/>
  <c r="G308" i="2"/>
  <c r="H308" i="2" s="1"/>
  <c r="I308" i="2" s="1"/>
  <c r="J308" i="2" s="1"/>
  <c r="E309" i="2"/>
  <c r="A311" i="2"/>
  <c r="D310" i="2"/>
  <c r="F308" i="1"/>
  <c r="E309" i="1" s="1"/>
  <c r="A309" i="1"/>
  <c r="D308" i="1"/>
  <c r="G307" i="4"/>
  <c r="H307" i="4" s="1"/>
  <c r="I307" i="4" s="1"/>
  <c r="J307" i="4" s="1"/>
  <c r="E308" i="4"/>
  <c r="G309" i="1" l="1"/>
  <c r="H309" i="1" s="1"/>
  <c r="I309" i="1" s="1"/>
  <c r="J309" i="1" s="1"/>
  <c r="D309" i="3"/>
  <c r="A310" i="3"/>
  <c r="D309" i="1"/>
  <c r="A310" i="1"/>
  <c r="F309" i="1"/>
  <c r="E310" i="1" s="1"/>
  <c r="G309" i="3"/>
  <c r="H309" i="3" s="1"/>
  <c r="I309" i="3" s="1"/>
  <c r="J309" i="3" s="1"/>
  <c r="E310" i="3"/>
  <c r="C310" i="1"/>
  <c r="C311" i="3"/>
  <c r="C311" i="4"/>
  <c r="A312" i="2"/>
  <c r="D311" i="2"/>
  <c r="A311" i="4"/>
  <c r="D310" i="4"/>
  <c r="G309" i="2"/>
  <c r="H309" i="2" s="1"/>
  <c r="I309" i="2" s="1"/>
  <c r="J309" i="2" s="1"/>
  <c r="E310" i="2"/>
  <c r="C441" i="2"/>
  <c r="E309" i="4"/>
  <c r="G308" i="4"/>
  <c r="H308" i="4" s="1"/>
  <c r="I308" i="4" s="1"/>
  <c r="J308" i="4" s="1"/>
  <c r="G310" i="1" l="1"/>
  <c r="H310" i="1" s="1"/>
  <c r="I310" i="1" s="1"/>
  <c r="J310" i="1" s="1"/>
  <c r="C442" i="2"/>
  <c r="C312" i="4"/>
  <c r="G310" i="3"/>
  <c r="H310" i="3" s="1"/>
  <c r="I310" i="3" s="1"/>
  <c r="J310" i="3" s="1"/>
  <c r="E311" i="3"/>
  <c r="G309" i="4"/>
  <c r="H309" i="4" s="1"/>
  <c r="I309" i="4" s="1"/>
  <c r="J309" i="4" s="1"/>
  <c r="E310" i="4"/>
  <c r="D312" i="2"/>
  <c r="A313" i="2"/>
  <c r="F310" i="1"/>
  <c r="E311" i="1" s="1"/>
  <c r="D310" i="1"/>
  <c r="A311" i="1"/>
  <c r="G310" i="2"/>
  <c r="H310" i="2" s="1"/>
  <c r="I310" i="2" s="1"/>
  <c r="J310" i="2" s="1"/>
  <c r="E311" i="2"/>
  <c r="C312" i="3"/>
  <c r="A311" i="3"/>
  <c r="D310" i="3"/>
  <c r="C311" i="1"/>
  <c r="D311" i="4"/>
  <c r="A312" i="4"/>
  <c r="G311" i="1" l="1"/>
  <c r="H311" i="1" s="1"/>
  <c r="I311" i="1" s="1"/>
  <c r="J311" i="1" s="1"/>
  <c r="A313" i="4"/>
  <c r="D312" i="4"/>
  <c r="G311" i="2"/>
  <c r="H311" i="2" s="1"/>
  <c r="I311" i="2" s="1"/>
  <c r="J311" i="2" s="1"/>
  <c r="E312" i="2"/>
  <c r="C313" i="4"/>
  <c r="G311" i="3"/>
  <c r="H311" i="3" s="1"/>
  <c r="I311" i="3" s="1"/>
  <c r="J311" i="3" s="1"/>
  <c r="E312" i="3"/>
  <c r="C312" i="1"/>
  <c r="F311" i="1"/>
  <c r="E312" i="1" s="1"/>
  <c r="A312" i="1"/>
  <c r="D311" i="1"/>
  <c r="A314" i="2"/>
  <c r="D313" i="2"/>
  <c r="C443" i="2"/>
  <c r="A312" i="3"/>
  <c r="D311" i="3"/>
  <c r="C313" i="3"/>
  <c r="E311" i="4"/>
  <c r="G310" i="4"/>
  <c r="H310" i="4" s="1"/>
  <c r="I310" i="4" s="1"/>
  <c r="J310" i="4" s="1"/>
  <c r="G312" i="1" l="1"/>
  <c r="H312" i="1" s="1"/>
  <c r="I312" i="1" s="1"/>
  <c r="J312" i="1" s="1"/>
  <c r="E312" i="4"/>
  <c r="G311" i="4"/>
  <c r="H311" i="4" s="1"/>
  <c r="I311" i="4" s="1"/>
  <c r="J311" i="4" s="1"/>
  <c r="F312" i="1"/>
  <c r="E313" i="1" s="1"/>
  <c r="D312" i="1"/>
  <c r="A313" i="1"/>
  <c r="G312" i="2"/>
  <c r="H312" i="2" s="1"/>
  <c r="I312" i="2" s="1"/>
  <c r="J312" i="2" s="1"/>
  <c r="E313" i="2"/>
  <c r="D314" i="2"/>
  <c r="A315" i="2"/>
  <c r="C314" i="4"/>
  <c r="C314" i="3"/>
  <c r="C444" i="2"/>
  <c r="A314" i="4"/>
  <c r="D313" i="4"/>
  <c r="D312" i="3"/>
  <c r="A313" i="3"/>
  <c r="C313" i="1"/>
  <c r="G312" i="3"/>
  <c r="H312" i="3" s="1"/>
  <c r="I312" i="3" s="1"/>
  <c r="J312" i="3" s="1"/>
  <c r="E313" i="3"/>
  <c r="G313" i="1" l="1"/>
  <c r="H313" i="1" s="1"/>
  <c r="I313" i="1" s="1"/>
  <c r="J313" i="1" s="1"/>
  <c r="D313" i="1"/>
  <c r="A314" i="1"/>
  <c r="F313" i="1"/>
  <c r="E314" i="1" s="1"/>
  <c r="C314" i="1"/>
  <c r="C315" i="3"/>
  <c r="A314" i="3"/>
  <c r="D313" i="3"/>
  <c r="C315" i="4"/>
  <c r="D315" i="2"/>
  <c r="A316" i="2"/>
  <c r="G312" i="4"/>
  <c r="H312" i="4" s="1"/>
  <c r="I312" i="4" s="1"/>
  <c r="J312" i="4" s="1"/>
  <c r="E313" i="4"/>
  <c r="D314" i="4"/>
  <c r="A315" i="4"/>
  <c r="G313" i="3"/>
  <c r="H313" i="3" s="1"/>
  <c r="I313" i="3" s="1"/>
  <c r="J313" i="3" s="1"/>
  <c r="E314" i="3"/>
  <c r="C445" i="2"/>
  <c r="G313" i="2"/>
  <c r="H313" i="2" s="1"/>
  <c r="I313" i="2" s="1"/>
  <c r="J313" i="2" s="1"/>
  <c r="E314" i="2"/>
  <c r="G314" i="1" l="1"/>
  <c r="H314" i="1" s="1"/>
  <c r="I314" i="1" s="1"/>
  <c r="J314" i="1" s="1"/>
  <c r="C316" i="3"/>
  <c r="C446" i="2"/>
  <c r="A317" i="2"/>
  <c r="D316" i="2"/>
  <c r="C315" i="1"/>
  <c r="G314" i="3"/>
  <c r="H314" i="3" s="1"/>
  <c r="I314" i="3" s="1"/>
  <c r="J314" i="3" s="1"/>
  <c r="E315" i="3"/>
  <c r="C316" i="4"/>
  <c r="D314" i="1"/>
  <c r="A315" i="1"/>
  <c r="F314" i="1"/>
  <c r="E315" i="1" s="1"/>
  <c r="D315" i="4"/>
  <c r="A316" i="4"/>
  <c r="D314" i="3"/>
  <c r="A315" i="3"/>
  <c r="G314" i="2"/>
  <c r="H314" i="2" s="1"/>
  <c r="I314" i="2" s="1"/>
  <c r="J314" i="2" s="1"/>
  <c r="E315" i="2"/>
  <c r="E314" i="4"/>
  <c r="G313" i="4"/>
  <c r="H313" i="4" s="1"/>
  <c r="I313" i="4" s="1"/>
  <c r="J313" i="4" s="1"/>
  <c r="G315" i="1" l="1"/>
  <c r="H315" i="1" s="1"/>
  <c r="I315" i="1" s="1"/>
  <c r="J315" i="1" s="1"/>
  <c r="D317" i="2"/>
  <c r="A318" i="2"/>
  <c r="C317" i="4"/>
  <c r="C447" i="2"/>
  <c r="G315" i="2"/>
  <c r="H315" i="2" s="1"/>
  <c r="I315" i="2" s="1"/>
  <c r="J315" i="2" s="1"/>
  <c r="E316" i="2"/>
  <c r="A316" i="3"/>
  <c r="D315" i="3"/>
  <c r="G315" i="3"/>
  <c r="H315" i="3" s="1"/>
  <c r="I315" i="3" s="1"/>
  <c r="J315" i="3" s="1"/>
  <c r="E316" i="3"/>
  <c r="C317" i="3"/>
  <c r="A316" i="1"/>
  <c r="F315" i="1"/>
  <c r="E316" i="1" s="1"/>
  <c r="D315" i="1"/>
  <c r="D316" i="4"/>
  <c r="A317" i="4"/>
  <c r="G314" i="4"/>
  <c r="H314" i="4" s="1"/>
  <c r="I314" i="4" s="1"/>
  <c r="J314" i="4" s="1"/>
  <c r="E315" i="4"/>
  <c r="C316" i="1"/>
  <c r="G316" i="1" l="1"/>
  <c r="H316" i="1" s="1"/>
  <c r="I316" i="1" s="1"/>
  <c r="J316" i="1" s="1"/>
  <c r="C448" i="2"/>
  <c r="G315" i="4"/>
  <c r="H315" i="4" s="1"/>
  <c r="I315" i="4" s="1"/>
  <c r="J315" i="4" s="1"/>
  <c r="E316" i="4"/>
  <c r="C318" i="3"/>
  <c r="G316" i="3"/>
  <c r="H316" i="3" s="1"/>
  <c r="I316" i="3" s="1"/>
  <c r="J316" i="3" s="1"/>
  <c r="E317" i="3"/>
  <c r="C318" i="4"/>
  <c r="A318" i="4"/>
  <c r="D317" i="4"/>
  <c r="A319" i="2"/>
  <c r="D318" i="2"/>
  <c r="A317" i="3"/>
  <c r="D316" i="3"/>
  <c r="G316" i="2"/>
  <c r="H316" i="2" s="1"/>
  <c r="I316" i="2" s="1"/>
  <c r="J316" i="2" s="1"/>
  <c r="E317" i="2"/>
  <c r="C317" i="1"/>
  <c r="F316" i="1"/>
  <c r="E317" i="1" s="1"/>
  <c r="A317" i="1"/>
  <c r="D316" i="1"/>
  <c r="G317" i="1" l="1"/>
  <c r="H317" i="1" s="1"/>
  <c r="I317" i="1" s="1"/>
  <c r="J317" i="1" s="1"/>
  <c r="D317" i="3"/>
  <c r="A318" i="3"/>
  <c r="D317" i="1"/>
  <c r="A318" i="1"/>
  <c r="F317" i="1"/>
  <c r="E318" i="1" s="1"/>
  <c r="C319" i="3"/>
  <c r="A320" i="2"/>
  <c r="D319" i="2"/>
  <c r="E317" i="4"/>
  <c r="G316" i="4"/>
  <c r="H316" i="4" s="1"/>
  <c r="I316" i="4" s="1"/>
  <c r="J316" i="4" s="1"/>
  <c r="C318" i="1"/>
  <c r="A319" i="4"/>
  <c r="D318" i="4"/>
  <c r="G317" i="2"/>
  <c r="H317" i="2" s="1"/>
  <c r="I317" i="2" s="1"/>
  <c r="J317" i="2" s="1"/>
  <c r="E318" i="2"/>
  <c r="C319" i="4"/>
  <c r="C449" i="2"/>
  <c r="G317" i="3"/>
  <c r="H317" i="3" s="1"/>
  <c r="I317" i="3" s="1"/>
  <c r="J317" i="3" s="1"/>
  <c r="E318" i="3"/>
  <c r="G318" i="1" l="1"/>
  <c r="H318" i="1" s="1"/>
  <c r="I318" i="1" s="1"/>
  <c r="J318" i="1" s="1"/>
  <c r="D319" i="4"/>
  <c r="A320" i="4"/>
  <c r="C320" i="3"/>
  <c r="C450" i="2"/>
  <c r="C319" i="1"/>
  <c r="F318" i="1"/>
  <c r="E319" i="1" s="1"/>
  <c r="D318" i="1"/>
  <c r="A319" i="1"/>
  <c r="G318" i="3"/>
  <c r="H318" i="3" s="1"/>
  <c r="I318" i="3" s="1"/>
  <c r="J318" i="3" s="1"/>
  <c r="E319" i="3"/>
  <c r="C320" i="4"/>
  <c r="G317" i="4"/>
  <c r="H317" i="4" s="1"/>
  <c r="I317" i="4" s="1"/>
  <c r="J317" i="4" s="1"/>
  <c r="E318" i="4"/>
  <c r="A319" i="3"/>
  <c r="D318" i="3"/>
  <c r="G318" i="2"/>
  <c r="H318" i="2" s="1"/>
  <c r="I318" i="2" s="1"/>
  <c r="J318" i="2" s="1"/>
  <c r="E319" i="2"/>
  <c r="D320" i="2"/>
  <c r="A321" i="2"/>
  <c r="G319" i="1" l="1"/>
  <c r="H319" i="1" s="1"/>
  <c r="I319" i="1" s="1"/>
  <c r="J319" i="1" s="1"/>
  <c r="C451" i="2"/>
  <c r="E319" i="4"/>
  <c r="G318" i="4"/>
  <c r="H318" i="4" s="1"/>
  <c r="I318" i="4" s="1"/>
  <c r="J318" i="4" s="1"/>
  <c r="A322" i="2"/>
  <c r="D321" i="2"/>
  <c r="C321" i="4"/>
  <c r="C320" i="1"/>
  <c r="G319" i="2"/>
  <c r="H319" i="2" s="1"/>
  <c r="I319" i="2" s="1"/>
  <c r="J319" i="2" s="1"/>
  <c r="E320" i="2"/>
  <c r="G319" i="3"/>
  <c r="H319" i="3" s="1"/>
  <c r="I319" i="3" s="1"/>
  <c r="J319" i="3" s="1"/>
  <c r="E320" i="3"/>
  <c r="F319" i="1"/>
  <c r="E320" i="1" s="1"/>
  <c r="A320" i="1"/>
  <c r="D319" i="1"/>
  <c r="C321" i="3"/>
  <c r="A321" i="4"/>
  <c r="D320" i="4"/>
  <c r="A320" i="3"/>
  <c r="D319" i="3"/>
  <c r="G320" i="1" l="1"/>
  <c r="H320" i="1" s="1"/>
  <c r="D322" i="2"/>
  <c r="A323" i="2"/>
  <c r="D320" i="3"/>
  <c r="A321" i="3"/>
  <c r="G320" i="3"/>
  <c r="H320" i="3" s="1"/>
  <c r="I320" i="3" s="1"/>
  <c r="J320" i="3" s="1"/>
  <c r="E321" i="3"/>
  <c r="E320" i="4"/>
  <c r="G319" i="4"/>
  <c r="H319" i="4" s="1"/>
  <c r="I319" i="4" s="1"/>
  <c r="J319" i="4" s="1"/>
  <c r="G320" i="2"/>
  <c r="H320" i="2" s="1"/>
  <c r="I320" i="2" s="1"/>
  <c r="J320" i="2" s="1"/>
  <c r="E321" i="2"/>
  <c r="C322" i="3"/>
  <c r="C452" i="2"/>
  <c r="C321" i="1"/>
  <c r="I320" i="1"/>
  <c r="J320" i="1" s="1"/>
  <c r="A322" i="4"/>
  <c r="D321" i="4"/>
  <c r="F320" i="1"/>
  <c r="E321" i="1" s="1"/>
  <c r="D320" i="1"/>
  <c r="A321" i="1"/>
  <c r="C322" i="4"/>
  <c r="G321" i="1" l="1"/>
  <c r="H321" i="1" s="1"/>
  <c r="I321" i="1" s="1"/>
  <c r="J321" i="1" s="1"/>
  <c r="C453" i="2"/>
  <c r="A322" i="3"/>
  <c r="D321" i="3"/>
  <c r="G321" i="2"/>
  <c r="H321" i="2" s="1"/>
  <c r="I321" i="2" s="1"/>
  <c r="J321" i="2" s="1"/>
  <c r="E322" i="2"/>
  <c r="D323" i="2"/>
  <c r="A324" i="2"/>
  <c r="G321" i="3"/>
  <c r="H321" i="3" s="1"/>
  <c r="I321" i="3" s="1"/>
  <c r="J321" i="3" s="1"/>
  <c r="E322" i="3"/>
  <c r="D321" i="1"/>
  <c r="A322" i="1"/>
  <c r="F321" i="1"/>
  <c r="E322" i="1" s="1"/>
  <c r="C323" i="3"/>
  <c r="D322" i="4"/>
  <c r="A323" i="4"/>
  <c r="C323" i="4"/>
  <c r="C322" i="1"/>
  <c r="G320" i="4"/>
  <c r="H320" i="4" s="1"/>
  <c r="I320" i="4" s="1"/>
  <c r="J320" i="4" s="1"/>
  <c r="E321" i="4"/>
  <c r="G322" i="1" l="1"/>
  <c r="H322" i="1" s="1"/>
  <c r="I322" i="1" s="1"/>
  <c r="J322" i="1" s="1"/>
  <c r="D322" i="3"/>
  <c r="A323" i="3"/>
  <c r="C324" i="3"/>
  <c r="G322" i="2"/>
  <c r="H322" i="2" s="1"/>
  <c r="I322" i="2" s="1"/>
  <c r="J322" i="2" s="1"/>
  <c r="E323" i="2"/>
  <c r="C323" i="1"/>
  <c r="D322" i="1"/>
  <c r="A323" i="1"/>
  <c r="F322" i="1"/>
  <c r="E323" i="1" s="1"/>
  <c r="C324" i="4"/>
  <c r="G322" i="3"/>
  <c r="H322" i="3" s="1"/>
  <c r="I322" i="3" s="1"/>
  <c r="J322" i="3" s="1"/>
  <c r="E323" i="3"/>
  <c r="C454" i="2"/>
  <c r="D323" i="4"/>
  <c r="A324" i="4"/>
  <c r="A325" i="2"/>
  <c r="D324" i="2"/>
  <c r="E322" i="4"/>
  <c r="G321" i="4"/>
  <c r="H321" i="4" s="1"/>
  <c r="I321" i="4" s="1"/>
  <c r="J321" i="4" s="1"/>
  <c r="G323" i="1" l="1"/>
  <c r="H323" i="1" s="1"/>
  <c r="I323" i="1" s="1"/>
  <c r="J323" i="1" s="1"/>
  <c r="G322" i="4"/>
  <c r="H322" i="4" s="1"/>
  <c r="I322" i="4" s="1"/>
  <c r="J322" i="4" s="1"/>
  <c r="E323" i="4"/>
  <c r="G323" i="2"/>
  <c r="H323" i="2" s="1"/>
  <c r="I323" i="2" s="1"/>
  <c r="J323" i="2" s="1"/>
  <c r="E324" i="2"/>
  <c r="C325" i="4"/>
  <c r="C325" i="3"/>
  <c r="D325" i="2"/>
  <c r="A326" i="2"/>
  <c r="D324" i="4"/>
  <c r="A325" i="4"/>
  <c r="A324" i="1"/>
  <c r="F323" i="1"/>
  <c r="E324" i="1" s="1"/>
  <c r="D323" i="1"/>
  <c r="A324" i="3"/>
  <c r="D323" i="3"/>
  <c r="C455" i="2"/>
  <c r="G323" i="3"/>
  <c r="H323" i="3" s="1"/>
  <c r="I323" i="3" s="1"/>
  <c r="J323" i="3" s="1"/>
  <c r="E324" i="3"/>
  <c r="C324" i="1"/>
  <c r="G324" i="1" l="1"/>
  <c r="H324" i="1" s="1"/>
  <c r="C326" i="3"/>
  <c r="C326" i="4"/>
  <c r="G324" i="3"/>
  <c r="H324" i="3" s="1"/>
  <c r="I324" i="3" s="1"/>
  <c r="J324" i="3" s="1"/>
  <c r="E325" i="3"/>
  <c r="F324" i="1"/>
  <c r="E325" i="1" s="1"/>
  <c r="A325" i="1"/>
  <c r="D324" i="1"/>
  <c r="D325" i="4"/>
  <c r="A326" i="4"/>
  <c r="G324" i="2"/>
  <c r="H324" i="2" s="1"/>
  <c r="I324" i="2" s="1"/>
  <c r="J324" i="2" s="1"/>
  <c r="E325" i="2"/>
  <c r="C456" i="2"/>
  <c r="D326" i="2"/>
  <c r="A327" i="2"/>
  <c r="E324" i="4"/>
  <c r="G323" i="4"/>
  <c r="H323" i="4" s="1"/>
  <c r="I323" i="4" s="1"/>
  <c r="J323" i="4" s="1"/>
  <c r="A325" i="3"/>
  <c r="D324" i="3"/>
  <c r="I324" i="1"/>
  <c r="J324" i="1" s="1"/>
  <c r="C325" i="1"/>
  <c r="G325" i="1" l="1"/>
  <c r="H325" i="1" s="1"/>
  <c r="I325" i="1" s="1"/>
  <c r="J325" i="1" s="1"/>
  <c r="G325" i="2"/>
  <c r="H325" i="2" s="1"/>
  <c r="I325" i="2" s="1"/>
  <c r="J325" i="2" s="1"/>
  <c r="E326" i="2"/>
  <c r="C327" i="4"/>
  <c r="A327" i="4"/>
  <c r="D326" i="4"/>
  <c r="C327" i="3"/>
  <c r="G325" i="3"/>
  <c r="H325" i="3" s="1"/>
  <c r="I325" i="3" s="1"/>
  <c r="J325" i="3" s="1"/>
  <c r="E326" i="3"/>
  <c r="D325" i="3"/>
  <c r="A326" i="3"/>
  <c r="G324" i="4"/>
  <c r="H324" i="4" s="1"/>
  <c r="I324" i="4" s="1"/>
  <c r="J324" i="4" s="1"/>
  <c r="E325" i="4"/>
  <c r="A328" i="2"/>
  <c r="D327" i="2"/>
  <c r="D325" i="1"/>
  <c r="F325" i="1"/>
  <c r="E326" i="1" s="1"/>
  <c r="A326" i="1"/>
  <c r="C326" i="1"/>
  <c r="C457" i="2"/>
  <c r="G326" i="1" l="1"/>
  <c r="H326" i="1" s="1"/>
  <c r="I326" i="1" s="1"/>
  <c r="J326" i="1" s="1"/>
  <c r="A328" i="4"/>
  <c r="D327" i="4"/>
  <c r="A327" i="3"/>
  <c r="D326" i="3"/>
  <c r="C328" i="4"/>
  <c r="A329" i="2"/>
  <c r="D328" i="2"/>
  <c r="C328" i="3"/>
  <c r="E326" i="4"/>
  <c r="G325" i="4"/>
  <c r="H325" i="4" s="1"/>
  <c r="I325" i="4" s="1"/>
  <c r="J325" i="4" s="1"/>
  <c r="C327" i="1"/>
  <c r="F326" i="1"/>
  <c r="E327" i="1" s="1"/>
  <c r="D326" i="1"/>
  <c r="A327" i="1"/>
  <c r="G326" i="3"/>
  <c r="H326" i="3" s="1"/>
  <c r="I326" i="3" s="1"/>
  <c r="J326" i="3" s="1"/>
  <c r="E327" i="3"/>
  <c r="G326" i="2"/>
  <c r="H326" i="2" s="1"/>
  <c r="I326" i="2" s="1"/>
  <c r="J326" i="2" s="1"/>
  <c r="E327" i="2"/>
  <c r="C458" i="2"/>
  <c r="G327" i="1" l="1"/>
  <c r="H327" i="1" s="1"/>
  <c r="I327" i="1" s="1"/>
  <c r="J327" i="1" s="1"/>
  <c r="A330" i="2"/>
  <c r="D329" i="2"/>
  <c r="C329" i="4"/>
  <c r="C459" i="2"/>
  <c r="E328" i="2"/>
  <c r="G327" i="2"/>
  <c r="H327" i="2" s="1"/>
  <c r="I327" i="2" s="1"/>
  <c r="J327" i="2" s="1"/>
  <c r="C328" i="1"/>
  <c r="G327" i="3"/>
  <c r="H327" i="3" s="1"/>
  <c r="I327" i="3" s="1"/>
  <c r="J327" i="3" s="1"/>
  <c r="E328" i="3"/>
  <c r="G326" i="4"/>
  <c r="H326" i="4" s="1"/>
  <c r="I326" i="4" s="1"/>
  <c r="J326" i="4" s="1"/>
  <c r="E327" i="4"/>
  <c r="A328" i="3"/>
  <c r="D327" i="3"/>
  <c r="C329" i="3"/>
  <c r="F327" i="1"/>
  <c r="E328" i="1" s="1"/>
  <c r="A328" i="1"/>
  <c r="D327" i="1"/>
  <c r="A329" i="4"/>
  <c r="D328" i="4"/>
  <c r="G328" i="1" l="1"/>
  <c r="H328" i="1" s="1"/>
  <c r="I328" i="1" s="1"/>
  <c r="J328" i="1" s="1"/>
  <c r="F328" i="1"/>
  <c r="E329" i="1" s="1"/>
  <c r="D328" i="1"/>
  <c r="A329" i="1"/>
  <c r="G328" i="3"/>
  <c r="H328" i="3" s="1"/>
  <c r="I328" i="3" s="1"/>
  <c r="J328" i="3" s="1"/>
  <c r="E329" i="3"/>
  <c r="C330" i="4"/>
  <c r="A329" i="3"/>
  <c r="D328" i="3"/>
  <c r="G328" i="2"/>
  <c r="H328" i="2" s="1"/>
  <c r="I328" i="2" s="1"/>
  <c r="J328" i="2" s="1"/>
  <c r="E329" i="2"/>
  <c r="A330" i="4"/>
  <c r="D329" i="4"/>
  <c r="G327" i="4"/>
  <c r="H327" i="4" s="1"/>
  <c r="I327" i="4" s="1"/>
  <c r="J327" i="4" s="1"/>
  <c r="E328" i="4"/>
  <c r="C460" i="2"/>
  <c r="C329" i="1"/>
  <c r="C330" i="3"/>
  <c r="D330" i="2"/>
  <c r="A331" i="2"/>
  <c r="G329" i="1" l="1"/>
  <c r="H329" i="1" s="1"/>
  <c r="I329" i="1" s="1"/>
  <c r="J329" i="1" s="1"/>
  <c r="G329" i="3"/>
  <c r="H329" i="3" s="1"/>
  <c r="I329" i="3" s="1"/>
  <c r="J329" i="3" s="1"/>
  <c r="E330" i="3"/>
  <c r="C331" i="3"/>
  <c r="A331" i="4"/>
  <c r="D330" i="4"/>
  <c r="G329" i="2"/>
  <c r="H329" i="2" s="1"/>
  <c r="I329" i="2" s="1"/>
  <c r="J329" i="2" s="1"/>
  <c r="E330" i="2"/>
  <c r="D329" i="1"/>
  <c r="A330" i="1"/>
  <c r="F329" i="1"/>
  <c r="E330" i="1" s="1"/>
  <c r="C330" i="1"/>
  <c r="C461" i="2"/>
  <c r="A330" i="3"/>
  <c r="D329" i="3"/>
  <c r="A332" i="2"/>
  <c r="D331" i="2"/>
  <c r="E329" i="4"/>
  <c r="G328" i="4"/>
  <c r="H328" i="4" s="1"/>
  <c r="I328" i="4" s="1"/>
  <c r="J328" i="4" s="1"/>
  <c r="C331" i="4"/>
  <c r="G330" i="1" l="1"/>
  <c r="H330" i="1" s="1"/>
  <c r="A332" i="4"/>
  <c r="D331" i="4"/>
  <c r="A331" i="3"/>
  <c r="D330" i="3"/>
  <c r="G330" i="2"/>
  <c r="H330" i="2" s="1"/>
  <c r="I330" i="2" s="1"/>
  <c r="J330" i="2" s="1"/>
  <c r="E331" i="2"/>
  <c r="C462" i="2"/>
  <c r="E330" i="4"/>
  <c r="G329" i="4"/>
  <c r="H329" i="4" s="1"/>
  <c r="I329" i="4" s="1"/>
  <c r="J329" i="4" s="1"/>
  <c r="C331" i="1"/>
  <c r="I330" i="1"/>
  <c r="J330" i="1" s="1"/>
  <c r="C332" i="3"/>
  <c r="C332" i="4"/>
  <c r="D332" i="2"/>
  <c r="A333" i="2"/>
  <c r="D330" i="1"/>
  <c r="A331" i="1"/>
  <c r="F330" i="1"/>
  <c r="E331" i="1" s="1"/>
  <c r="G330" i="3"/>
  <c r="H330" i="3" s="1"/>
  <c r="I330" i="3" s="1"/>
  <c r="J330" i="3" s="1"/>
  <c r="E331" i="3"/>
  <c r="G331" i="1" l="1"/>
  <c r="H331" i="1" s="1"/>
  <c r="I331" i="1" s="1"/>
  <c r="J331" i="1" s="1"/>
  <c r="C332" i="1"/>
  <c r="A332" i="3"/>
  <c r="D331" i="3"/>
  <c r="C333" i="3"/>
  <c r="G331" i="2"/>
  <c r="H331" i="2" s="1"/>
  <c r="I331" i="2" s="1"/>
  <c r="J331" i="2" s="1"/>
  <c r="E332" i="2"/>
  <c r="A332" i="1"/>
  <c r="F331" i="1"/>
  <c r="E332" i="1" s="1"/>
  <c r="D331" i="1"/>
  <c r="A333" i="4"/>
  <c r="D332" i="4"/>
  <c r="G330" i="4"/>
  <c r="H330" i="4" s="1"/>
  <c r="I330" i="4" s="1"/>
  <c r="J330" i="4" s="1"/>
  <c r="E331" i="4"/>
  <c r="C333" i="4"/>
  <c r="C463" i="2"/>
  <c r="D333" i="2"/>
  <c r="A334" i="2"/>
  <c r="G331" i="3"/>
  <c r="H331" i="3" s="1"/>
  <c r="I331" i="3" s="1"/>
  <c r="J331" i="3" s="1"/>
  <c r="E332" i="3"/>
  <c r="G332" i="1" l="1"/>
  <c r="H332" i="1" s="1"/>
  <c r="I332" i="1" s="1"/>
  <c r="J332" i="1" s="1"/>
  <c r="C334" i="3"/>
  <c r="D334" i="2"/>
  <c r="A335" i="2"/>
  <c r="A333" i="3"/>
  <c r="D332" i="3"/>
  <c r="C333" i="1"/>
  <c r="F332" i="1"/>
  <c r="E333" i="1" s="1"/>
  <c r="D332" i="1"/>
  <c r="A333" i="1"/>
  <c r="G332" i="3"/>
  <c r="H332" i="3" s="1"/>
  <c r="I332" i="3" s="1"/>
  <c r="J332" i="3" s="1"/>
  <c r="E333" i="3"/>
  <c r="G331" i="4"/>
  <c r="H331" i="4" s="1"/>
  <c r="I331" i="4" s="1"/>
  <c r="J331" i="4" s="1"/>
  <c r="E332" i="4"/>
  <c r="A334" i="4"/>
  <c r="D333" i="4"/>
  <c r="C464" i="2"/>
  <c r="C334" i="4"/>
  <c r="G332" i="2"/>
  <c r="H332" i="2" s="1"/>
  <c r="I332" i="2" s="1"/>
  <c r="J332" i="2" s="1"/>
  <c r="E333" i="2"/>
  <c r="G333" i="1" l="1"/>
  <c r="H333" i="1" s="1"/>
  <c r="I333" i="1" s="1"/>
  <c r="J333" i="1" s="1"/>
  <c r="C335" i="4"/>
  <c r="G333" i="3"/>
  <c r="H333" i="3" s="1"/>
  <c r="I333" i="3" s="1"/>
  <c r="J333" i="3" s="1"/>
  <c r="E334" i="3"/>
  <c r="A334" i="3"/>
  <c r="D333" i="3"/>
  <c r="A336" i="2"/>
  <c r="D335" i="2"/>
  <c r="C335" i="3"/>
  <c r="C465" i="2"/>
  <c r="D333" i="1"/>
  <c r="A334" i="1"/>
  <c r="F333" i="1"/>
  <c r="E334" i="1" s="1"/>
  <c r="A335" i="4"/>
  <c r="D334" i="4"/>
  <c r="C334" i="1"/>
  <c r="G333" i="2"/>
  <c r="H333" i="2" s="1"/>
  <c r="I333" i="2" s="1"/>
  <c r="J333" i="2" s="1"/>
  <c r="E334" i="2"/>
  <c r="G332" i="4"/>
  <c r="H332" i="4" s="1"/>
  <c r="I332" i="4" s="1"/>
  <c r="J332" i="4" s="1"/>
  <c r="E333" i="4"/>
  <c r="G334" i="1" l="1"/>
  <c r="H334" i="1" s="1"/>
  <c r="I334" i="1" s="1"/>
  <c r="J334" i="1" s="1"/>
  <c r="A335" i="3"/>
  <c r="D334" i="3"/>
  <c r="G334" i="2"/>
  <c r="H334" i="2" s="1"/>
  <c r="I334" i="2" s="1"/>
  <c r="J334" i="2" s="1"/>
  <c r="E335" i="2"/>
  <c r="C466" i="2"/>
  <c r="G334" i="3"/>
  <c r="H334" i="3" s="1"/>
  <c r="I334" i="3" s="1"/>
  <c r="J334" i="3" s="1"/>
  <c r="E335" i="3"/>
  <c r="C335" i="1"/>
  <c r="C336" i="4"/>
  <c r="C336" i="3"/>
  <c r="F334" i="1"/>
  <c r="E335" i="1" s="1"/>
  <c r="D334" i="1"/>
  <c r="A335" i="1"/>
  <c r="A336" i="4"/>
  <c r="D335" i="4"/>
  <c r="G333" i="4"/>
  <c r="H333" i="4" s="1"/>
  <c r="I333" i="4" s="1"/>
  <c r="J333" i="4" s="1"/>
  <c r="E334" i="4"/>
  <c r="A337" i="2"/>
  <c r="D336" i="2"/>
  <c r="G335" i="1" l="1"/>
  <c r="H335" i="1" s="1"/>
  <c r="A338" i="2"/>
  <c r="D337" i="2"/>
  <c r="C337" i="3"/>
  <c r="C467" i="2"/>
  <c r="G334" i="4"/>
  <c r="H334" i="4" s="1"/>
  <c r="I334" i="4" s="1"/>
  <c r="J334" i="4" s="1"/>
  <c r="E335" i="4"/>
  <c r="C337" i="4"/>
  <c r="G335" i="2"/>
  <c r="H335" i="2" s="1"/>
  <c r="I335" i="2" s="1"/>
  <c r="J335" i="2" s="1"/>
  <c r="E336" i="2"/>
  <c r="A337" i="4"/>
  <c r="D336" i="4"/>
  <c r="F335" i="1"/>
  <c r="E336" i="1" s="1"/>
  <c r="A336" i="1"/>
  <c r="D335" i="1"/>
  <c r="C336" i="1"/>
  <c r="I335" i="1"/>
  <c r="J335" i="1" s="1"/>
  <c r="A336" i="3"/>
  <c r="D335" i="3"/>
  <c r="G335" i="3"/>
  <c r="H335" i="3" s="1"/>
  <c r="I335" i="3" s="1"/>
  <c r="J335" i="3" s="1"/>
  <c r="E336" i="3"/>
  <c r="G336" i="1" l="1"/>
  <c r="H336" i="1" s="1"/>
  <c r="A338" i="4"/>
  <c r="D337" i="4"/>
  <c r="C468" i="2"/>
  <c r="A337" i="3"/>
  <c r="D336" i="3"/>
  <c r="G336" i="2"/>
  <c r="H336" i="2" s="1"/>
  <c r="I336" i="2" s="1"/>
  <c r="J336" i="2" s="1"/>
  <c r="E337" i="2"/>
  <c r="G336" i="3"/>
  <c r="H336" i="3" s="1"/>
  <c r="I336" i="3" s="1"/>
  <c r="J336" i="3" s="1"/>
  <c r="E337" i="3"/>
  <c r="C338" i="3"/>
  <c r="C337" i="1"/>
  <c r="I336" i="1"/>
  <c r="J336" i="1" s="1"/>
  <c r="C338" i="4"/>
  <c r="D338" i="2"/>
  <c r="A339" i="2"/>
  <c r="F336" i="1"/>
  <c r="E337" i="1" s="1"/>
  <c r="D336" i="1"/>
  <c r="A337" i="1"/>
  <c r="G335" i="4"/>
  <c r="H335" i="4" s="1"/>
  <c r="I335" i="4" s="1"/>
  <c r="J335" i="4" s="1"/>
  <c r="E336" i="4"/>
  <c r="G337" i="1" l="1"/>
  <c r="H337" i="1" s="1"/>
  <c r="I337" i="1" s="1"/>
  <c r="J337" i="1" s="1"/>
  <c r="C339" i="3"/>
  <c r="C469" i="2"/>
  <c r="D337" i="1"/>
  <c r="A338" i="1"/>
  <c r="F337" i="1"/>
  <c r="E338" i="1" s="1"/>
  <c r="C338" i="1"/>
  <c r="A338" i="3"/>
  <c r="D337" i="3"/>
  <c r="A340" i="2"/>
  <c r="D339" i="2"/>
  <c r="G337" i="3"/>
  <c r="H337" i="3" s="1"/>
  <c r="I337" i="3" s="1"/>
  <c r="J337" i="3" s="1"/>
  <c r="E338" i="3"/>
  <c r="A339" i="4"/>
  <c r="D338" i="4"/>
  <c r="C339" i="4"/>
  <c r="G337" i="2"/>
  <c r="H337" i="2" s="1"/>
  <c r="I337" i="2" s="1"/>
  <c r="J337" i="2" s="1"/>
  <c r="E338" i="2"/>
  <c r="G336" i="4"/>
  <c r="H336" i="4" s="1"/>
  <c r="I336" i="4" s="1"/>
  <c r="J336" i="4" s="1"/>
  <c r="E337" i="4"/>
  <c r="G338" i="1" l="1"/>
  <c r="H338" i="1" s="1"/>
  <c r="I338" i="1" s="1"/>
  <c r="J338" i="1" s="1"/>
  <c r="A341" i="2"/>
  <c r="D340" i="2"/>
  <c r="C470" i="2"/>
  <c r="D338" i="1"/>
  <c r="A339" i="1"/>
  <c r="F338" i="1"/>
  <c r="E339" i="1" s="1"/>
  <c r="G338" i="2"/>
  <c r="H338" i="2" s="1"/>
  <c r="I338" i="2" s="1"/>
  <c r="J338" i="2" s="1"/>
  <c r="E339" i="2"/>
  <c r="C340" i="4"/>
  <c r="A339" i="3"/>
  <c r="D338" i="3"/>
  <c r="C340" i="3"/>
  <c r="A340" i="4"/>
  <c r="D339" i="4"/>
  <c r="C339" i="1"/>
  <c r="G337" i="4"/>
  <c r="H337" i="4" s="1"/>
  <c r="I337" i="4" s="1"/>
  <c r="J337" i="4" s="1"/>
  <c r="E338" i="4"/>
  <c r="G338" i="3"/>
  <c r="H338" i="3" s="1"/>
  <c r="I338" i="3" s="1"/>
  <c r="J338" i="3" s="1"/>
  <c r="E339" i="3"/>
  <c r="G339" i="1" l="1"/>
  <c r="H339" i="1" s="1"/>
  <c r="I339" i="1" s="1"/>
  <c r="J339" i="1" s="1"/>
  <c r="A340" i="3"/>
  <c r="D339" i="3"/>
  <c r="C471" i="2"/>
  <c r="C341" i="4"/>
  <c r="G339" i="2"/>
  <c r="H339" i="2" s="1"/>
  <c r="I339" i="2" s="1"/>
  <c r="J339" i="2" s="1"/>
  <c r="E340" i="2"/>
  <c r="D341" i="2"/>
  <c r="A342" i="2"/>
  <c r="A340" i="1"/>
  <c r="F339" i="1"/>
  <c r="E340" i="1" s="1"/>
  <c r="D339" i="1"/>
  <c r="G338" i="4"/>
  <c r="H338" i="4" s="1"/>
  <c r="I338" i="4" s="1"/>
  <c r="J338" i="4" s="1"/>
  <c r="E339" i="4"/>
  <c r="C340" i="1"/>
  <c r="A341" i="4"/>
  <c r="D340" i="4"/>
  <c r="G339" i="3"/>
  <c r="H339" i="3" s="1"/>
  <c r="I339" i="3" s="1"/>
  <c r="J339" i="3" s="1"/>
  <c r="E340" i="3"/>
  <c r="C341" i="3"/>
  <c r="G340" i="1" l="1"/>
  <c r="H340" i="1" s="1"/>
  <c r="C342" i="4"/>
  <c r="C472" i="2"/>
  <c r="F340" i="1"/>
  <c r="E341" i="1" s="1"/>
  <c r="A341" i="1"/>
  <c r="D340" i="1"/>
  <c r="C342" i="3"/>
  <c r="G340" i="3"/>
  <c r="H340" i="3" s="1"/>
  <c r="I340" i="3" s="1"/>
  <c r="J340" i="3" s="1"/>
  <c r="E341" i="3"/>
  <c r="A342" i="4"/>
  <c r="D341" i="4"/>
  <c r="D342" i="2"/>
  <c r="A343" i="2"/>
  <c r="I340" i="1"/>
  <c r="J340" i="1" s="1"/>
  <c r="C341" i="1"/>
  <c r="A341" i="3"/>
  <c r="D340" i="3"/>
  <c r="G340" i="2"/>
  <c r="H340" i="2" s="1"/>
  <c r="I340" i="2" s="1"/>
  <c r="J340" i="2" s="1"/>
  <c r="E341" i="2"/>
  <c r="G339" i="4"/>
  <c r="H339" i="4" s="1"/>
  <c r="I339" i="4" s="1"/>
  <c r="J339" i="4" s="1"/>
  <c r="E340" i="4"/>
  <c r="G341" i="1" l="1"/>
  <c r="H341" i="1" s="1"/>
  <c r="I341" i="1" s="1"/>
  <c r="J341" i="1" s="1"/>
  <c r="D341" i="1"/>
  <c r="A342" i="1"/>
  <c r="F341" i="1"/>
  <c r="E342" i="1" s="1"/>
  <c r="G341" i="2"/>
  <c r="H341" i="2" s="1"/>
  <c r="I341" i="2" s="1"/>
  <c r="J341" i="2" s="1"/>
  <c r="E342" i="2"/>
  <c r="A343" i="4"/>
  <c r="D342" i="4"/>
  <c r="C473" i="2"/>
  <c r="G341" i="3"/>
  <c r="H341" i="3" s="1"/>
  <c r="I341" i="3" s="1"/>
  <c r="J341" i="3" s="1"/>
  <c r="E342" i="3"/>
  <c r="C343" i="4"/>
  <c r="A342" i="3"/>
  <c r="D341" i="3"/>
  <c r="C342" i="1"/>
  <c r="C343" i="3"/>
  <c r="G340" i="4"/>
  <c r="H340" i="4" s="1"/>
  <c r="I340" i="4" s="1"/>
  <c r="J340" i="4" s="1"/>
  <c r="E341" i="4"/>
  <c r="A344" i="2"/>
  <c r="D343" i="2"/>
  <c r="G342" i="1" l="1"/>
  <c r="H342" i="1" s="1"/>
  <c r="I342" i="1" s="1"/>
  <c r="J342" i="1" s="1"/>
  <c r="A345" i="2"/>
  <c r="D344" i="2"/>
  <c r="A343" i="3"/>
  <c r="D342" i="3"/>
  <c r="A344" i="4"/>
  <c r="D343" i="4"/>
  <c r="G341" i="4"/>
  <c r="H341" i="4" s="1"/>
  <c r="I341" i="4" s="1"/>
  <c r="J341" i="4" s="1"/>
  <c r="E342" i="4"/>
  <c r="C344" i="4"/>
  <c r="G342" i="2"/>
  <c r="H342" i="2" s="1"/>
  <c r="I342" i="2" s="1"/>
  <c r="J342" i="2" s="1"/>
  <c r="E343" i="2"/>
  <c r="G342" i="3"/>
  <c r="H342" i="3" s="1"/>
  <c r="I342" i="3" s="1"/>
  <c r="J342" i="3" s="1"/>
  <c r="E343" i="3"/>
  <c r="F342" i="1"/>
  <c r="E343" i="1" s="1"/>
  <c r="D342" i="1"/>
  <c r="A343" i="1"/>
  <c r="C344" i="3"/>
  <c r="C343" i="1"/>
  <c r="C474" i="2"/>
  <c r="G343" i="1" l="1"/>
  <c r="H343" i="1" s="1"/>
  <c r="I343" i="1" s="1"/>
  <c r="J343" i="1" s="1"/>
  <c r="A345" i="4"/>
  <c r="D344" i="4"/>
  <c r="C475" i="2"/>
  <c r="G343" i="3"/>
  <c r="H343" i="3" s="1"/>
  <c r="I343" i="3" s="1"/>
  <c r="J343" i="3" s="1"/>
  <c r="E344" i="3"/>
  <c r="A344" i="3"/>
  <c r="D343" i="3"/>
  <c r="C344" i="1"/>
  <c r="G343" i="2"/>
  <c r="H343" i="2" s="1"/>
  <c r="I343" i="2" s="1"/>
  <c r="J343" i="2" s="1"/>
  <c r="E344" i="2"/>
  <c r="C345" i="3"/>
  <c r="C345" i="4"/>
  <c r="F343" i="1"/>
  <c r="E344" i="1" s="1"/>
  <c r="A344" i="1"/>
  <c r="D343" i="1"/>
  <c r="A346" i="2"/>
  <c r="D345" i="2"/>
  <c r="G342" i="4"/>
  <c r="H342" i="4" s="1"/>
  <c r="I342" i="4" s="1"/>
  <c r="J342" i="4" s="1"/>
  <c r="E343" i="4"/>
  <c r="G344" i="1" l="1"/>
  <c r="H344" i="1" s="1"/>
  <c r="I344" i="1" s="1"/>
  <c r="J344" i="1" s="1"/>
  <c r="G344" i="3"/>
  <c r="H344" i="3" s="1"/>
  <c r="I344" i="3" s="1"/>
  <c r="J344" i="3" s="1"/>
  <c r="E345" i="3"/>
  <c r="C346" i="3"/>
  <c r="D346" i="2"/>
  <c r="A347" i="2"/>
  <c r="G344" i="2"/>
  <c r="H344" i="2" s="1"/>
  <c r="I344" i="2" s="1"/>
  <c r="J344" i="2" s="1"/>
  <c r="E345" i="2"/>
  <c r="C476" i="2"/>
  <c r="F344" i="1"/>
  <c r="E345" i="1" s="1"/>
  <c r="D344" i="1"/>
  <c r="A345" i="1"/>
  <c r="C345" i="1"/>
  <c r="A346" i="4"/>
  <c r="D345" i="4"/>
  <c r="C346" i="4"/>
  <c r="G343" i="4"/>
  <c r="H343" i="4" s="1"/>
  <c r="I343" i="4" s="1"/>
  <c r="J343" i="4" s="1"/>
  <c r="E344" i="4"/>
  <c r="A345" i="3"/>
  <c r="D344" i="3"/>
  <c r="G345" i="1" l="1"/>
  <c r="H345" i="1" s="1"/>
  <c r="I345" i="1" s="1"/>
  <c r="J345" i="1" s="1"/>
  <c r="A346" i="3"/>
  <c r="D345" i="3"/>
  <c r="C346" i="1"/>
  <c r="A348" i="2"/>
  <c r="D347" i="2"/>
  <c r="C347" i="3"/>
  <c r="C347" i="4"/>
  <c r="A347" i="4"/>
  <c r="D346" i="4"/>
  <c r="G345" i="2"/>
  <c r="H345" i="2" s="1"/>
  <c r="I345" i="2" s="1"/>
  <c r="J345" i="2" s="1"/>
  <c r="E346" i="2"/>
  <c r="G344" i="4"/>
  <c r="H344" i="4" s="1"/>
  <c r="I344" i="4" s="1"/>
  <c r="J344" i="4" s="1"/>
  <c r="E345" i="4"/>
  <c r="D345" i="1"/>
  <c r="A346" i="1"/>
  <c r="F345" i="1"/>
  <c r="E346" i="1" s="1"/>
  <c r="C477" i="2"/>
  <c r="G345" i="3"/>
  <c r="H345" i="3" s="1"/>
  <c r="I345" i="3" s="1"/>
  <c r="J345" i="3" s="1"/>
  <c r="E346" i="3"/>
  <c r="G346" i="1" l="1"/>
  <c r="H346" i="1" s="1"/>
  <c r="I346" i="1" s="1"/>
  <c r="J346" i="1" s="1"/>
  <c r="G346" i="2"/>
  <c r="H346" i="2" s="1"/>
  <c r="I346" i="2" s="1"/>
  <c r="J346" i="2" s="1"/>
  <c r="E347" i="2"/>
  <c r="D348" i="2"/>
  <c r="A349" i="2"/>
  <c r="C478" i="2"/>
  <c r="A348" i="4"/>
  <c r="D347" i="4"/>
  <c r="C347" i="1"/>
  <c r="G346" i="3"/>
  <c r="H346" i="3" s="1"/>
  <c r="I346" i="3" s="1"/>
  <c r="J346" i="3" s="1"/>
  <c r="E347" i="3"/>
  <c r="A347" i="3"/>
  <c r="D346" i="3"/>
  <c r="D346" i="1"/>
  <c r="A347" i="1"/>
  <c r="F346" i="1"/>
  <c r="E347" i="1" s="1"/>
  <c r="C348" i="4"/>
  <c r="G345" i="4"/>
  <c r="H345" i="4" s="1"/>
  <c r="I345" i="4" s="1"/>
  <c r="J345" i="4" s="1"/>
  <c r="E346" i="4"/>
  <c r="C348" i="3"/>
  <c r="G347" i="1" l="1"/>
  <c r="H347" i="1" s="1"/>
  <c r="I347" i="1" s="1"/>
  <c r="J347" i="1" s="1"/>
  <c r="C479" i="2"/>
  <c r="G346" i="4"/>
  <c r="H346" i="4" s="1"/>
  <c r="I346" i="4" s="1"/>
  <c r="J346" i="4" s="1"/>
  <c r="E347" i="4"/>
  <c r="A348" i="3"/>
  <c r="D347" i="3"/>
  <c r="G347" i="3"/>
  <c r="H347" i="3" s="1"/>
  <c r="I347" i="3" s="1"/>
  <c r="J347" i="3" s="1"/>
  <c r="E348" i="3"/>
  <c r="D349" i="2"/>
  <c r="A350" i="2"/>
  <c r="C349" i="4"/>
  <c r="G347" i="2"/>
  <c r="H347" i="2" s="1"/>
  <c r="I347" i="2" s="1"/>
  <c r="J347" i="2" s="1"/>
  <c r="E348" i="2"/>
  <c r="C349" i="3"/>
  <c r="C348" i="1"/>
  <c r="A348" i="1"/>
  <c r="F347" i="1"/>
  <c r="E348" i="1" s="1"/>
  <c r="D347" i="1"/>
  <c r="A349" i="4"/>
  <c r="D348" i="4"/>
  <c r="G348" i="1" l="1"/>
  <c r="H348" i="1" s="1"/>
  <c r="A349" i="3"/>
  <c r="D348" i="3"/>
  <c r="C350" i="4"/>
  <c r="G347" i="4"/>
  <c r="H347" i="4" s="1"/>
  <c r="I347" i="4" s="1"/>
  <c r="J347" i="4" s="1"/>
  <c r="E348" i="4"/>
  <c r="D350" i="2"/>
  <c r="A351" i="2"/>
  <c r="C480" i="2"/>
  <c r="A350" i="4"/>
  <c r="D349" i="4"/>
  <c r="G348" i="2"/>
  <c r="H348" i="2" s="1"/>
  <c r="I348" i="2" s="1"/>
  <c r="J348" i="2" s="1"/>
  <c r="E349" i="2"/>
  <c r="F348" i="1"/>
  <c r="E349" i="1" s="1"/>
  <c r="A349" i="1"/>
  <c r="D348" i="1"/>
  <c r="I348" i="1"/>
  <c r="J348" i="1" s="1"/>
  <c r="C349" i="1"/>
  <c r="G348" i="3"/>
  <c r="H348" i="3" s="1"/>
  <c r="I348" i="3" s="1"/>
  <c r="J348" i="3" s="1"/>
  <c r="E349" i="3"/>
  <c r="C350" i="3"/>
  <c r="G349" i="1" l="1"/>
  <c r="H349" i="1" s="1"/>
  <c r="I349" i="1" s="1"/>
  <c r="J349" i="1" s="1"/>
  <c r="C351" i="4"/>
  <c r="C350" i="1"/>
  <c r="A351" i="4"/>
  <c r="D350" i="4"/>
  <c r="G349" i="2"/>
  <c r="H349" i="2" s="1"/>
  <c r="I349" i="2" s="1"/>
  <c r="J349" i="2" s="1"/>
  <c r="E350" i="2"/>
  <c r="C481" i="2"/>
  <c r="G349" i="3"/>
  <c r="H349" i="3" s="1"/>
  <c r="I349" i="3" s="1"/>
  <c r="J349" i="3" s="1"/>
  <c r="E350" i="3"/>
  <c r="A350" i="3"/>
  <c r="D349" i="3"/>
  <c r="G348" i="4"/>
  <c r="H348" i="4" s="1"/>
  <c r="I348" i="4" s="1"/>
  <c r="J348" i="4" s="1"/>
  <c r="E349" i="4"/>
  <c r="D349" i="1"/>
  <c r="F349" i="1"/>
  <c r="E350" i="1" s="1"/>
  <c r="A350" i="1"/>
  <c r="A352" i="2"/>
  <c r="D351" i="2"/>
  <c r="C351" i="3"/>
  <c r="G350" i="1" l="1"/>
  <c r="H350" i="1" s="1"/>
  <c r="I350" i="1" s="1"/>
  <c r="J350" i="1" s="1"/>
  <c r="A351" i="3"/>
  <c r="D350" i="3"/>
  <c r="A352" i="4"/>
  <c r="D351" i="4"/>
  <c r="C352" i="3"/>
  <c r="A353" i="2"/>
  <c r="D352" i="2"/>
  <c r="C351" i="1"/>
  <c r="F350" i="1"/>
  <c r="E351" i="1" s="1"/>
  <c r="D350" i="1"/>
  <c r="A351" i="1"/>
  <c r="G350" i="3"/>
  <c r="H350" i="3" s="1"/>
  <c r="I350" i="3" s="1"/>
  <c r="J350" i="3" s="1"/>
  <c r="E351" i="3"/>
  <c r="C352" i="4"/>
  <c r="C482" i="2"/>
  <c r="G349" i="4"/>
  <c r="H349" i="4" s="1"/>
  <c r="I349" i="4" s="1"/>
  <c r="J349" i="4" s="1"/>
  <c r="E350" i="4"/>
  <c r="G350" i="2"/>
  <c r="H350" i="2" s="1"/>
  <c r="I350" i="2" s="1"/>
  <c r="J350" i="2" s="1"/>
  <c r="E351" i="2"/>
  <c r="G351" i="1" l="1"/>
  <c r="H351" i="1" s="1"/>
  <c r="I351" i="1" s="1"/>
  <c r="J351" i="1" s="1"/>
  <c r="C353" i="3"/>
  <c r="G350" i="4"/>
  <c r="H350" i="4" s="1"/>
  <c r="I350" i="4" s="1"/>
  <c r="J350" i="4" s="1"/>
  <c r="E351" i="4"/>
  <c r="F351" i="1"/>
  <c r="E352" i="1" s="1"/>
  <c r="A352" i="1"/>
  <c r="D351" i="1"/>
  <c r="A353" i="4"/>
  <c r="D352" i="4"/>
  <c r="C483" i="2"/>
  <c r="C353" i="4"/>
  <c r="C352" i="1"/>
  <c r="A352" i="3"/>
  <c r="D351" i="3"/>
  <c r="G351" i="2"/>
  <c r="H351" i="2" s="1"/>
  <c r="I351" i="2" s="1"/>
  <c r="J351" i="2" s="1"/>
  <c r="E352" i="2"/>
  <c r="G351" i="3"/>
  <c r="H351" i="3" s="1"/>
  <c r="I351" i="3" s="1"/>
  <c r="J351" i="3" s="1"/>
  <c r="E352" i="3"/>
  <c r="A354" i="2"/>
  <c r="D353" i="2"/>
  <c r="G352" i="1" l="1"/>
  <c r="H352" i="1" s="1"/>
  <c r="I352" i="1" s="1"/>
  <c r="J352" i="1" s="1"/>
  <c r="C353" i="1"/>
  <c r="D354" i="2"/>
  <c r="A355" i="2"/>
  <c r="F352" i="1"/>
  <c r="E353" i="1" s="1"/>
  <c r="D352" i="1"/>
  <c r="A353" i="1"/>
  <c r="G352" i="3"/>
  <c r="H352" i="3" s="1"/>
  <c r="I352" i="3" s="1"/>
  <c r="J352" i="3" s="1"/>
  <c r="E353" i="3"/>
  <c r="C354" i="4"/>
  <c r="G351" i="4"/>
  <c r="H351" i="4" s="1"/>
  <c r="I351" i="4" s="1"/>
  <c r="J351" i="4" s="1"/>
  <c r="E352" i="4"/>
  <c r="C484" i="2"/>
  <c r="C354" i="3"/>
  <c r="G352" i="2"/>
  <c r="H352" i="2" s="1"/>
  <c r="I352" i="2" s="1"/>
  <c r="J352" i="2" s="1"/>
  <c r="E353" i="2"/>
  <c r="A353" i="3"/>
  <c r="D352" i="3"/>
  <c r="A354" i="4"/>
  <c r="D353" i="4"/>
  <c r="G353" i="1" l="1"/>
  <c r="H353" i="1" s="1"/>
  <c r="I353" i="1" s="1"/>
  <c r="J353" i="1" s="1"/>
  <c r="G352" i="4"/>
  <c r="H352" i="4" s="1"/>
  <c r="I352" i="4" s="1"/>
  <c r="J352" i="4" s="1"/>
  <c r="E353" i="4"/>
  <c r="A354" i="3"/>
  <c r="D353" i="3"/>
  <c r="A356" i="2"/>
  <c r="D355" i="2"/>
  <c r="A355" i="4"/>
  <c r="D354" i="4"/>
  <c r="G353" i="2"/>
  <c r="H353" i="2" s="1"/>
  <c r="I353" i="2" s="1"/>
  <c r="J353" i="2" s="1"/>
  <c r="E354" i="2"/>
  <c r="C355" i="4"/>
  <c r="C355" i="3"/>
  <c r="G353" i="3"/>
  <c r="H353" i="3" s="1"/>
  <c r="I353" i="3" s="1"/>
  <c r="J353" i="3" s="1"/>
  <c r="E354" i="3"/>
  <c r="C354" i="1"/>
  <c r="C485" i="2"/>
  <c r="D353" i="1"/>
  <c r="A354" i="1"/>
  <c r="F353" i="1"/>
  <c r="E354" i="1" s="1"/>
  <c r="G354" i="1" l="1"/>
  <c r="H354" i="1" s="1"/>
  <c r="I354" i="1" s="1"/>
  <c r="J354" i="1" s="1"/>
  <c r="C356" i="3"/>
  <c r="A357" i="2"/>
  <c r="D356" i="2"/>
  <c r="A355" i="3"/>
  <c r="D354" i="3"/>
  <c r="A356" i="4"/>
  <c r="D355" i="4"/>
  <c r="D354" i="1"/>
  <c r="A355" i="1"/>
  <c r="F354" i="1"/>
  <c r="E355" i="1" s="1"/>
  <c r="C486" i="2"/>
  <c r="C356" i="4"/>
  <c r="G354" i="2"/>
  <c r="H354" i="2" s="1"/>
  <c r="I354" i="2" s="1"/>
  <c r="J354" i="2" s="1"/>
  <c r="E355" i="2"/>
  <c r="G353" i="4"/>
  <c r="H353" i="4" s="1"/>
  <c r="I353" i="4" s="1"/>
  <c r="J353" i="4" s="1"/>
  <c r="E354" i="4"/>
  <c r="C355" i="1"/>
  <c r="G354" i="3"/>
  <c r="H354" i="3" s="1"/>
  <c r="I354" i="3" s="1"/>
  <c r="J354" i="3" s="1"/>
  <c r="E355" i="3"/>
  <c r="G355" i="1" l="1"/>
  <c r="H355" i="1" s="1"/>
  <c r="I355" i="1" s="1"/>
  <c r="J355" i="1" s="1"/>
  <c r="C487" i="2"/>
  <c r="A356" i="3"/>
  <c r="D355" i="3"/>
  <c r="C356" i="1"/>
  <c r="G354" i="4"/>
  <c r="H354" i="4" s="1"/>
  <c r="I354" i="4" s="1"/>
  <c r="J354" i="4" s="1"/>
  <c r="E355" i="4"/>
  <c r="D357" i="2"/>
  <c r="A358" i="2"/>
  <c r="A356" i="1"/>
  <c r="F355" i="1"/>
  <c r="E356" i="1" s="1"/>
  <c r="D355" i="1"/>
  <c r="C357" i="3"/>
  <c r="G355" i="2"/>
  <c r="H355" i="2" s="1"/>
  <c r="I355" i="2" s="1"/>
  <c r="J355" i="2" s="1"/>
  <c r="E356" i="2"/>
  <c r="G355" i="3"/>
  <c r="H355" i="3" s="1"/>
  <c r="I355" i="3" s="1"/>
  <c r="J355" i="3" s="1"/>
  <c r="E356" i="3"/>
  <c r="C357" i="4"/>
  <c r="A357" i="4"/>
  <c r="D356" i="4"/>
  <c r="G356" i="1" l="1"/>
  <c r="H356" i="1" s="1"/>
  <c r="I356" i="1" s="1"/>
  <c r="J356" i="1" s="1"/>
  <c r="A358" i="4"/>
  <c r="D357" i="4"/>
  <c r="C358" i="3"/>
  <c r="C357" i="1"/>
  <c r="C358" i="4"/>
  <c r="G356" i="3"/>
  <c r="H356" i="3" s="1"/>
  <c r="I356" i="3" s="1"/>
  <c r="J356" i="3" s="1"/>
  <c r="E357" i="3"/>
  <c r="F356" i="1"/>
  <c r="E357" i="1" s="1"/>
  <c r="D356" i="1"/>
  <c r="A357" i="1"/>
  <c r="A357" i="3"/>
  <c r="D356" i="3"/>
  <c r="G356" i="2"/>
  <c r="H356" i="2" s="1"/>
  <c r="I356" i="2" s="1"/>
  <c r="J356" i="2" s="1"/>
  <c r="E357" i="2"/>
  <c r="D358" i="2"/>
  <c r="A359" i="2"/>
  <c r="C488" i="2"/>
  <c r="G355" i="4"/>
  <c r="H355" i="4" s="1"/>
  <c r="I355" i="4" s="1"/>
  <c r="J355" i="4" s="1"/>
  <c r="E356" i="4"/>
  <c r="G357" i="1" l="1"/>
  <c r="H357" i="1" s="1"/>
  <c r="I357" i="1" s="1"/>
  <c r="J357" i="1" s="1"/>
  <c r="A358" i="3"/>
  <c r="D357" i="3"/>
  <c r="C358" i="1"/>
  <c r="C359" i="4"/>
  <c r="G356" i="4"/>
  <c r="H356" i="4" s="1"/>
  <c r="I356" i="4" s="1"/>
  <c r="J356" i="4" s="1"/>
  <c r="E357" i="4"/>
  <c r="C489" i="2"/>
  <c r="D357" i="1"/>
  <c r="A358" i="1"/>
  <c r="F357" i="1"/>
  <c r="E358" i="1" s="1"/>
  <c r="C359" i="3"/>
  <c r="A359" i="4"/>
  <c r="D358" i="4"/>
  <c r="G357" i="3"/>
  <c r="H357" i="3" s="1"/>
  <c r="I357" i="3" s="1"/>
  <c r="J357" i="3" s="1"/>
  <c r="E358" i="3"/>
  <c r="G357" i="2"/>
  <c r="H357" i="2" s="1"/>
  <c r="I357" i="2" s="1"/>
  <c r="J357" i="2" s="1"/>
  <c r="E358" i="2"/>
  <c r="A360" i="2"/>
  <c r="D359" i="2"/>
  <c r="G358" i="1" l="1"/>
  <c r="H358" i="1" s="1"/>
  <c r="I358" i="1" s="1"/>
  <c r="J358" i="1" s="1"/>
  <c r="C360" i="3"/>
  <c r="C360" i="4"/>
  <c r="A361" i="2"/>
  <c r="D360" i="2"/>
  <c r="G358" i="2"/>
  <c r="H358" i="2" s="1"/>
  <c r="I358" i="2" s="1"/>
  <c r="J358" i="2" s="1"/>
  <c r="E359" i="2"/>
  <c r="F358" i="1"/>
  <c r="E359" i="1" s="1"/>
  <c r="D358" i="1"/>
  <c r="A359" i="1"/>
  <c r="C359" i="1"/>
  <c r="A359" i="3"/>
  <c r="D358" i="3"/>
  <c r="C490" i="2"/>
  <c r="A360" i="4"/>
  <c r="D359" i="4"/>
  <c r="G357" i="4"/>
  <c r="H357" i="4" s="1"/>
  <c r="I357" i="4" s="1"/>
  <c r="J357" i="4" s="1"/>
  <c r="E358" i="4"/>
  <c r="G358" i="3"/>
  <c r="H358" i="3" s="1"/>
  <c r="I358" i="3" s="1"/>
  <c r="J358" i="3" s="1"/>
  <c r="E359" i="3"/>
  <c r="G359" i="1" l="1"/>
  <c r="H359" i="1" s="1"/>
  <c r="I359" i="1" s="1"/>
  <c r="J359" i="1" s="1"/>
  <c r="A360" i="3"/>
  <c r="D359" i="3"/>
  <c r="E359" i="4"/>
  <c r="G358" i="4"/>
  <c r="H358" i="4" s="1"/>
  <c r="I358" i="4" s="1"/>
  <c r="J358" i="4" s="1"/>
  <c r="A362" i="2"/>
  <c r="D361" i="2"/>
  <c r="C360" i="1"/>
  <c r="F359" i="1"/>
  <c r="E360" i="1" s="1"/>
  <c r="A360" i="1"/>
  <c r="D359" i="1"/>
  <c r="C361" i="4"/>
  <c r="G359" i="3"/>
  <c r="H359" i="3" s="1"/>
  <c r="I359" i="3" s="1"/>
  <c r="J359" i="3" s="1"/>
  <c r="E360" i="3"/>
  <c r="D360" i="4"/>
  <c r="A361" i="4"/>
  <c r="C361" i="3"/>
  <c r="C491" i="2"/>
  <c r="G359" i="2"/>
  <c r="H359" i="2" s="1"/>
  <c r="I359" i="2" s="1"/>
  <c r="J359" i="2" s="1"/>
  <c r="E360" i="2"/>
  <c r="G360" i="1" l="1"/>
  <c r="H360" i="1" s="1"/>
  <c r="I360" i="1" s="1"/>
  <c r="J360" i="1" s="1"/>
  <c r="C492" i="2"/>
  <c r="D362" i="2"/>
  <c r="A363" i="2"/>
  <c r="E360" i="4"/>
  <c r="G359" i="4"/>
  <c r="H359" i="4" s="1"/>
  <c r="I359" i="4" s="1"/>
  <c r="J359" i="4" s="1"/>
  <c r="C362" i="4"/>
  <c r="C362" i="3"/>
  <c r="F360" i="1"/>
  <c r="E361" i="1" s="1"/>
  <c r="D360" i="1"/>
  <c r="A361" i="1"/>
  <c r="D361" i="4"/>
  <c r="A362" i="4"/>
  <c r="A361" i="3"/>
  <c r="D360" i="3"/>
  <c r="G360" i="2"/>
  <c r="H360" i="2" s="1"/>
  <c r="I360" i="2" s="1"/>
  <c r="J360" i="2" s="1"/>
  <c r="E361" i="2"/>
  <c r="G360" i="3"/>
  <c r="H360" i="3" s="1"/>
  <c r="I360" i="3" s="1"/>
  <c r="J360" i="3" s="1"/>
  <c r="E361" i="3"/>
  <c r="C361" i="1"/>
  <c r="G361" i="1" l="1"/>
  <c r="H361" i="1" s="1"/>
  <c r="I361" i="1" s="1"/>
  <c r="J361" i="1" s="1"/>
  <c r="G361" i="3"/>
  <c r="H361" i="3" s="1"/>
  <c r="I361" i="3" s="1"/>
  <c r="J361" i="3" s="1"/>
  <c r="E362" i="3"/>
  <c r="D361" i="1"/>
  <c r="A362" i="1"/>
  <c r="F361" i="1"/>
  <c r="E362" i="1" s="1"/>
  <c r="E361" i="4"/>
  <c r="G360" i="4"/>
  <c r="H360" i="4" s="1"/>
  <c r="I360" i="4" s="1"/>
  <c r="J360" i="4" s="1"/>
  <c r="A364" i="2"/>
  <c r="D363" i="2"/>
  <c r="C362" i="1"/>
  <c r="C363" i="3"/>
  <c r="C493" i="2"/>
  <c r="G361" i="2"/>
  <c r="H361" i="2" s="1"/>
  <c r="I361" i="2" s="1"/>
  <c r="J361" i="2" s="1"/>
  <c r="E362" i="2"/>
  <c r="A362" i="3"/>
  <c r="D361" i="3"/>
  <c r="A363" i="4"/>
  <c r="D362" i="4"/>
  <c r="C363" i="4"/>
  <c r="G362" i="1" l="1"/>
  <c r="H362" i="1" s="1"/>
  <c r="I362" i="1" s="1"/>
  <c r="J362" i="1" s="1"/>
  <c r="D364" i="2"/>
  <c r="A365" i="2"/>
  <c r="C494" i="2"/>
  <c r="E362" i="4"/>
  <c r="G361" i="4"/>
  <c r="H361" i="4" s="1"/>
  <c r="I361" i="4" s="1"/>
  <c r="J361" i="4" s="1"/>
  <c r="D363" i="4"/>
  <c r="A364" i="4"/>
  <c r="C364" i="3"/>
  <c r="D362" i="1"/>
  <c r="A363" i="1"/>
  <c r="F362" i="1"/>
  <c r="E363" i="1" s="1"/>
  <c r="A363" i="3"/>
  <c r="D362" i="3"/>
  <c r="C363" i="1"/>
  <c r="G362" i="3"/>
  <c r="H362" i="3" s="1"/>
  <c r="I362" i="3" s="1"/>
  <c r="J362" i="3" s="1"/>
  <c r="E363" i="3"/>
  <c r="G362" i="2"/>
  <c r="H362" i="2" s="1"/>
  <c r="I362" i="2" s="1"/>
  <c r="J362" i="2" s="1"/>
  <c r="E363" i="2"/>
  <c r="C364" i="4"/>
  <c r="G363" i="1" l="1"/>
  <c r="H363" i="1" s="1"/>
  <c r="I363" i="1" s="1"/>
  <c r="J363" i="1" s="1"/>
  <c r="G363" i="2"/>
  <c r="H363" i="2" s="1"/>
  <c r="I363" i="2" s="1"/>
  <c r="J363" i="2" s="1"/>
  <c r="E364" i="2"/>
  <c r="E363" i="4"/>
  <c r="G362" i="4"/>
  <c r="H362" i="4" s="1"/>
  <c r="I362" i="4" s="1"/>
  <c r="J362" i="4" s="1"/>
  <c r="A364" i="3"/>
  <c r="D363" i="3"/>
  <c r="A364" i="1"/>
  <c r="F363" i="1"/>
  <c r="E364" i="1" s="1"/>
  <c r="D363" i="1"/>
  <c r="C495" i="2"/>
  <c r="G363" i="3"/>
  <c r="H363" i="3" s="1"/>
  <c r="I363" i="3" s="1"/>
  <c r="J363" i="3" s="1"/>
  <c r="E364" i="3"/>
  <c r="C365" i="3"/>
  <c r="D365" i="2"/>
  <c r="A366" i="2"/>
  <c r="C365" i="4"/>
  <c r="C364" i="1"/>
  <c r="A365" i="4"/>
  <c r="D364" i="4"/>
  <c r="G364" i="1" l="1"/>
  <c r="H364" i="1" s="1"/>
  <c r="F364" i="1"/>
  <c r="E365" i="1" s="1"/>
  <c r="A365" i="1"/>
  <c r="D364" i="1"/>
  <c r="D365" i="4"/>
  <c r="A366" i="4"/>
  <c r="C366" i="3"/>
  <c r="I364" i="1"/>
  <c r="J364" i="1" s="1"/>
  <c r="C365" i="1"/>
  <c r="G364" i="3"/>
  <c r="H364" i="3" s="1"/>
  <c r="I364" i="3" s="1"/>
  <c r="J364" i="3" s="1"/>
  <c r="E365" i="3"/>
  <c r="A365" i="3"/>
  <c r="D364" i="3"/>
  <c r="C496" i="2"/>
  <c r="E364" i="4"/>
  <c r="G363" i="4"/>
  <c r="H363" i="4" s="1"/>
  <c r="I363" i="4" s="1"/>
  <c r="J363" i="4" s="1"/>
  <c r="C366" i="4"/>
  <c r="G364" i="2"/>
  <c r="H364" i="2" s="1"/>
  <c r="I364" i="2" s="1"/>
  <c r="J364" i="2" s="1"/>
  <c r="E365" i="2"/>
  <c r="D366" i="2"/>
  <c r="A367" i="2"/>
  <c r="G365" i="1" l="1"/>
  <c r="H365" i="1" s="1"/>
  <c r="I365" i="1" s="1"/>
  <c r="J365" i="1" s="1"/>
  <c r="A367" i="4"/>
  <c r="D366" i="4"/>
  <c r="C367" i="3"/>
  <c r="D365" i="3"/>
  <c r="A366" i="3"/>
  <c r="D365" i="1"/>
  <c r="F365" i="1"/>
  <c r="E366" i="1" s="1"/>
  <c r="A366" i="1"/>
  <c r="G365" i="3"/>
  <c r="H365" i="3" s="1"/>
  <c r="I365" i="3" s="1"/>
  <c r="J365" i="3" s="1"/>
  <c r="E366" i="3"/>
  <c r="C366" i="1"/>
  <c r="G365" i="2"/>
  <c r="H365" i="2" s="1"/>
  <c r="I365" i="2" s="1"/>
  <c r="J365" i="2" s="1"/>
  <c r="E366" i="2"/>
  <c r="C367" i="4"/>
  <c r="E365" i="4"/>
  <c r="G364" i="4"/>
  <c r="H364" i="4" s="1"/>
  <c r="I364" i="4" s="1"/>
  <c r="J364" i="4" s="1"/>
  <c r="A368" i="2"/>
  <c r="D367" i="2"/>
  <c r="C497" i="2"/>
  <c r="G366" i="1" l="1"/>
  <c r="H366" i="1" s="1"/>
  <c r="I366" i="1" s="1"/>
  <c r="J366" i="1" s="1"/>
  <c r="D366" i="3"/>
  <c r="A367" i="3"/>
  <c r="C367" i="1"/>
  <c r="A369" i="2"/>
  <c r="D368" i="2"/>
  <c r="G366" i="2"/>
  <c r="H366" i="2" s="1"/>
  <c r="I366" i="2" s="1"/>
  <c r="J366" i="2" s="1"/>
  <c r="E367" i="2"/>
  <c r="G366" i="3"/>
  <c r="H366" i="3" s="1"/>
  <c r="I366" i="3" s="1"/>
  <c r="J366" i="3" s="1"/>
  <c r="E367" i="3"/>
  <c r="C368" i="3"/>
  <c r="C498" i="2"/>
  <c r="C368" i="4"/>
  <c r="D367" i="4"/>
  <c r="A368" i="4"/>
  <c r="E366" i="4"/>
  <c r="G365" i="4"/>
  <c r="H365" i="4" s="1"/>
  <c r="I365" i="4" s="1"/>
  <c r="J365" i="4" s="1"/>
  <c r="F366" i="1"/>
  <c r="E367" i="1" s="1"/>
  <c r="D366" i="1"/>
  <c r="A367" i="1"/>
  <c r="G367" i="1" l="1"/>
  <c r="H367" i="1" s="1"/>
  <c r="I367" i="1" s="1"/>
  <c r="J367" i="1" s="1"/>
  <c r="A370" i="2"/>
  <c r="D369" i="2"/>
  <c r="E367" i="4"/>
  <c r="G366" i="4"/>
  <c r="H366" i="4" s="1"/>
  <c r="I366" i="4" s="1"/>
  <c r="J366" i="4" s="1"/>
  <c r="C369" i="3"/>
  <c r="C368" i="1"/>
  <c r="F367" i="1"/>
  <c r="E368" i="1" s="1"/>
  <c r="A368" i="1"/>
  <c r="D367" i="1"/>
  <c r="C499" i="2"/>
  <c r="A369" i="4"/>
  <c r="D368" i="4"/>
  <c r="G367" i="3"/>
  <c r="H367" i="3" s="1"/>
  <c r="I367" i="3" s="1"/>
  <c r="J367" i="3" s="1"/>
  <c r="E368" i="3"/>
  <c r="D367" i="3"/>
  <c r="A368" i="3"/>
  <c r="C369" i="4"/>
  <c r="G367" i="2"/>
  <c r="H367" i="2" s="1"/>
  <c r="I367" i="2" s="1"/>
  <c r="J367" i="2" s="1"/>
  <c r="E368" i="2"/>
  <c r="G368" i="1" l="1"/>
  <c r="H368" i="1" s="1"/>
  <c r="I368" i="1" s="1"/>
  <c r="J368" i="1" s="1"/>
  <c r="D369" i="4"/>
  <c r="A370" i="4"/>
  <c r="C370" i="4"/>
  <c r="C500" i="2"/>
  <c r="C370" i="3"/>
  <c r="E368" i="4"/>
  <c r="G367" i="4"/>
  <c r="H367" i="4" s="1"/>
  <c r="I367" i="4" s="1"/>
  <c r="J367" i="4" s="1"/>
  <c r="F368" i="1"/>
  <c r="E369" i="1" s="1"/>
  <c r="D368" i="1"/>
  <c r="A369" i="1"/>
  <c r="G368" i="3"/>
  <c r="H368" i="3" s="1"/>
  <c r="I368" i="3" s="1"/>
  <c r="J368" i="3" s="1"/>
  <c r="E369" i="3"/>
  <c r="D370" i="2"/>
  <c r="A371" i="2"/>
  <c r="G368" i="2"/>
  <c r="H368" i="2" s="1"/>
  <c r="I368" i="2" s="1"/>
  <c r="J368" i="2" s="1"/>
  <c r="E369" i="2"/>
  <c r="D368" i="3"/>
  <c r="A369" i="3"/>
  <c r="C369" i="1"/>
  <c r="G369" i="1" l="1"/>
  <c r="H369" i="1" s="1"/>
  <c r="I369" i="1" s="1"/>
  <c r="J369" i="1" s="1"/>
  <c r="C501" i="2"/>
  <c r="D369" i="3"/>
  <c r="A370" i="3"/>
  <c r="D369" i="1"/>
  <c r="A370" i="1"/>
  <c r="F369" i="1"/>
  <c r="E370" i="1" s="1"/>
  <c r="C371" i="4"/>
  <c r="G369" i="2"/>
  <c r="H369" i="2" s="1"/>
  <c r="I369" i="2" s="1"/>
  <c r="J369" i="2" s="1"/>
  <c r="E370" i="2"/>
  <c r="A371" i="4"/>
  <c r="D370" i="4"/>
  <c r="C370" i="1"/>
  <c r="A372" i="2"/>
  <c r="D371" i="2"/>
  <c r="E369" i="4"/>
  <c r="G368" i="4"/>
  <c r="H368" i="4" s="1"/>
  <c r="I368" i="4" s="1"/>
  <c r="J368" i="4" s="1"/>
  <c r="G369" i="3"/>
  <c r="H369" i="3" s="1"/>
  <c r="I369" i="3" s="1"/>
  <c r="J369" i="3" s="1"/>
  <c r="E370" i="3"/>
  <c r="C371" i="3"/>
  <c r="G370" i="1" l="1"/>
  <c r="H370" i="1" s="1"/>
  <c r="I370" i="1" s="1"/>
  <c r="J370" i="1" s="1"/>
  <c r="C372" i="3"/>
  <c r="D371" i="4"/>
  <c r="A372" i="4"/>
  <c r="D370" i="3"/>
  <c r="A371" i="3"/>
  <c r="D370" i="1"/>
  <c r="A371" i="1"/>
  <c r="F370" i="1"/>
  <c r="E371" i="1" s="1"/>
  <c r="G370" i="3"/>
  <c r="H370" i="3" s="1"/>
  <c r="I370" i="3" s="1"/>
  <c r="J370" i="3" s="1"/>
  <c r="E371" i="3"/>
  <c r="C502" i="2"/>
  <c r="C372" i="4"/>
  <c r="C371" i="1"/>
  <c r="G370" i="2"/>
  <c r="H370" i="2" s="1"/>
  <c r="I370" i="2" s="1"/>
  <c r="J370" i="2" s="1"/>
  <c r="E371" i="2"/>
  <c r="E370" i="4"/>
  <c r="G369" i="4"/>
  <c r="H369" i="4" s="1"/>
  <c r="I369" i="4" s="1"/>
  <c r="J369" i="4" s="1"/>
  <c r="A373" i="2"/>
  <c r="D372" i="2"/>
  <c r="G371" i="1" l="1"/>
  <c r="H371" i="1" s="1"/>
  <c r="I371" i="1" s="1"/>
  <c r="J371" i="1" s="1"/>
  <c r="A373" i="4"/>
  <c r="D372" i="4"/>
  <c r="C373" i="3"/>
  <c r="D373" i="2"/>
  <c r="A374" i="2"/>
  <c r="D371" i="3"/>
  <c r="A372" i="3"/>
  <c r="C503" i="2"/>
  <c r="E371" i="4"/>
  <c r="G370" i="4"/>
  <c r="H370" i="4" s="1"/>
  <c r="I370" i="4" s="1"/>
  <c r="J370" i="4" s="1"/>
  <c r="G371" i="2"/>
  <c r="H371" i="2" s="1"/>
  <c r="I371" i="2" s="1"/>
  <c r="J371" i="2" s="1"/>
  <c r="E372" i="2"/>
  <c r="G371" i="3"/>
  <c r="H371" i="3" s="1"/>
  <c r="I371" i="3" s="1"/>
  <c r="J371" i="3" s="1"/>
  <c r="E372" i="3"/>
  <c r="C372" i="1"/>
  <c r="A372" i="1"/>
  <c r="F371" i="1"/>
  <c r="E372" i="1" s="1"/>
  <c r="D371" i="1"/>
  <c r="C373" i="4"/>
  <c r="G372" i="1" l="1"/>
  <c r="H372" i="1" s="1"/>
  <c r="I372" i="1" s="1"/>
  <c r="J372" i="1" s="1"/>
  <c r="C374" i="4"/>
  <c r="C374" i="3"/>
  <c r="G372" i="2"/>
  <c r="H372" i="2" s="1"/>
  <c r="I372" i="2" s="1"/>
  <c r="J372" i="2" s="1"/>
  <c r="E373" i="2"/>
  <c r="D374" i="2"/>
  <c r="A375" i="2"/>
  <c r="E372" i="4"/>
  <c r="G371" i="4"/>
  <c r="H371" i="4" s="1"/>
  <c r="I371" i="4" s="1"/>
  <c r="J371" i="4" s="1"/>
  <c r="C373" i="1"/>
  <c r="D373" i="4"/>
  <c r="A374" i="4"/>
  <c r="F372" i="1"/>
  <c r="E373" i="1" s="1"/>
  <c r="A373" i="1"/>
  <c r="D372" i="1"/>
  <c r="C504" i="2"/>
  <c r="G372" i="3"/>
  <c r="H372" i="3" s="1"/>
  <c r="I372" i="3" s="1"/>
  <c r="J372" i="3" s="1"/>
  <c r="E373" i="3"/>
  <c r="D372" i="3"/>
  <c r="A373" i="3"/>
  <c r="G373" i="1" l="1"/>
  <c r="H373" i="1" s="1"/>
  <c r="I373" i="1" s="1"/>
  <c r="J373" i="1" s="1"/>
  <c r="G373" i="2"/>
  <c r="H373" i="2" s="1"/>
  <c r="I373" i="2" s="1"/>
  <c r="J373" i="2" s="1"/>
  <c r="E374" i="2"/>
  <c r="C374" i="1"/>
  <c r="C505" i="2"/>
  <c r="C375" i="3"/>
  <c r="A375" i="4"/>
  <c r="D374" i="4"/>
  <c r="C375" i="4"/>
  <c r="E373" i="4"/>
  <c r="G372" i="4"/>
  <c r="H372" i="4" s="1"/>
  <c r="I372" i="4" s="1"/>
  <c r="J372" i="4" s="1"/>
  <c r="G373" i="3"/>
  <c r="H373" i="3" s="1"/>
  <c r="I373" i="3" s="1"/>
  <c r="J373" i="3" s="1"/>
  <c r="E374" i="3"/>
  <c r="D373" i="1"/>
  <c r="A374" i="1"/>
  <c r="F373" i="1"/>
  <c r="E374" i="1" s="1"/>
  <c r="A376" i="2"/>
  <c r="D375" i="2"/>
  <c r="D373" i="3"/>
  <c r="A374" i="3"/>
  <c r="G374" i="1" l="1"/>
  <c r="H374" i="1" s="1"/>
  <c r="E374" i="4"/>
  <c r="G373" i="4"/>
  <c r="H373" i="4" s="1"/>
  <c r="I373" i="4" s="1"/>
  <c r="J373" i="4" s="1"/>
  <c r="A377" i="2"/>
  <c r="D376" i="2"/>
  <c r="C376" i="4"/>
  <c r="I374" i="1"/>
  <c r="J374" i="1" s="1"/>
  <c r="C375" i="1"/>
  <c r="C506" i="2"/>
  <c r="G374" i="2"/>
  <c r="H374" i="2" s="1"/>
  <c r="I374" i="2" s="1"/>
  <c r="J374" i="2" s="1"/>
  <c r="E375" i="2"/>
  <c r="D374" i="3"/>
  <c r="A375" i="3"/>
  <c r="F374" i="1"/>
  <c r="E375" i="1" s="1"/>
  <c r="D374" i="1"/>
  <c r="A375" i="1"/>
  <c r="D375" i="4"/>
  <c r="A376" i="4"/>
  <c r="G374" i="3"/>
  <c r="H374" i="3" s="1"/>
  <c r="I374" i="3" s="1"/>
  <c r="J374" i="3" s="1"/>
  <c r="E375" i="3"/>
  <c r="C376" i="3"/>
  <c r="G375" i="1" l="1"/>
  <c r="H375" i="1" s="1"/>
  <c r="A378" i="2"/>
  <c r="D377" i="2"/>
  <c r="C377" i="3"/>
  <c r="D375" i="3"/>
  <c r="A376" i="3"/>
  <c r="C377" i="4"/>
  <c r="G375" i="3"/>
  <c r="H375" i="3" s="1"/>
  <c r="I375" i="3" s="1"/>
  <c r="J375" i="3" s="1"/>
  <c r="E376" i="3"/>
  <c r="A377" i="4"/>
  <c r="D376" i="4"/>
  <c r="C507" i="2"/>
  <c r="F375" i="1"/>
  <c r="E376" i="1" s="1"/>
  <c r="A376" i="1"/>
  <c r="D375" i="1"/>
  <c r="E375" i="4"/>
  <c r="G374" i="4"/>
  <c r="H374" i="4" s="1"/>
  <c r="I374" i="4" s="1"/>
  <c r="J374" i="4" s="1"/>
  <c r="C376" i="1"/>
  <c r="I375" i="1"/>
  <c r="J375" i="1" s="1"/>
  <c r="G375" i="2"/>
  <c r="H375" i="2" s="1"/>
  <c r="I375" i="2" s="1"/>
  <c r="J375" i="2" s="1"/>
  <c r="E376" i="2"/>
  <c r="G376" i="1" l="1"/>
  <c r="H376" i="1" s="1"/>
  <c r="I376" i="1" s="1"/>
  <c r="J376" i="1" s="1"/>
  <c r="C508" i="2"/>
  <c r="C377" i="1"/>
  <c r="D377" i="4"/>
  <c r="A378" i="4"/>
  <c r="C378" i="3"/>
  <c r="E376" i="4"/>
  <c r="G375" i="4"/>
  <c r="H375" i="4" s="1"/>
  <c r="I375" i="4" s="1"/>
  <c r="J375" i="4" s="1"/>
  <c r="D378" i="2"/>
  <c r="A379" i="2"/>
  <c r="F376" i="1"/>
  <c r="E377" i="1" s="1"/>
  <c r="D376" i="1"/>
  <c r="A377" i="1"/>
  <c r="C378" i="4"/>
  <c r="D376" i="3"/>
  <c r="A377" i="3"/>
  <c r="G376" i="3"/>
  <c r="H376" i="3" s="1"/>
  <c r="I376" i="3" s="1"/>
  <c r="J376" i="3" s="1"/>
  <c r="E377" i="3"/>
  <c r="G376" i="2"/>
  <c r="H376" i="2" s="1"/>
  <c r="I376" i="2" s="1"/>
  <c r="J376" i="2" s="1"/>
  <c r="E377" i="2"/>
  <c r="G377" i="1" l="1"/>
  <c r="H377" i="1" s="1"/>
  <c r="A380" i="2"/>
  <c r="D379" i="2"/>
  <c r="A379" i="4"/>
  <c r="D378" i="4"/>
  <c r="G377" i="3"/>
  <c r="H377" i="3" s="1"/>
  <c r="I377" i="3" s="1"/>
  <c r="J377" i="3" s="1"/>
  <c r="E378" i="3"/>
  <c r="D377" i="3"/>
  <c r="A378" i="3"/>
  <c r="C378" i="1"/>
  <c r="I377" i="1"/>
  <c r="J377" i="1" s="1"/>
  <c r="C509" i="2"/>
  <c r="C379" i="4"/>
  <c r="E377" i="4"/>
  <c r="G376" i="4"/>
  <c r="H376" i="4" s="1"/>
  <c r="I376" i="4" s="1"/>
  <c r="J376" i="4" s="1"/>
  <c r="G377" i="2"/>
  <c r="H377" i="2" s="1"/>
  <c r="I377" i="2" s="1"/>
  <c r="J377" i="2" s="1"/>
  <c r="E378" i="2"/>
  <c r="F377" i="1"/>
  <c r="E378" i="1" s="1"/>
  <c r="D377" i="1"/>
  <c r="A378" i="1"/>
  <c r="C379" i="3"/>
  <c r="G378" i="1" l="1"/>
  <c r="H378" i="1" s="1"/>
  <c r="I378" i="1" s="1"/>
  <c r="J378" i="1" s="1"/>
  <c r="G378" i="3"/>
  <c r="H378" i="3" s="1"/>
  <c r="I378" i="3" s="1"/>
  <c r="J378" i="3" s="1"/>
  <c r="E379" i="3"/>
  <c r="C510" i="2"/>
  <c r="D379" i="4"/>
  <c r="A380" i="4"/>
  <c r="C380" i="3"/>
  <c r="D378" i="1"/>
  <c r="A379" i="1"/>
  <c r="F378" i="1"/>
  <c r="E379" i="1" s="1"/>
  <c r="G378" i="2"/>
  <c r="H378" i="2" s="1"/>
  <c r="I378" i="2" s="1"/>
  <c r="J378" i="2" s="1"/>
  <c r="E379" i="2"/>
  <c r="C379" i="1"/>
  <c r="D380" i="2"/>
  <c r="A381" i="2"/>
  <c r="D378" i="3"/>
  <c r="A379" i="3"/>
  <c r="C380" i="4"/>
  <c r="E378" i="4"/>
  <c r="G377" i="4"/>
  <c r="H377" i="4" s="1"/>
  <c r="I377" i="4" s="1"/>
  <c r="J377" i="4" s="1"/>
  <c r="G379" i="1" l="1"/>
  <c r="H379" i="1" s="1"/>
  <c r="I379" i="1" s="1"/>
  <c r="J379" i="1" s="1"/>
  <c r="C381" i="3"/>
  <c r="E379" i="4"/>
  <c r="G378" i="4"/>
  <c r="H378" i="4" s="1"/>
  <c r="I378" i="4" s="1"/>
  <c r="J378" i="4" s="1"/>
  <c r="C380" i="1"/>
  <c r="A381" i="4"/>
  <c r="D380" i="4"/>
  <c r="C381" i="4"/>
  <c r="G379" i="2"/>
  <c r="H379" i="2" s="1"/>
  <c r="I379" i="2" s="1"/>
  <c r="J379" i="2" s="1"/>
  <c r="E380" i="2"/>
  <c r="C511" i="2"/>
  <c r="D379" i="3"/>
  <c r="A380" i="3"/>
  <c r="D379" i="1"/>
  <c r="A380" i="1"/>
  <c r="F379" i="1"/>
  <c r="E380" i="1" s="1"/>
  <c r="G379" i="3"/>
  <c r="H379" i="3" s="1"/>
  <c r="I379" i="3" s="1"/>
  <c r="J379" i="3" s="1"/>
  <c r="E380" i="3"/>
  <c r="D381" i="2"/>
  <c r="A382" i="2"/>
  <c r="G380" i="1" l="1"/>
  <c r="H380" i="1" s="1"/>
  <c r="I380" i="1" s="1"/>
  <c r="J380" i="1" s="1"/>
  <c r="C512" i="2"/>
  <c r="D381" i="4"/>
  <c r="A382" i="4"/>
  <c r="G380" i="3"/>
  <c r="H380" i="3" s="1"/>
  <c r="I380" i="3" s="1"/>
  <c r="J380" i="3" s="1"/>
  <c r="E381" i="3"/>
  <c r="C381" i="1"/>
  <c r="E380" i="4"/>
  <c r="G379" i="4"/>
  <c r="H379" i="4" s="1"/>
  <c r="I379" i="4" s="1"/>
  <c r="J379" i="4" s="1"/>
  <c r="G380" i="2"/>
  <c r="H380" i="2" s="1"/>
  <c r="I380" i="2" s="1"/>
  <c r="J380" i="2" s="1"/>
  <c r="E381" i="2"/>
  <c r="A381" i="1"/>
  <c r="F380" i="1"/>
  <c r="E381" i="1" s="1"/>
  <c r="D380" i="1"/>
  <c r="C382" i="4"/>
  <c r="C382" i="3"/>
  <c r="D380" i="3"/>
  <c r="A381" i="3"/>
  <c r="D382" i="2"/>
  <c r="A383" i="2"/>
  <c r="G381" i="1" l="1"/>
  <c r="H381" i="1" s="1"/>
  <c r="G381" i="3"/>
  <c r="H381" i="3" s="1"/>
  <c r="I381" i="3" s="1"/>
  <c r="J381" i="3" s="1"/>
  <c r="E382" i="3"/>
  <c r="G381" i="2"/>
  <c r="H381" i="2" s="1"/>
  <c r="I381" i="2" s="1"/>
  <c r="J381" i="2" s="1"/>
  <c r="E382" i="2"/>
  <c r="A383" i="4"/>
  <c r="D382" i="4"/>
  <c r="C513" i="2"/>
  <c r="A384" i="2"/>
  <c r="D383" i="2"/>
  <c r="D381" i="1"/>
  <c r="A382" i="1"/>
  <c r="F381" i="1"/>
  <c r="E382" i="1" s="1"/>
  <c r="C383" i="3"/>
  <c r="C383" i="4"/>
  <c r="E381" i="4"/>
  <c r="G380" i="4"/>
  <c r="H380" i="4" s="1"/>
  <c r="I380" i="4" s="1"/>
  <c r="J380" i="4" s="1"/>
  <c r="D381" i="3"/>
  <c r="A382" i="3"/>
  <c r="I381" i="1"/>
  <c r="J381" i="1" s="1"/>
  <c r="C382" i="1"/>
  <c r="G382" i="1" l="1"/>
  <c r="H382" i="1" s="1"/>
  <c r="D382" i="3"/>
  <c r="A383" i="3"/>
  <c r="D383" i="4"/>
  <c r="A384" i="4"/>
  <c r="F382" i="1"/>
  <c r="E383" i="1" s="1"/>
  <c r="D382" i="1"/>
  <c r="A383" i="1"/>
  <c r="G382" i="2"/>
  <c r="H382" i="2" s="1"/>
  <c r="I382" i="2" s="1"/>
  <c r="J382" i="2" s="1"/>
  <c r="E383" i="2"/>
  <c r="G382" i="3"/>
  <c r="H382" i="3" s="1"/>
  <c r="I382" i="3" s="1"/>
  <c r="J382" i="3" s="1"/>
  <c r="E383" i="3"/>
  <c r="C384" i="3"/>
  <c r="E382" i="4"/>
  <c r="G381" i="4"/>
  <c r="H381" i="4" s="1"/>
  <c r="I381" i="4" s="1"/>
  <c r="J381" i="4" s="1"/>
  <c r="A385" i="2"/>
  <c r="D384" i="2"/>
  <c r="C384" i="4"/>
  <c r="C514" i="2"/>
  <c r="I382" i="1"/>
  <c r="J382" i="1" s="1"/>
  <c r="C383" i="1"/>
  <c r="G383" i="1" l="1"/>
  <c r="H383" i="1" s="1"/>
  <c r="I383" i="1" s="1"/>
  <c r="J383" i="1" s="1"/>
  <c r="C515" i="2"/>
  <c r="G383" i="2"/>
  <c r="H383" i="2" s="1"/>
  <c r="I383" i="2" s="1"/>
  <c r="J383" i="2" s="1"/>
  <c r="E384" i="2"/>
  <c r="A386" i="2"/>
  <c r="D385" i="2"/>
  <c r="C384" i="1"/>
  <c r="E383" i="4"/>
  <c r="G382" i="4"/>
  <c r="H382" i="4" s="1"/>
  <c r="I382" i="4" s="1"/>
  <c r="J382" i="4" s="1"/>
  <c r="C385" i="3"/>
  <c r="A385" i="4"/>
  <c r="D384" i="4"/>
  <c r="D383" i="3"/>
  <c r="A384" i="3"/>
  <c r="G383" i="3"/>
  <c r="H383" i="3" s="1"/>
  <c r="I383" i="3" s="1"/>
  <c r="J383" i="3" s="1"/>
  <c r="E384" i="3"/>
  <c r="C385" i="4"/>
  <c r="F383" i="1"/>
  <c r="E384" i="1" s="1"/>
  <c r="A384" i="1"/>
  <c r="D383" i="1"/>
  <c r="G384" i="1" l="1"/>
  <c r="H384" i="1" s="1"/>
  <c r="I384" i="1" s="1"/>
  <c r="J384" i="1" s="1"/>
  <c r="A386" i="4"/>
  <c r="D385" i="4"/>
  <c r="D386" i="2"/>
  <c r="A387" i="2"/>
  <c r="G384" i="2"/>
  <c r="H384" i="2" s="1"/>
  <c r="I384" i="2" s="1"/>
  <c r="J384" i="2" s="1"/>
  <c r="E385" i="2"/>
  <c r="C516" i="2"/>
  <c r="E384" i="4"/>
  <c r="G383" i="4"/>
  <c r="H383" i="4" s="1"/>
  <c r="I383" i="4" s="1"/>
  <c r="J383" i="4" s="1"/>
  <c r="C385" i="1"/>
  <c r="F384" i="1"/>
  <c r="E385" i="1" s="1"/>
  <c r="D384" i="1"/>
  <c r="A385" i="1"/>
  <c r="C386" i="4"/>
  <c r="C386" i="3"/>
  <c r="G384" i="3"/>
  <c r="H384" i="3" s="1"/>
  <c r="I384" i="3" s="1"/>
  <c r="J384" i="3" s="1"/>
  <c r="E385" i="3"/>
  <c r="D384" i="3"/>
  <c r="A385" i="3"/>
  <c r="G385" i="1" l="1"/>
  <c r="H385" i="1" s="1"/>
  <c r="A388" i="2"/>
  <c r="D387" i="2"/>
  <c r="G385" i="2"/>
  <c r="H385" i="2" s="1"/>
  <c r="I385" i="2" s="1"/>
  <c r="J385" i="2" s="1"/>
  <c r="E386" i="2"/>
  <c r="E385" i="4"/>
  <c r="G384" i="4"/>
  <c r="H384" i="4" s="1"/>
  <c r="I384" i="4" s="1"/>
  <c r="J384" i="4" s="1"/>
  <c r="D386" i="4"/>
  <c r="A387" i="4"/>
  <c r="G385" i="3"/>
  <c r="H385" i="3" s="1"/>
  <c r="I385" i="3" s="1"/>
  <c r="J385" i="3" s="1"/>
  <c r="E386" i="3"/>
  <c r="C387" i="4"/>
  <c r="C386" i="1"/>
  <c r="I385" i="1"/>
  <c r="J385" i="1" s="1"/>
  <c r="C387" i="3"/>
  <c r="C517" i="2"/>
  <c r="D385" i="3"/>
  <c r="A386" i="3"/>
  <c r="F385" i="1"/>
  <c r="E386" i="1" s="1"/>
  <c r="D385" i="1"/>
  <c r="A386" i="1"/>
  <c r="G386" i="1" l="1"/>
  <c r="H386" i="1" s="1"/>
  <c r="I386" i="1" s="1"/>
  <c r="J386" i="1" s="1"/>
  <c r="C387" i="1"/>
  <c r="E386" i="4"/>
  <c r="G385" i="4"/>
  <c r="H385" i="4" s="1"/>
  <c r="I385" i="4" s="1"/>
  <c r="J385" i="4" s="1"/>
  <c r="C388" i="4"/>
  <c r="G386" i="3"/>
  <c r="H386" i="3" s="1"/>
  <c r="I386" i="3" s="1"/>
  <c r="J386" i="3" s="1"/>
  <c r="E387" i="3"/>
  <c r="A389" i="2"/>
  <c r="D388" i="2"/>
  <c r="C518" i="2"/>
  <c r="A388" i="4"/>
  <c r="D387" i="4"/>
  <c r="D386" i="3"/>
  <c r="A387" i="3"/>
  <c r="G386" i="2"/>
  <c r="H386" i="2" s="1"/>
  <c r="I386" i="2" s="1"/>
  <c r="J386" i="2" s="1"/>
  <c r="E387" i="2"/>
  <c r="D386" i="1"/>
  <c r="A387" i="1"/>
  <c r="F386" i="1"/>
  <c r="E387" i="1" s="1"/>
  <c r="C388" i="3"/>
  <c r="G387" i="1" l="1"/>
  <c r="H387" i="1" s="1"/>
  <c r="A389" i="4"/>
  <c r="D388" i="4"/>
  <c r="C389" i="4"/>
  <c r="E387" i="4"/>
  <c r="G386" i="4"/>
  <c r="H386" i="4" s="1"/>
  <c r="I386" i="4" s="1"/>
  <c r="J386" i="4" s="1"/>
  <c r="C389" i="3"/>
  <c r="D387" i="1"/>
  <c r="A388" i="1"/>
  <c r="F387" i="1"/>
  <c r="E388" i="1" s="1"/>
  <c r="C519" i="2"/>
  <c r="G387" i="2"/>
  <c r="H387" i="2" s="1"/>
  <c r="I387" i="2" s="1"/>
  <c r="J387" i="2" s="1"/>
  <c r="E388" i="2"/>
  <c r="D389" i="2"/>
  <c r="A390" i="2"/>
  <c r="C388" i="1"/>
  <c r="I387" i="1"/>
  <c r="J387" i="1" s="1"/>
  <c r="D387" i="3"/>
  <c r="A388" i="3"/>
  <c r="G387" i="3"/>
  <c r="H387" i="3" s="1"/>
  <c r="I387" i="3" s="1"/>
  <c r="J387" i="3" s="1"/>
  <c r="E388" i="3"/>
  <c r="G388" i="1" l="1"/>
  <c r="H388" i="1" s="1"/>
  <c r="I388" i="1" s="1"/>
  <c r="J388" i="1" s="1"/>
  <c r="D388" i="3"/>
  <c r="A389" i="3"/>
  <c r="C520" i="2"/>
  <c r="E388" i="4"/>
  <c r="G387" i="4"/>
  <c r="H387" i="4" s="1"/>
  <c r="I387" i="4" s="1"/>
  <c r="J387" i="4" s="1"/>
  <c r="C389" i="1"/>
  <c r="A389" i="1"/>
  <c r="F388" i="1"/>
  <c r="E389" i="1" s="1"/>
  <c r="D388" i="1"/>
  <c r="D389" i="4"/>
  <c r="A390" i="4"/>
  <c r="C390" i="4"/>
  <c r="D390" i="2"/>
  <c r="A391" i="2"/>
  <c r="G388" i="3"/>
  <c r="H388" i="3" s="1"/>
  <c r="I388" i="3" s="1"/>
  <c r="J388" i="3" s="1"/>
  <c r="E389" i="3"/>
  <c r="G388" i="2"/>
  <c r="H388" i="2" s="1"/>
  <c r="I388" i="2" s="1"/>
  <c r="J388" i="2" s="1"/>
  <c r="E389" i="2"/>
  <c r="C390" i="3"/>
  <c r="G389" i="1" l="1"/>
  <c r="H389" i="1" s="1"/>
  <c r="A392" i="2"/>
  <c r="D391" i="2"/>
  <c r="D389" i="1"/>
  <c r="A390" i="1"/>
  <c r="F389" i="1"/>
  <c r="E390" i="1" s="1"/>
  <c r="C391" i="3"/>
  <c r="C391" i="4"/>
  <c r="G389" i="2"/>
  <c r="H389" i="2" s="1"/>
  <c r="I389" i="2" s="1"/>
  <c r="J389" i="2" s="1"/>
  <c r="E390" i="2"/>
  <c r="A391" i="4"/>
  <c r="D390" i="4"/>
  <c r="E389" i="4"/>
  <c r="G388" i="4"/>
  <c r="H388" i="4" s="1"/>
  <c r="I388" i="4" s="1"/>
  <c r="J388" i="4" s="1"/>
  <c r="D389" i="3"/>
  <c r="A390" i="3"/>
  <c r="C521" i="2"/>
  <c r="G389" i="3"/>
  <c r="H389" i="3" s="1"/>
  <c r="I389" i="3" s="1"/>
  <c r="J389" i="3" s="1"/>
  <c r="E390" i="3"/>
  <c r="I389" i="1"/>
  <c r="J389" i="1" s="1"/>
  <c r="C390" i="1"/>
  <c r="G390" i="1" l="1"/>
  <c r="H390" i="1" s="1"/>
  <c r="E390" i="4"/>
  <c r="G389" i="4"/>
  <c r="H389" i="4" s="1"/>
  <c r="I389" i="4" s="1"/>
  <c r="J389" i="4" s="1"/>
  <c r="G390" i="3"/>
  <c r="H390" i="3" s="1"/>
  <c r="I390" i="3" s="1"/>
  <c r="J390" i="3" s="1"/>
  <c r="E391" i="3"/>
  <c r="I390" i="1"/>
  <c r="J390" i="1" s="1"/>
  <c r="C391" i="1"/>
  <c r="C392" i="3"/>
  <c r="D391" i="4"/>
  <c r="A392" i="4"/>
  <c r="F390" i="1"/>
  <c r="E391" i="1" s="1"/>
  <c r="D390" i="1"/>
  <c r="A391" i="1"/>
  <c r="C522" i="2"/>
  <c r="G390" i="2"/>
  <c r="H390" i="2" s="1"/>
  <c r="I390" i="2" s="1"/>
  <c r="J390" i="2" s="1"/>
  <c r="E391" i="2"/>
  <c r="D390" i="3"/>
  <c r="A391" i="3"/>
  <c r="A393" i="2"/>
  <c r="D392" i="2"/>
  <c r="C392" i="4"/>
  <c r="G391" i="1" l="1"/>
  <c r="H391" i="1" s="1"/>
  <c r="I391" i="1" s="1"/>
  <c r="J391" i="1" s="1"/>
  <c r="C392" i="1"/>
  <c r="G391" i="3"/>
  <c r="H391" i="3" s="1"/>
  <c r="I391" i="3" s="1"/>
  <c r="J391" i="3" s="1"/>
  <c r="E392" i="3"/>
  <c r="D391" i="3"/>
  <c r="A392" i="3"/>
  <c r="C393" i="4"/>
  <c r="F391" i="1"/>
  <c r="E392" i="1" s="1"/>
  <c r="A392" i="1"/>
  <c r="D391" i="1"/>
  <c r="A394" i="2"/>
  <c r="D393" i="2"/>
  <c r="E391" i="4"/>
  <c r="G390" i="4"/>
  <c r="H390" i="4" s="1"/>
  <c r="I390" i="4" s="1"/>
  <c r="J390" i="4" s="1"/>
  <c r="A393" i="4"/>
  <c r="D392" i="4"/>
  <c r="G391" i="2"/>
  <c r="H391" i="2" s="1"/>
  <c r="I391" i="2" s="1"/>
  <c r="J391" i="2" s="1"/>
  <c r="E392" i="2"/>
  <c r="C523" i="2"/>
  <c r="C393" i="3"/>
  <c r="G392" i="1" l="1"/>
  <c r="H392" i="1" s="1"/>
  <c r="I392" i="1" s="1"/>
  <c r="J392" i="1" s="1"/>
  <c r="D394" i="2"/>
  <c r="A395" i="2"/>
  <c r="G392" i="3"/>
  <c r="H392" i="3" s="1"/>
  <c r="I392" i="3" s="1"/>
  <c r="J392" i="3" s="1"/>
  <c r="E393" i="3"/>
  <c r="G392" i="2"/>
  <c r="H392" i="2" s="1"/>
  <c r="I392" i="2" s="1"/>
  <c r="J392" i="2" s="1"/>
  <c r="E393" i="2"/>
  <c r="E392" i="4"/>
  <c r="G391" i="4"/>
  <c r="H391" i="4" s="1"/>
  <c r="I391" i="4" s="1"/>
  <c r="J391" i="4" s="1"/>
  <c r="C524" i="2"/>
  <c r="F392" i="1"/>
  <c r="E393" i="1" s="1"/>
  <c r="D392" i="1"/>
  <c r="A393" i="1"/>
  <c r="C393" i="1"/>
  <c r="C394" i="3"/>
  <c r="C394" i="4"/>
  <c r="D392" i="3"/>
  <c r="A393" i="3"/>
  <c r="A394" i="4"/>
  <c r="D393" i="4"/>
  <c r="G393" i="1" l="1"/>
  <c r="H393" i="1" s="1"/>
  <c r="I393" i="1" s="1"/>
  <c r="J393" i="1" s="1"/>
  <c r="E393" i="4"/>
  <c r="G392" i="4"/>
  <c r="H392" i="4" s="1"/>
  <c r="I392" i="4" s="1"/>
  <c r="J392" i="4" s="1"/>
  <c r="D394" i="4"/>
  <c r="A395" i="4"/>
  <c r="C394" i="1"/>
  <c r="G393" i="2"/>
  <c r="H393" i="2" s="1"/>
  <c r="I393" i="2" s="1"/>
  <c r="J393" i="2" s="1"/>
  <c r="E394" i="2"/>
  <c r="G393" i="3"/>
  <c r="H393" i="3" s="1"/>
  <c r="I393" i="3" s="1"/>
  <c r="J393" i="3" s="1"/>
  <c r="E394" i="3"/>
  <c r="C395" i="4"/>
  <c r="C525" i="2"/>
  <c r="A396" i="2"/>
  <c r="D395" i="2"/>
  <c r="A394" i="3"/>
  <c r="D393" i="3"/>
  <c r="F393" i="1"/>
  <c r="E394" i="1" s="1"/>
  <c r="D393" i="1"/>
  <c r="A394" i="1"/>
  <c r="C395" i="3"/>
  <c r="G394" i="1" l="1"/>
  <c r="H394" i="1" s="1"/>
  <c r="I394" i="1" s="1"/>
  <c r="J394" i="1" s="1"/>
  <c r="C396" i="3"/>
  <c r="D396" i="2"/>
  <c r="A397" i="2"/>
  <c r="C526" i="2"/>
  <c r="D394" i="1"/>
  <c r="A395" i="1"/>
  <c r="F394" i="1"/>
  <c r="E395" i="1" s="1"/>
  <c r="C395" i="1"/>
  <c r="A396" i="4"/>
  <c r="D395" i="4"/>
  <c r="C396" i="4"/>
  <c r="G394" i="3"/>
  <c r="H394" i="3" s="1"/>
  <c r="I394" i="3" s="1"/>
  <c r="J394" i="3" s="1"/>
  <c r="E395" i="3"/>
  <c r="D394" i="3"/>
  <c r="A395" i="3"/>
  <c r="E394" i="4"/>
  <c r="G393" i="4"/>
  <c r="H393" i="4" s="1"/>
  <c r="I393" i="4" s="1"/>
  <c r="J393" i="4" s="1"/>
  <c r="G394" i="2"/>
  <c r="H394" i="2" s="1"/>
  <c r="I394" i="2" s="1"/>
  <c r="J394" i="2" s="1"/>
  <c r="E395" i="2"/>
  <c r="G395" i="1" l="1"/>
  <c r="H395" i="1" s="1"/>
  <c r="G395" i="2"/>
  <c r="H395" i="2" s="1"/>
  <c r="I395" i="2" s="1"/>
  <c r="J395" i="2" s="1"/>
  <c r="E396" i="2"/>
  <c r="C397" i="4"/>
  <c r="C527" i="2"/>
  <c r="I527" i="2" s="1"/>
  <c r="J527" i="2" s="1"/>
  <c r="E395" i="4"/>
  <c r="G394" i="4"/>
  <c r="H394" i="4" s="1"/>
  <c r="I394" i="4" s="1"/>
  <c r="J394" i="4" s="1"/>
  <c r="A397" i="4"/>
  <c r="D396" i="4"/>
  <c r="D397" i="2"/>
  <c r="A398" i="2"/>
  <c r="A396" i="3"/>
  <c r="D395" i="3"/>
  <c r="C396" i="1"/>
  <c r="I395" i="1"/>
  <c r="J395" i="1" s="1"/>
  <c r="C397" i="3"/>
  <c r="G395" i="3"/>
  <c r="H395" i="3" s="1"/>
  <c r="I395" i="3" s="1"/>
  <c r="J395" i="3" s="1"/>
  <c r="E396" i="3"/>
  <c r="D395" i="1"/>
  <c r="A396" i="1"/>
  <c r="F395" i="1"/>
  <c r="E396" i="1" s="1"/>
  <c r="G396" i="1" l="1"/>
  <c r="H396" i="1" s="1"/>
  <c r="A397" i="3"/>
  <c r="D396" i="3"/>
  <c r="G396" i="3"/>
  <c r="H396" i="3" s="1"/>
  <c r="I396" i="3" s="1"/>
  <c r="J396" i="3" s="1"/>
  <c r="E397" i="3"/>
  <c r="D398" i="2"/>
  <c r="A399" i="2"/>
  <c r="C398" i="4"/>
  <c r="G396" i="2"/>
  <c r="H396" i="2" s="1"/>
  <c r="I396" i="2" s="1"/>
  <c r="J396" i="2" s="1"/>
  <c r="E397" i="2"/>
  <c r="C398" i="3"/>
  <c r="A397" i="1"/>
  <c r="F396" i="1"/>
  <c r="E397" i="1" s="1"/>
  <c r="D396" i="1"/>
  <c r="A398" i="4"/>
  <c r="D397" i="4"/>
  <c r="I396" i="1"/>
  <c r="J396" i="1" s="1"/>
  <c r="C397" i="1"/>
  <c r="E396" i="4"/>
  <c r="G395" i="4"/>
  <c r="H395" i="4" s="1"/>
  <c r="I395" i="4" s="1"/>
  <c r="J395" i="4" s="1"/>
  <c r="G397" i="1" l="1"/>
  <c r="H397" i="1" s="1"/>
  <c r="A399" i="4"/>
  <c r="D398" i="4"/>
  <c r="A400" i="2"/>
  <c r="D399" i="2"/>
  <c r="E397" i="4"/>
  <c r="G396" i="4"/>
  <c r="H396" i="4" s="1"/>
  <c r="I396" i="4" s="1"/>
  <c r="J396" i="4" s="1"/>
  <c r="I397" i="1"/>
  <c r="J397" i="1" s="1"/>
  <c r="C398" i="1"/>
  <c r="D397" i="3"/>
  <c r="A398" i="3"/>
  <c r="C399" i="3"/>
  <c r="D397" i="1"/>
  <c r="F397" i="1"/>
  <c r="E398" i="1" s="1"/>
  <c r="A398" i="1"/>
  <c r="G397" i="3"/>
  <c r="H397" i="3" s="1"/>
  <c r="I397" i="3" s="1"/>
  <c r="J397" i="3" s="1"/>
  <c r="E398" i="3"/>
  <c r="G397" i="2"/>
  <c r="H397" i="2" s="1"/>
  <c r="I397" i="2" s="1"/>
  <c r="J397" i="2" s="1"/>
  <c r="E398" i="2"/>
  <c r="C399" i="4"/>
  <c r="G398" i="1" l="1"/>
  <c r="H398" i="1" s="1"/>
  <c r="I398" i="1" s="1"/>
  <c r="J398" i="1" s="1"/>
  <c r="E398" i="4"/>
  <c r="G397" i="4"/>
  <c r="H397" i="4" s="1"/>
  <c r="I397" i="4" s="1"/>
  <c r="J397" i="4" s="1"/>
  <c r="G398" i="2"/>
  <c r="H398" i="2" s="1"/>
  <c r="I398" i="2" s="1"/>
  <c r="J398" i="2" s="1"/>
  <c r="E399" i="2"/>
  <c r="C400" i="3"/>
  <c r="A401" i="2"/>
  <c r="D400" i="2"/>
  <c r="A400" i="4"/>
  <c r="D399" i="4"/>
  <c r="C400" i="4"/>
  <c r="C399" i="1"/>
  <c r="A399" i="3"/>
  <c r="D398" i="3"/>
  <c r="G398" i="3"/>
  <c r="H398" i="3" s="1"/>
  <c r="I398" i="3" s="1"/>
  <c r="J398" i="3" s="1"/>
  <c r="E399" i="3"/>
  <c r="F398" i="1"/>
  <c r="E399" i="1" s="1"/>
  <c r="D398" i="1"/>
  <c r="A399" i="1"/>
  <c r="G399" i="1" l="1"/>
  <c r="H399" i="1" s="1"/>
  <c r="D399" i="3"/>
  <c r="A400" i="3"/>
  <c r="A402" i="2"/>
  <c r="D401" i="2"/>
  <c r="C400" i="1"/>
  <c r="I399" i="1"/>
  <c r="J399" i="1" s="1"/>
  <c r="F399" i="1"/>
  <c r="E400" i="1" s="1"/>
  <c r="A400" i="1"/>
  <c r="D399" i="1"/>
  <c r="C401" i="3"/>
  <c r="G399" i="2"/>
  <c r="H399" i="2" s="1"/>
  <c r="I399" i="2" s="1"/>
  <c r="J399" i="2" s="1"/>
  <c r="E400" i="2"/>
  <c r="C401" i="4"/>
  <c r="G399" i="3"/>
  <c r="H399" i="3" s="1"/>
  <c r="I399" i="3" s="1"/>
  <c r="J399" i="3" s="1"/>
  <c r="E400" i="3"/>
  <c r="A401" i="4"/>
  <c r="D400" i="4"/>
  <c r="E399" i="4"/>
  <c r="G398" i="4"/>
  <c r="H398" i="4" s="1"/>
  <c r="I398" i="4" s="1"/>
  <c r="J398" i="4" s="1"/>
  <c r="G400" i="1" l="1"/>
  <c r="H400" i="1" s="1"/>
  <c r="C402" i="3"/>
  <c r="D402" i="2"/>
  <c r="A403" i="2"/>
  <c r="A402" i="4"/>
  <c r="D401" i="4"/>
  <c r="D400" i="3"/>
  <c r="A401" i="3"/>
  <c r="C402" i="4"/>
  <c r="G400" i="2"/>
  <c r="H400" i="2" s="1"/>
  <c r="I400" i="2" s="1"/>
  <c r="J400" i="2" s="1"/>
  <c r="E401" i="2"/>
  <c r="C401" i="1"/>
  <c r="I400" i="1"/>
  <c r="J400" i="1" s="1"/>
  <c r="E400" i="4"/>
  <c r="G399" i="4"/>
  <c r="H399" i="4" s="1"/>
  <c r="I399" i="4" s="1"/>
  <c r="J399" i="4" s="1"/>
  <c r="G400" i="3"/>
  <c r="H400" i="3" s="1"/>
  <c r="I400" i="3" s="1"/>
  <c r="J400" i="3" s="1"/>
  <c r="E401" i="3"/>
  <c r="F400" i="1"/>
  <c r="E401" i="1" s="1"/>
  <c r="D400" i="1"/>
  <c r="A401" i="1"/>
  <c r="G401" i="1" l="1"/>
  <c r="H401" i="1" s="1"/>
  <c r="I401" i="1" s="1"/>
  <c r="J401" i="1" s="1"/>
  <c r="G401" i="2"/>
  <c r="H401" i="2" s="1"/>
  <c r="I401" i="2" s="1"/>
  <c r="J401" i="2" s="1"/>
  <c r="E402" i="2"/>
  <c r="A404" i="2"/>
  <c r="D403" i="2"/>
  <c r="G401" i="3"/>
  <c r="H401" i="3" s="1"/>
  <c r="I401" i="3" s="1"/>
  <c r="J401" i="3" s="1"/>
  <c r="E402" i="3"/>
  <c r="C402" i="1"/>
  <c r="C403" i="4"/>
  <c r="C403" i="3"/>
  <c r="E401" i="4"/>
  <c r="G400" i="4"/>
  <c r="H400" i="4" s="1"/>
  <c r="I400" i="4" s="1"/>
  <c r="J400" i="4" s="1"/>
  <c r="F401" i="1"/>
  <c r="E402" i="1" s="1"/>
  <c r="D401" i="1"/>
  <c r="A402" i="1"/>
  <c r="A403" i="4"/>
  <c r="D402" i="4"/>
  <c r="A402" i="3"/>
  <c r="D401" i="3"/>
  <c r="G402" i="1" l="1"/>
  <c r="H402" i="1" s="1"/>
  <c r="I402" i="1" s="1"/>
  <c r="J402" i="1" s="1"/>
  <c r="E402" i="4"/>
  <c r="G401" i="4"/>
  <c r="H401" i="4" s="1"/>
  <c r="I401" i="4" s="1"/>
  <c r="J401" i="4" s="1"/>
  <c r="A405" i="2"/>
  <c r="D404" i="2"/>
  <c r="A404" i="4"/>
  <c r="D403" i="4"/>
  <c r="G402" i="2"/>
  <c r="H402" i="2" s="1"/>
  <c r="I402" i="2" s="1"/>
  <c r="J402" i="2" s="1"/>
  <c r="E403" i="2"/>
  <c r="D402" i="1"/>
  <c r="A403" i="1"/>
  <c r="F402" i="1"/>
  <c r="E403" i="1" s="1"/>
  <c r="C404" i="4"/>
  <c r="D402" i="3"/>
  <c r="A403" i="3"/>
  <c r="C404" i="3"/>
  <c r="G402" i="3"/>
  <c r="H402" i="3" s="1"/>
  <c r="I402" i="3" s="1"/>
  <c r="J402" i="3" s="1"/>
  <c r="E403" i="3"/>
  <c r="C403" i="1"/>
  <c r="G403" i="1" l="1"/>
  <c r="H403" i="1" s="1"/>
  <c r="I403" i="1" s="1"/>
  <c r="J403" i="1" s="1"/>
  <c r="A404" i="3"/>
  <c r="D403" i="3"/>
  <c r="A405" i="4"/>
  <c r="D404" i="4"/>
  <c r="C404" i="1"/>
  <c r="C405" i="4"/>
  <c r="D405" i="2"/>
  <c r="A406" i="2"/>
  <c r="E403" i="4"/>
  <c r="G402" i="4"/>
  <c r="H402" i="4" s="1"/>
  <c r="I402" i="4" s="1"/>
  <c r="J402" i="4" s="1"/>
  <c r="G403" i="3"/>
  <c r="H403" i="3" s="1"/>
  <c r="I403" i="3" s="1"/>
  <c r="J403" i="3" s="1"/>
  <c r="E404" i="3"/>
  <c r="D403" i="1"/>
  <c r="A404" i="1"/>
  <c r="F403" i="1"/>
  <c r="E404" i="1" s="1"/>
  <c r="C405" i="3"/>
  <c r="G403" i="2"/>
  <c r="H403" i="2" s="1"/>
  <c r="I403" i="2" s="1"/>
  <c r="J403" i="2" s="1"/>
  <c r="E404" i="2"/>
  <c r="G404" i="1" l="1"/>
  <c r="H404" i="1" s="1"/>
  <c r="I404" i="1" s="1"/>
  <c r="J404" i="1" s="1"/>
  <c r="C406" i="4"/>
  <c r="E404" i="4"/>
  <c r="G403" i="4"/>
  <c r="H403" i="4" s="1"/>
  <c r="I403" i="4" s="1"/>
  <c r="J403" i="4" s="1"/>
  <c r="A406" i="4"/>
  <c r="D405" i="4"/>
  <c r="G404" i="3"/>
  <c r="H404" i="3" s="1"/>
  <c r="I404" i="3" s="1"/>
  <c r="J404" i="3" s="1"/>
  <c r="E405" i="3"/>
  <c r="G404" i="2"/>
  <c r="H404" i="2" s="1"/>
  <c r="I404" i="2" s="1"/>
  <c r="J404" i="2" s="1"/>
  <c r="E405" i="2"/>
  <c r="C405" i="1"/>
  <c r="C406" i="3"/>
  <c r="A405" i="3"/>
  <c r="D404" i="3"/>
  <c r="D406" i="2"/>
  <c r="A407" i="2"/>
  <c r="A405" i="1"/>
  <c r="F404" i="1"/>
  <c r="E405" i="1" s="1"/>
  <c r="D404" i="1"/>
  <c r="G405" i="1" l="1"/>
  <c r="H405" i="1" s="1"/>
  <c r="I405" i="1" s="1"/>
  <c r="J405" i="1" s="1"/>
  <c r="A407" i="4"/>
  <c r="D406" i="4"/>
  <c r="D405" i="1"/>
  <c r="A406" i="1"/>
  <c r="F405" i="1"/>
  <c r="E406" i="1" s="1"/>
  <c r="E405" i="4"/>
  <c r="G404" i="4"/>
  <c r="H404" i="4" s="1"/>
  <c r="I404" i="4" s="1"/>
  <c r="J404" i="4" s="1"/>
  <c r="C406" i="1"/>
  <c r="A408" i="2"/>
  <c r="D407" i="2"/>
  <c r="G405" i="2"/>
  <c r="H405" i="2" s="1"/>
  <c r="I405" i="2" s="1"/>
  <c r="J405" i="2" s="1"/>
  <c r="E406" i="2"/>
  <c r="C407" i="4"/>
  <c r="G405" i="3"/>
  <c r="H405" i="3" s="1"/>
  <c r="I405" i="3" s="1"/>
  <c r="J405" i="3" s="1"/>
  <c r="E406" i="3"/>
  <c r="C407" i="3"/>
  <c r="D405" i="3"/>
  <c r="A406" i="3"/>
  <c r="G406" i="1" l="1"/>
  <c r="H406" i="1" s="1"/>
  <c r="I406" i="1" s="1"/>
  <c r="J406" i="1" s="1"/>
  <c r="C408" i="4"/>
  <c r="E406" i="4"/>
  <c r="G405" i="4"/>
  <c r="H405" i="4" s="1"/>
  <c r="I405" i="4" s="1"/>
  <c r="J405" i="4" s="1"/>
  <c r="A407" i="3"/>
  <c r="D406" i="3"/>
  <c r="G406" i="2"/>
  <c r="H406" i="2" s="1"/>
  <c r="I406" i="2" s="1"/>
  <c r="J406" i="2" s="1"/>
  <c r="E407" i="2"/>
  <c r="F406" i="1"/>
  <c r="E407" i="1" s="1"/>
  <c r="D406" i="1"/>
  <c r="A407" i="1"/>
  <c r="C408" i="3"/>
  <c r="A409" i="2"/>
  <c r="D408" i="2"/>
  <c r="G406" i="3"/>
  <c r="H406" i="3" s="1"/>
  <c r="I406" i="3" s="1"/>
  <c r="J406" i="3" s="1"/>
  <c r="E407" i="3"/>
  <c r="C407" i="1"/>
  <c r="A408" i="4"/>
  <c r="D407" i="4"/>
  <c r="G407" i="1" l="1"/>
  <c r="H407" i="1" s="1"/>
  <c r="D407" i="3"/>
  <c r="A408" i="3"/>
  <c r="F407" i="1"/>
  <c r="E408" i="1" s="1"/>
  <c r="A408" i="1"/>
  <c r="D407" i="1"/>
  <c r="E407" i="4"/>
  <c r="G406" i="4"/>
  <c r="H406" i="4" s="1"/>
  <c r="I406" i="4" s="1"/>
  <c r="J406" i="4" s="1"/>
  <c r="A410" i="2"/>
  <c r="D409" i="2"/>
  <c r="A409" i="4"/>
  <c r="D408" i="4"/>
  <c r="C409" i="3"/>
  <c r="C408" i="1"/>
  <c r="I407" i="1"/>
  <c r="J407" i="1" s="1"/>
  <c r="G407" i="3"/>
  <c r="H407" i="3" s="1"/>
  <c r="I407" i="3" s="1"/>
  <c r="J407" i="3" s="1"/>
  <c r="E408" i="3"/>
  <c r="C409" i="4"/>
  <c r="G407" i="2"/>
  <c r="H407" i="2" s="1"/>
  <c r="I407" i="2" s="1"/>
  <c r="J407" i="2" s="1"/>
  <c r="E408" i="2"/>
  <c r="G408" i="1" l="1"/>
  <c r="H408" i="1" s="1"/>
  <c r="I408" i="1" s="1"/>
  <c r="J408" i="1" s="1"/>
  <c r="G408" i="3"/>
  <c r="H408" i="3" s="1"/>
  <c r="I408" i="3" s="1"/>
  <c r="J408" i="3" s="1"/>
  <c r="E409" i="3"/>
  <c r="C409" i="1"/>
  <c r="E408" i="4"/>
  <c r="G407" i="4"/>
  <c r="H407" i="4" s="1"/>
  <c r="I407" i="4" s="1"/>
  <c r="J407" i="4" s="1"/>
  <c r="G408" i="2"/>
  <c r="H408" i="2" s="1"/>
  <c r="I408" i="2" s="1"/>
  <c r="J408" i="2" s="1"/>
  <c r="E409" i="2"/>
  <c r="C410" i="3"/>
  <c r="F408" i="1"/>
  <c r="E409" i="1" s="1"/>
  <c r="D408" i="1"/>
  <c r="A409" i="1"/>
  <c r="C410" i="4"/>
  <c r="A410" i="4"/>
  <c r="D409" i="4"/>
  <c r="D408" i="3"/>
  <c r="A409" i="3"/>
  <c r="D410" i="2"/>
  <c r="A411" i="2"/>
  <c r="G409" i="1" l="1"/>
  <c r="H409" i="1" s="1"/>
  <c r="I409" i="1" s="1"/>
  <c r="J409" i="1" s="1"/>
  <c r="A412" i="2"/>
  <c r="D411" i="2"/>
  <c r="F409" i="1"/>
  <c r="E410" i="1" s="1"/>
  <c r="D409" i="1"/>
  <c r="A410" i="1"/>
  <c r="E409" i="4"/>
  <c r="G408" i="4"/>
  <c r="H408" i="4" s="1"/>
  <c r="I408" i="4" s="1"/>
  <c r="J408" i="4" s="1"/>
  <c r="A410" i="3"/>
  <c r="D409" i="3"/>
  <c r="C410" i="1"/>
  <c r="G409" i="3"/>
  <c r="H409" i="3" s="1"/>
  <c r="I409" i="3" s="1"/>
  <c r="J409" i="3" s="1"/>
  <c r="E410" i="3"/>
  <c r="C411" i="3"/>
  <c r="A411" i="4"/>
  <c r="D410" i="4"/>
  <c r="G409" i="2"/>
  <c r="H409" i="2" s="1"/>
  <c r="I409" i="2" s="1"/>
  <c r="J409" i="2" s="1"/>
  <c r="E410" i="2"/>
  <c r="C411" i="4"/>
  <c r="G410" i="1" l="1"/>
  <c r="H410" i="1" s="1"/>
  <c r="I410" i="1" s="1"/>
  <c r="J410" i="1" s="1"/>
  <c r="D410" i="3"/>
  <c r="A411" i="3"/>
  <c r="C412" i="3"/>
  <c r="E410" i="4"/>
  <c r="G409" i="4"/>
  <c r="H409" i="4" s="1"/>
  <c r="I409" i="4" s="1"/>
  <c r="J409" i="4" s="1"/>
  <c r="G410" i="3"/>
  <c r="H410" i="3" s="1"/>
  <c r="I410" i="3" s="1"/>
  <c r="J410" i="3" s="1"/>
  <c r="E411" i="3"/>
  <c r="D410" i="1"/>
  <c r="A411" i="1"/>
  <c r="F410" i="1"/>
  <c r="E411" i="1" s="1"/>
  <c r="G410" i="2"/>
  <c r="H410" i="2" s="1"/>
  <c r="I410" i="2" s="1"/>
  <c r="J410" i="2" s="1"/>
  <c r="E411" i="2"/>
  <c r="D412" i="2"/>
  <c r="A413" i="2"/>
  <c r="C412" i="4"/>
  <c r="C411" i="1"/>
  <c r="A412" i="4"/>
  <c r="D411" i="4"/>
  <c r="G411" i="1" l="1"/>
  <c r="H411" i="1" s="1"/>
  <c r="I411" i="1" s="1"/>
  <c r="J411" i="1" s="1"/>
  <c r="G411" i="2"/>
  <c r="H411" i="2" s="1"/>
  <c r="I411" i="2" s="1"/>
  <c r="J411" i="2" s="1"/>
  <c r="E412" i="2"/>
  <c r="E411" i="4"/>
  <c r="G410" i="4"/>
  <c r="H410" i="4" s="1"/>
  <c r="I410" i="4" s="1"/>
  <c r="J410" i="4" s="1"/>
  <c r="A413" i="4"/>
  <c r="D412" i="4"/>
  <c r="C413" i="3"/>
  <c r="D413" i="2"/>
  <c r="A414" i="2"/>
  <c r="C412" i="1"/>
  <c r="D411" i="1"/>
  <c r="A412" i="1"/>
  <c r="F411" i="1"/>
  <c r="E412" i="1" s="1"/>
  <c r="A412" i="3"/>
  <c r="D411" i="3"/>
  <c r="C413" i="4"/>
  <c r="G411" i="3"/>
  <c r="H411" i="3" s="1"/>
  <c r="I411" i="3" s="1"/>
  <c r="J411" i="3" s="1"/>
  <c r="E412" i="3"/>
  <c r="G412" i="1" l="1"/>
  <c r="H412" i="1" s="1"/>
  <c r="I412" i="1" s="1"/>
  <c r="J412" i="1" s="1"/>
  <c r="A414" i="4"/>
  <c r="D413" i="4"/>
  <c r="C413" i="1"/>
  <c r="E412" i="4"/>
  <c r="G411" i="4"/>
  <c r="H411" i="4" s="1"/>
  <c r="I411" i="4" s="1"/>
  <c r="J411" i="4" s="1"/>
  <c r="G412" i="3"/>
  <c r="H412" i="3" s="1"/>
  <c r="I412" i="3" s="1"/>
  <c r="J412" i="3" s="1"/>
  <c r="E413" i="3"/>
  <c r="C414" i="4"/>
  <c r="D414" i="2"/>
  <c r="A415" i="2"/>
  <c r="G412" i="2"/>
  <c r="H412" i="2" s="1"/>
  <c r="I412" i="2" s="1"/>
  <c r="J412" i="2" s="1"/>
  <c r="E413" i="2"/>
  <c r="A413" i="1"/>
  <c r="F412" i="1"/>
  <c r="E413" i="1" s="1"/>
  <c r="D412" i="1"/>
  <c r="A413" i="3"/>
  <c r="D412" i="3"/>
  <c r="C414" i="3"/>
  <c r="G413" i="1" l="1"/>
  <c r="H413" i="1" s="1"/>
  <c r="E413" i="4"/>
  <c r="G412" i="4"/>
  <c r="H412" i="4" s="1"/>
  <c r="I412" i="4" s="1"/>
  <c r="J412" i="4" s="1"/>
  <c r="C415" i="3"/>
  <c r="A416" i="2"/>
  <c r="D415" i="2"/>
  <c r="I413" i="1"/>
  <c r="J413" i="1" s="1"/>
  <c r="C414" i="1"/>
  <c r="C415" i="4"/>
  <c r="A415" i="4"/>
  <c r="D414" i="4"/>
  <c r="G413" i="2"/>
  <c r="H413" i="2" s="1"/>
  <c r="I413" i="2" s="1"/>
  <c r="J413" i="2" s="1"/>
  <c r="E414" i="2"/>
  <c r="D413" i="3"/>
  <c r="A414" i="3"/>
  <c r="G413" i="3"/>
  <c r="H413" i="3" s="1"/>
  <c r="I413" i="3" s="1"/>
  <c r="J413" i="3" s="1"/>
  <c r="E414" i="3"/>
  <c r="D413" i="1"/>
  <c r="A414" i="1"/>
  <c r="F413" i="1"/>
  <c r="E414" i="1" s="1"/>
  <c r="G414" i="1" l="1"/>
  <c r="H414" i="1" s="1"/>
  <c r="I414" i="1" s="1"/>
  <c r="J414" i="1" s="1"/>
  <c r="G414" i="2"/>
  <c r="H414" i="2" s="1"/>
  <c r="I414" i="2" s="1"/>
  <c r="J414" i="2" s="1"/>
  <c r="E415" i="2"/>
  <c r="A417" i="2"/>
  <c r="D416" i="2"/>
  <c r="F414" i="1"/>
  <c r="E415" i="1" s="1"/>
  <c r="D414" i="1"/>
  <c r="A415" i="1"/>
  <c r="A416" i="4"/>
  <c r="D415" i="4"/>
  <c r="C416" i="3"/>
  <c r="C416" i="4"/>
  <c r="E414" i="4"/>
  <c r="G413" i="4"/>
  <c r="H413" i="4" s="1"/>
  <c r="I413" i="4" s="1"/>
  <c r="J413" i="4" s="1"/>
  <c r="G414" i="3"/>
  <c r="H414" i="3" s="1"/>
  <c r="I414" i="3" s="1"/>
  <c r="J414" i="3" s="1"/>
  <c r="E415" i="3"/>
  <c r="A415" i="3"/>
  <c r="D414" i="3"/>
  <c r="C415" i="1"/>
  <c r="G415" i="1" l="1"/>
  <c r="H415" i="1" s="1"/>
  <c r="I415" i="1" s="1"/>
  <c r="J415" i="1" s="1"/>
  <c r="C416" i="1"/>
  <c r="A418" i="2"/>
  <c r="D417" i="2"/>
  <c r="E415" i="4"/>
  <c r="G414" i="4"/>
  <c r="H414" i="4" s="1"/>
  <c r="I414" i="4" s="1"/>
  <c r="J414" i="4" s="1"/>
  <c r="C417" i="4"/>
  <c r="D415" i="3"/>
  <c r="A416" i="3"/>
  <c r="C417" i="3"/>
  <c r="G415" i="2"/>
  <c r="H415" i="2" s="1"/>
  <c r="I415" i="2" s="1"/>
  <c r="J415" i="2" s="1"/>
  <c r="E416" i="2"/>
  <c r="G415" i="3"/>
  <c r="H415" i="3" s="1"/>
  <c r="I415" i="3" s="1"/>
  <c r="J415" i="3" s="1"/>
  <c r="E416" i="3"/>
  <c r="A417" i="4"/>
  <c r="D416" i="4"/>
  <c r="F415" i="1"/>
  <c r="E416" i="1" s="1"/>
  <c r="A416" i="1"/>
  <c r="D415" i="1"/>
  <c r="G416" i="1" l="1"/>
  <c r="H416" i="1" s="1"/>
  <c r="G416" i="2"/>
  <c r="H416" i="2" s="1"/>
  <c r="I416" i="2" s="1"/>
  <c r="J416" i="2" s="1"/>
  <c r="E417" i="2"/>
  <c r="E416" i="4"/>
  <c r="G415" i="4"/>
  <c r="H415" i="4" s="1"/>
  <c r="I415" i="4" s="1"/>
  <c r="J415" i="4" s="1"/>
  <c r="C418" i="3"/>
  <c r="D418" i="2"/>
  <c r="A419" i="2"/>
  <c r="F416" i="1"/>
  <c r="E417" i="1" s="1"/>
  <c r="D416" i="1"/>
  <c r="A417" i="1"/>
  <c r="D416" i="3"/>
  <c r="A417" i="3"/>
  <c r="C417" i="1"/>
  <c r="I416" i="1"/>
  <c r="J416" i="1" s="1"/>
  <c r="A418" i="4"/>
  <c r="D417" i="4"/>
  <c r="G416" i="3"/>
  <c r="H416" i="3" s="1"/>
  <c r="I416" i="3" s="1"/>
  <c r="J416" i="3" s="1"/>
  <c r="E417" i="3"/>
  <c r="C418" i="4"/>
  <c r="G417" i="1" l="1"/>
  <c r="H417" i="1" s="1"/>
  <c r="I417" i="1" s="1"/>
  <c r="J417" i="1" s="1"/>
  <c r="C418" i="1"/>
  <c r="A418" i="3"/>
  <c r="D417" i="3"/>
  <c r="C419" i="3"/>
  <c r="G417" i="3"/>
  <c r="H417" i="3" s="1"/>
  <c r="I417" i="3" s="1"/>
  <c r="J417" i="3" s="1"/>
  <c r="E418" i="3"/>
  <c r="F417" i="1"/>
  <c r="E418" i="1" s="1"/>
  <c r="D417" i="1"/>
  <c r="A418" i="1"/>
  <c r="E417" i="4"/>
  <c r="G416" i="4"/>
  <c r="H416" i="4" s="1"/>
  <c r="I416" i="4" s="1"/>
  <c r="J416" i="4" s="1"/>
  <c r="G417" i="2"/>
  <c r="H417" i="2" s="1"/>
  <c r="I417" i="2" s="1"/>
  <c r="J417" i="2" s="1"/>
  <c r="E418" i="2"/>
  <c r="C419" i="4"/>
  <c r="A419" i="4"/>
  <c r="D418" i="4"/>
  <c r="A420" i="2"/>
  <c r="D419" i="2"/>
  <c r="G418" i="1" l="1"/>
  <c r="H418" i="1" s="1"/>
  <c r="A421" i="2"/>
  <c r="D420" i="2"/>
  <c r="E418" i="4"/>
  <c r="G417" i="4"/>
  <c r="H417" i="4" s="1"/>
  <c r="I417" i="4" s="1"/>
  <c r="J417" i="4" s="1"/>
  <c r="D418" i="1"/>
  <c r="A419" i="1"/>
  <c r="F418" i="1"/>
  <c r="E419" i="1" s="1"/>
  <c r="D418" i="3"/>
  <c r="A419" i="3"/>
  <c r="D419" i="4"/>
  <c r="A420" i="4"/>
  <c r="C420" i="4"/>
  <c r="C419" i="1"/>
  <c r="I418" i="1"/>
  <c r="J418" i="1" s="1"/>
  <c r="C420" i="3"/>
  <c r="G418" i="3"/>
  <c r="H418" i="3" s="1"/>
  <c r="I418" i="3" s="1"/>
  <c r="J418" i="3" s="1"/>
  <c r="E419" i="3"/>
  <c r="G418" i="2"/>
  <c r="H418" i="2" s="1"/>
  <c r="I418" i="2" s="1"/>
  <c r="J418" i="2" s="1"/>
  <c r="E419" i="2"/>
  <c r="G419" i="1" l="1"/>
  <c r="H419" i="1" s="1"/>
  <c r="I419" i="1" s="1"/>
  <c r="J419" i="1" s="1"/>
  <c r="C421" i="4"/>
  <c r="C420" i="1"/>
  <c r="G419" i="2"/>
  <c r="H419" i="2" s="1"/>
  <c r="I419" i="2" s="1"/>
  <c r="J419" i="2" s="1"/>
  <c r="E420" i="2"/>
  <c r="G419" i="3"/>
  <c r="H419" i="3" s="1"/>
  <c r="I419" i="3" s="1"/>
  <c r="J419" i="3" s="1"/>
  <c r="E420" i="3"/>
  <c r="D420" i="4"/>
  <c r="A421" i="4"/>
  <c r="E419" i="4"/>
  <c r="G418" i="4"/>
  <c r="H418" i="4" s="1"/>
  <c r="I418" i="4" s="1"/>
  <c r="J418" i="4" s="1"/>
  <c r="C421" i="3"/>
  <c r="A420" i="3"/>
  <c r="D419" i="3"/>
  <c r="D421" i="2"/>
  <c r="A422" i="2"/>
  <c r="D419" i="1"/>
  <c r="A420" i="1"/>
  <c r="F419" i="1"/>
  <c r="E420" i="1" s="1"/>
  <c r="G420" i="1" l="1"/>
  <c r="H420" i="1" s="1"/>
  <c r="I420" i="1" s="1"/>
  <c r="J420" i="1" s="1"/>
  <c r="E420" i="4"/>
  <c r="G419" i="4"/>
  <c r="H419" i="4" s="1"/>
  <c r="I419" i="4" s="1"/>
  <c r="J419" i="4" s="1"/>
  <c r="C421" i="1"/>
  <c r="A421" i="3"/>
  <c r="D420" i="3"/>
  <c r="G420" i="2"/>
  <c r="H420" i="2" s="1"/>
  <c r="I420" i="2" s="1"/>
  <c r="J420" i="2" s="1"/>
  <c r="E421" i="2"/>
  <c r="C422" i="3"/>
  <c r="A421" i="1"/>
  <c r="F420" i="1"/>
  <c r="E421" i="1" s="1"/>
  <c r="D420" i="1"/>
  <c r="D422" i="2"/>
  <c r="A423" i="2"/>
  <c r="A422" i="4"/>
  <c r="D421" i="4"/>
  <c r="C422" i="4"/>
  <c r="G420" i="3"/>
  <c r="H420" i="3" s="1"/>
  <c r="I420" i="3" s="1"/>
  <c r="J420" i="3" s="1"/>
  <c r="E421" i="3"/>
  <c r="G421" i="1" l="1"/>
  <c r="H421" i="1" s="1"/>
  <c r="I421" i="1" s="1"/>
  <c r="J421" i="1" s="1"/>
  <c r="D421" i="3"/>
  <c r="A422" i="3"/>
  <c r="C422" i="1"/>
  <c r="G421" i="3"/>
  <c r="H421" i="3" s="1"/>
  <c r="I421" i="3" s="1"/>
  <c r="J421" i="3" s="1"/>
  <c r="E422" i="3"/>
  <c r="C423" i="4"/>
  <c r="D421" i="1"/>
  <c r="A422" i="1"/>
  <c r="F421" i="1"/>
  <c r="E422" i="1" s="1"/>
  <c r="D423" i="2"/>
  <c r="A424" i="2"/>
  <c r="G420" i="4"/>
  <c r="H420" i="4" s="1"/>
  <c r="I420" i="4" s="1"/>
  <c r="J420" i="4" s="1"/>
  <c r="E421" i="4"/>
  <c r="C423" i="3"/>
  <c r="A423" i="4"/>
  <c r="D422" i="4"/>
  <c r="G421" i="2"/>
  <c r="H421" i="2" s="1"/>
  <c r="I421" i="2" s="1"/>
  <c r="J421" i="2" s="1"/>
  <c r="E422" i="2"/>
  <c r="G422" i="1" l="1"/>
  <c r="H422" i="1" s="1"/>
  <c r="I422" i="1" s="1"/>
  <c r="J422" i="1" s="1"/>
  <c r="C423" i="1"/>
  <c r="D423" i="4"/>
  <c r="A424" i="4"/>
  <c r="F422" i="1"/>
  <c r="E423" i="1" s="1"/>
  <c r="D422" i="1"/>
  <c r="A423" i="1"/>
  <c r="A423" i="3"/>
  <c r="D422" i="3"/>
  <c r="C424" i="3"/>
  <c r="C424" i="4"/>
  <c r="G422" i="3"/>
  <c r="H422" i="3" s="1"/>
  <c r="I422" i="3" s="1"/>
  <c r="J422" i="3" s="1"/>
  <c r="E423" i="3"/>
  <c r="G422" i="2"/>
  <c r="H422" i="2" s="1"/>
  <c r="I422" i="2" s="1"/>
  <c r="J422" i="2" s="1"/>
  <c r="E423" i="2"/>
  <c r="D424" i="2"/>
  <c r="A425" i="2"/>
  <c r="G421" i="4"/>
  <c r="H421" i="4" s="1"/>
  <c r="I421" i="4" s="1"/>
  <c r="J421" i="4" s="1"/>
  <c r="E422" i="4"/>
  <c r="G423" i="1" l="1"/>
  <c r="H423" i="1" s="1"/>
  <c r="E423" i="4"/>
  <c r="G422" i="4"/>
  <c r="H422" i="4" s="1"/>
  <c r="I422" i="4" s="1"/>
  <c r="J422" i="4" s="1"/>
  <c r="C425" i="4"/>
  <c r="D424" i="4"/>
  <c r="A425" i="4"/>
  <c r="C425" i="3"/>
  <c r="C424" i="1"/>
  <c r="I423" i="1"/>
  <c r="J423" i="1" s="1"/>
  <c r="D423" i="3"/>
  <c r="A424" i="3"/>
  <c r="D425" i="2"/>
  <c r="A426" i="2"/>
  <c r="G423" i="2"/>
  <c r="H423" i="2" s="1"/>
  <c r="I423" i="2" s="1"/>
  <c r="J423" i="2" s="1"/>
  <c r="E424" i="2"/>
  <c r="G423" i="3"/>
  <c r="H423" i="3" s="1"/>
  <c r="I423" i="3" s="1"/>
  <c r="J423" i="3" s="1"/>
  <c r="E424" i="3"/>
  <c r="F423" i="1"/>
  <c r="E424" i="1" s="1"/>
  <c r="D423" i="1"/>
  <c r="A424" i="1"/>
  <c r="G424" i="1" l="1"/>
  <c r="H424" i="1" s="1"/>
  <c r="I424" i="1" s="1"/>
  <c r="J424" i="1" s="1"/>
  <c r="C426" i="4"/>
  <c r="G424" i="3"/>
  <c r="H424" i="3" s="1"/>
  <c r="I424" i="3" s="1"/>
  <c r="J424" i="3" s="1"/>
  <c r="E425" i="3"/>
  <c r="G424" i="2"/>
  <c r="H424" i="2" s="1"/>
  <c r="I424" i="2" s="1"/>
  <c r="J424" i="2" s="1"/>
  <c r="E425" i="2"/>
  <c r="C426" i="3"/>
  <c r="D426" i="2"/>
  <c r="A427" i="2"/>
  <c r="D425" i="4"/>
  <c r="A426" i="4"/>
  <c r="F424" i="1"/>
  <c r="E425" i="1" s="1"/>
  <c r="D424" i="1"/>
  <c r="A425" i="1"/>
  <c r="D424" i="3"/>
  <c r="A425" i="3"/>
  <c r="C425" i="1"/>
  <c r="E424" i="4"/>
  <c r="G423" i="4"/>
  <c r="H423" i="4" s="1"/>
  <c r="I423" i="4" s="1"/>
  <c r="J423" i="4" s="1"/>
  <c r="G425" i="1" l="1"/>
  <c r="H425" i="1" s="1"/>
  <c r="I425" i="1" s="1"/>
  <c r="J425" i="1" s="1"/>
  <c r="G425" i="2"/>
  <c r="H425" i="2" s="1"/>
  <c r="I425" i="2" s="1"/>
  <c r="J425" i="2" s="1"/>
  <c r="E426" i="2"/>
  <c r="E425" i="4"/>
  <c r="G424" i="4"/>
  <c r="H424" i="4" s="1"/>
  <c r="I424" i="4" s="1"/>
  <c r="J424" i="4" s="1"/>
  <c r="D426" i="4"/>
  <c r="A427" i="4"/>
  <c r="G425" i="3"/>
  <c r="H425" i="3" s="1"/>
  <c r="I425" i="3" s="1"/>
  <c r="J425" i="3" s="1"/>
  <c r="E426" i="3"/>
  <c r="A426" i="3"/>
  <c r="D425" i="3"/>
  <c r="F425" i="1"/>
  <c r="E426" i="1" s="1"/>
  <c r="D425" i="1"/>
  <c r="A426" i="1"/>
  <c r="C427" i="3"/>
  <c r="C426" i="1"/>
  <c r="D427" i="2"/>
  <c r="A428" i="2"/>
  <c r="C427" i="4"/>
  <c r="G426" i="1" l="1"/>
  <c r="H426" i="1" s="1"/>
  <c r="I426" i="1" s="1"/>
  <c r="J426" i="1" s="1"/>
  <c r="D426" i="3"/>
  <c r="A427" i="3"/>
  <c r="C427" i="1"/>
  <c r="G426" i="3"/>
  <c r="H426" i="3" s="1"/>
  <c r="I426" i="3" s="1"/>
  <c r="J426" i="3" s="1"/>
  <c r="E427" i="3"/>
  <c r="C428" i="3"/>
  <c r="D427" i="4"/>
  <c r="A428" i="4"/>
  <c r="D428" i="2"/>
  <c r="A429" i="2"/>
  <c r="E426" i="4"/>
  <c r="G425" i="4"/>
  <c r="H425" i="4" s="1"/>
  <c r="I425" i="4" s="1"/>
  <c r="J425" i="4" s="1"/>
  <c r="G426" i="2"/>
  <c r="H426" i="2" s="1"/>
  <c r="I426" i="2" s="1"/>
  <c r="J426" i="2" s="1"/>
  <c r="E427" i="2"/>
  <c r="C428" i="4"/>
  <c r="D426" i="1"/>
  <c r="A427" i="1"/>
  <c r="F426" i="1"/>
  <c r="E427" i="1" s="1"/>
  <c r="G427" i="1" l="1"/>
  <c r="H427" i="1" s="1"/>
  <c r="I427" i="1" s="1"/>
  <c r="J427" i="1" s="1"/>
  <c r="G427" i="3"/>
  <c r="H427" i="3" s="1"/>
  <c r="I427" i="3" s="1"/>
  <c r="J427" i="3" s="1"/>
  <c r="E428" i="3"/>
  <c r="E427" i="4"/>
  <c r="G426" i="4"/>
  <c r="H426" i="4" s="1"/>
  <c r="I426" i="4" s="1"/>
  <c r="J426" i="4" s="1"/>
  <c r="C428" i="1"/>
  <c r="C429" i="4"/>
  <c r="D428" i="4"/>
  <c r="A429" i="4"/>
  <c r="A428" i="3"/>
  <c r="D427" i="3"/>
  <c r="D427" i="1"/>
  <c r="A428" i="1"/>
  <c r="F427" i="1"/>
  <c r="E428" i="1" s="1"/>
  <c r="D429" i="2"/>
  <c r="A430" i="2"/>
  <c r="G427" i="2"/>
  <c r="H427" i="2" s="1"/>
  <c r="I427" i="2" s="1"/>
  <c r="J427" i="2" s="1"/>
  <c r="E428" i="2"/>
  <c r="C429" i="3"/>
  <c r="G428" i="1" l="1"/>
  <c r="H428" i="1" s="1"/>
  <c r="I428" i="1" s="1"/>
  <c r="J428" i="1" s="1"/>
  <c r="A429" i="1"/>
  <c r="F428" i="1"/>
  <c r="E429" i="1" s="1"/>
  <c r="D428" i="1"/>
  <c r="C429" i="1"/>
  <c r="G428" i="2"/>
  <c r="H428" i="2" s="1"/>
  <c r="I428" i="2" s="1"/>
  <c r="J428" i="2" s="1"/>
  <c r="E429" i="2"/>
  <c r="A429" i="3"/>
  <c r="D428" i="3"/>
  <c r="E428" i="4"/>
  <c r="G427" i="4"/>
  <c r="H427" i="4" s="1"/>
  <c r="I427" i="4" s="1"/>
  <c r="J427" i="4" s="1"/>
  <c r="D429" i="4"/>
  <c r="A430" i="4"/>
  <c r="G428" i="3"/>
  <c r="H428" i="3" s="1"/>
  <c r="I428" i="3" s="1"/>
  <c r="J428" i="3" s="1"/>
  <c r="E429" i="3"/>
  <c r="C430" i="3"/>
  <c r="D430" i="2"/>
  <c r="A431" i="2"/>
  <c r="C430" i="4"/>
  <c r="G429" i="1" l="1"/>
  <c r="H429" i="1" s="1"/>
  <c r="I429" i="1" s="1"/>
  <c r="J429" i="1" s="1"/>
  <c r="C431" i="4"/>
  <c r="D430" i="4"/>
  <c r="A431" i="4"/>
  <c r="C430" i="1"/>
  <c r="E429" i="4"/>
  <c r="G428" i="4"/>
  <c r="H428" i="4" s="1"/>
  <c r="I428" i="4" s="1"/>
  <c r="J428" i="4" s="1"/>
  <c r="F429" i="1"/>
  <c r="E430" i="1" s="1"/>
  <c r="D429" i="1"/>
  <c r="A430" i="1"/>
  <c r="C431" i="3"/>
  <c r="D429" i="3"/>
  <c r="A430" i="3"/>
  <c r="D431" i="2"/>
  <c r="A432" i="2"/>
  <c r="G429" i="3"/>
  <c r="H429" i="3" s="1"/>
  <c r="I429" i="3" s="1"/>
  <c r="J429" i="3" s="1"/>
  <c r="E430" i="3"/>
  <c r="G429" i="2"/>
  <c r="H429" i="2" s="1"/>
  <c r="I429" i="2" s="1"/>
  <c r="J429" i="2" s="1"/>
  <c r="E430" i="2"/>
  <c r="G430" i="1" l="1"/>
  <c r="H430" i="1" s="1"/>
  <c r="I430" i="1" s="1"/>
  <c r="J430" i="1" s="1"/>
  <c r="C431" i="1"/>
  <c r="G430" i="2"/>
  <c r="H430" i="2" s="1"/>
  <c r="I430" i="2" s="1"/>
  <c r="J430" i="2" s="1"/>
  <c r="E431" i="2"/>
  <c r="C432" i="3"/>
  <c r="D431" i="4"/>
  <c r="A432" i="4"/>
  <c r="C432" i="4"/>
  <c r="G430" i="3"/>
  <c r="H430" i="3" s="1"/>
  <c r="I430" i="3" s="1"/>
  <c r="J430" i="3" s="1"/>
  <c r="E431" i="3"/>
  <c r="F430" i="1"/>
  <c r="E431" i="1" s="1"/>
  <c r="D430" i="1"/>
  <c r="A431" i="1"/>
  <c r="D432" i="2"/>
  <c r="A433" i="2"/>
  <c r="A431" i="3"/>
  <c r="D430" i="3"/>
  <c r="E430" i="4"/>
  <c r="G429" i="4"/>
  <c r="H429" i="4" s="1"/>
  <c r="I429" i="4" s="1"/>
  <c r="J429" i="4" s="1"/>
  <c r="G431" i="1" l="1"/>
  <c r="H431" i="1" s="1"/>
  <c r="C433" i="3"/>
  <c r="F431" i="1"/>
  <c r="E432" i="1" s="1"/>
  <c r="D431" i="1"/>
  <c r="A432" i="1"/>
  <c r="E431" i="4"/>
  <c r="G430" i="4"/>
  <c r="H430" i="4" s="1"/>
  <c r="I430" i="4" s="1"/>
  <c r="J430" i="4" s="1"/>
  <c r="G431" i="3"/>
  <c r="H431" i="3" s="1"/>
  <c r="I431" i="3" s="1"/>
  <c r="J431" i="3" s="1"/>
  <c r="E432" i="3"/>
  <c r="G431" i="2"/>
  <c r="H431" i="2" s="1"/>
  <c r="I431" i="2" s="1"/>
  <c r="J431" i="2" s="1"/>
  <c r="E432" i="2"/>
  <c r="C433" i="4"/>
  <c r="C432" i="1"/>
  <c r="I431" i="1"/>
  <c r="J431" i="1" s="1"/>
  <c r="D431" i="3"/>
  <c r="A432" i="3"/>
  <c r="D433" i="2"/>
  <c r="A434" i="2"/>
  <c r="D432" i="4"/>
  <c r="A433" i="4"/>
  <c r="G432" i="1" l="1"/>
  <c r="H432" i="1" s="1"/>
  <c r="I432" i="1" s="1"/>
  <c r="J432" i="1" s="1"/>
  <c r="C433" i="1"/>
  <c r="E432" i="4"/>
  <c r="G431" i="4"/>
  <c r="H431" i="4" s="1"/>
  <c r="I431" i="4" s="1"/>
  <c r="J431" i="4" s="1"/>
  <c r="D433" i="4"/>
  <c r="A434" i="4"/>
  <c r="C434" i="4"/>
  <c r="F432" i="1"/>
  <c r="E433" i="1" s="1"/>
  <c r="D432" i="1"/>
  <c r="A433" i="1"/>
  <c r="D434" i="2"/>
  <c r="A435" i="2"/>
  <c r="G432" i="2"/>
  <c r="H432" i="2" s="1"/>
  <c r="I432" i="2" s="1"/>
  <c r="J432" i="2" s="1"/>
  <c r="E433" i="2"/>
  <c r="C434" i="3"/>
  <c r="A433" i="3"/>
  <c r="D432" i="3"/>
  <c r="G432" i="3"/>
  <c r="H432" i="3" s="1"/>
  <c r="I432" i="3" s="1"/>
  <c r="J432" i="3" s="1"/>
  <c r="E433" i="3"/>
  <c r="G433" i="1" l="1"/>
  <c r="H433" i="1" s="1"/>
  <c r="I433" i="1" s="1"/>
  <c r="J433" i="1" s="1"/>
  <c r="F433" i="1"/>
  <c r="E434" i="1" s="1"/>
  <c r="D433" i="1"/>
  <c r="A434" i="1"/>
  <c r="E433" i="4"/>
  <c r="G432" i="4"/>
  <c r="H432" i="4" s="1"/>
  <c r="I432" i="4" s="1"/>
  <c r="J432" i="4" s="1"/>
  <c r="C434" i="1"/>
  <c r="A434" i="3"/>
  <c r="D433" i="3"/>
  <c r="C435" i="3"/>
  <c r="C435" i="4"/>
  <c r="D434" i="4"/>
  <c r="A435" i="4"/>
  <c r="G433" i="3"/>
  <c r="H433" i="3" s="1"/>
  <c r="I433" i="3" s="1"/>
  <c r="J433" i="3" s="1"/>
  <c r="E434" i="3"/>
  <c r="D435" i="2"/>
  <c r="A436" i="2"/>
  <c r="G433" i="2"/>
  <c r="H433" i="2" s="1"/>
  <c r="I433" i="2" s="1"/>
  <c r="J433" i="2" s="1"/>
  <c r="E434" i="2"/>
  <c r="G434" i="1" l="1"/>
  <c r="H434" i="1" s="1"/>
  <c r="I434" i="1" s="1"/>
  <c r="J434" i="1" s="1"/>
  <c r="E434" i="4"/>
  <c r="G433" i="4"/>
  <c r="H433" i="4" s="1"/>
  <c r="I433" i="4" s="1"/>
  <c r="J433" i="4" s="1"/>
  <c r="C435" i="1"/>
  <c r="G434" i="2"/>
  <c r="H434" i="2" s="1"/>
  <c r="I434" i="2" s="1"/>
  <c r="J434" i="2" s="1"/>
  <c r="E435" i="2"/>
  <c r="C436" i="4"/>
  <c r="D436" i="2"/>
  <c r="A437" i="2"/>
  <c r="C436" i="3"/>
  <c r="D434" i="1"/>
  <c r="A435" i="1"/>
  <c r="F434" i="1"/>
  <c r="E435" i="1" s="1"/>
  <c r="G434" i="3"/>
  <c r="H434" i="3" s="1"/>
  <c r="I434" i="3" s="1"/>
  <c r="J434" i="3" s="1"/>
  <c r="E435" i="3"/>
  <c r="A435" i="3"/>
  <c r="D434" i="3"/>
  <c r="D435" i="4"/>
  <c r="A436" i="4"/>
  <c r="G435" i="1" l="1"/>
  <c r="H435" i="1" s="1"/>
  <c r="I435" i="1" s="1"/>
  <c r="J435" i="1" s="1"/>
  <c r="D436" i="4"/>
  <c r="A437" i="4"/>
  <c r="C437" i="3"/>
  <c r="C436" i="1"/>
  <c r="D435" i="1"/>
  <c r="A436" i="1"/>
  <c r="F435" i="1"/>
  <c r="E436" i="1" s="1"/>
  <c r="G434" i="4"/>
  <c r="H434" i="4" s="1"/>
  <c r="I434" i="4" s="1"/>
  <c r="J434" i="4" s="1"/>
  <c r="E435" i="4"/>
  <c r="G435" i="2"/>
  <c r="H435" i="2" s="1"/>
  <c r="I435" i="2" s="1"/>
  <c r="J435" i="2" s="1"/>
  <c r="E436" i="2"/>
  <c r="A436" i="3"/>
  <c r="D435" i="3"/>
  <c r="C437" i="4"/>
  <c r="D437" i="2"/>
  <c r="A438" i="2"/>
  <c r="G435" i="3"/>
  <c r="H435" i="3" s="1"/>
  <c r="I435" i="3" s="1"/>
  <c r="J435" i="3" s="1"/>
  <c r="E436" i="3"/>
  <c r="G436" i="1" l="1"/>
  <c r="H436" i="1" s="1"/>
  <c r="A437" i="3"/>
  <c r="D436" i="3"/>
  <c r="G436" i="3"/>
  <c r="H436" i="3" s="1"/>
  <c r="I436" i="3" s="1"/>
  <c r="J436" i="3" s="1"/>
  <c r="E437" i="3"/>
  <c r="G436" i="2"/>
  <c r="H436" i="2" s="1"/>
  <c r="I436" i="2" s="1"/>
  <c r="J436" i="2" s="1"/>
  <c r="E437" i="2"/>
  <c r="I436" i="1"/>
  <c r="J436" i="1" s="1"/>
  <c r="C437" i="1"/>
  <c r="C438" i="3"/>
  <c r="D438" i="2"/>
  <c r="A439" i="2"/>
  <c r="G435" i="4"/>
  <c r="H435" i="4" s="1"/>
  <c r="I435" i="4" s="1"/>
  <c r="J435" i="4" s="1"/>
  <c r="E436" i="4"/>
  <c r="D437" i="4"/>
  <c r="A438" i="4"/>
  <c r="C438" i="4"/>
  <c r="A437" i="1"/>
  <c r="F436" i="1"/>
  <c r="E437" i="1" s="1"/>
  <c r="D436" i="1"/>
  <c r="G437" i="1" l="1"/>
  <c r="H437" i="1" s="1"/>
  <c r="I437" i="1" s="1"/>
  <c r="J437" i="1" s="1"/>
  <c r="D439" i="2"/>
  <c r="A440" i="2"/>
  <c r="G437" i="3"/>
  <c r="H437" i="3" s="1"/>
  <c r="I437" i="3" s="1"/>
  <c r="J437" i="3" s="1"/>
  <c r="E438" i="3"/>
  <c r="G436" i="4"/>
  <c r="H436" i="4" s="1"/>
  <c r="I436" i="4" s="1"/>
  <c r="J436" i="4" s="1"/>
  <c r="E437" i="4"/>
  <c r="G437" i="2"/>
  <c r="H437" i="2" s="1"/>
  <c r="I437" i="2" s="1"/>
  <c r="J437" i="2" s="1"/>
  <c r="E438" i="2"/>
  <c r="C439" i="3"/>
  <c r="A438" i="3"/>
  <c r="D437" i="3"/>
  <c r="F437" i="1"/>
  <c r="E438" i="1" s="1"/>
  <c r="D437" i="1"/>
  <c r="A438" i="1"/>
  <c r="C439" i="4"/>
  <c r="D438" i="4"/>
  <c r="A439" i="4"/>
  <c r="C438" i="1"/>
  <c r="G438" i="1" l="1"/>
  <c r="H438" i="1" s="1"/>
  <c r="I438" i="1" s="1"/>
  <c r="J438" i="1" s="1"/>
  <c r="F438" i="1"/>
  <c r="E439" i="1" s="1"/>
  <c r="D438" i="1"/>
  <c r="A439" i="1"/>
  <c r="G438" i="3"/>
  <c r="H438" i="3" s="1"/>
  <c r="I438" i="3" s="1"/>
  <c r="J438" i="3" s="1"/>
  <c r="E439" i="3"/>
  <c r="D440" i="2"/>
  <c r="A441" i="2"/>
  <c r="G437" i="4"/>
  <c r="H437" i="4" s="1"/>
  <c r="I437" i="4" s="1"/>
  <c r="J437" i="4" s="1"/>
  <c r="E438" i="4"/>
  <c r="C439" i="1"/>
  <c r="D439" i="4"/>
  <c r="A440" i="4"/>
  <c r="A439" i="3"/>
  <c r="D438" i="3"/>
  <c r="C440" i="3"/>
  <c r="C440" i="4"/>
  <c r="G438" i="2"/>
  <c r="H438" i="2" s="1"/>
  <c r="I438" i="2" s="1"/>
  <c r="J438" i="2" s="1"/>
  <c r="E439" i="2"/>
  <c r="G439" i="1" l="1"/>
  <c r="H439" i="1" s="1"/>
  <c r="I439" i="1" s="1"/>
  <c r="J439" i="1" s="1"/>
  <c r="G439" i="2"/>
  <c r="H439" i="2" s="1"/>
  <c r="I439" i="2" s="1"/>
  <c r="J439" i="2" s="1"/>
  <c r="E440" i="2"/>
  <c r="D440" i="4"/>
  <c r="A441" i="4"/>
  <c r="G439" i="3"/>
  <c r="H439" i="3" s="1"/>
  <c r="I439" i="3" s="1"/>
  <c r="J439" i="3" s="1"/>
  <c r="E440" i="3"/>
  <c r="C441" i="3"/>
  <c r="A440" i="3"/>
  <c r="D439" i="3"/>
  <c r="F439" i="1"/>
  <c r="E440" i="1" s="1"/>
  <c r="D439" i="1"/>
  <c r="A440" i="1"/>
  <c r="C441" i="4"/>
  <c r="C440" i="1"/>
  <c r="G438" i="4"/>
  <c r="H438" i="4" s="1"/>
  <c r="I438" i="4" s="1"/>
  <c r="J438" i="4" s="1"/>
  <c r="E439" i="4"/>
  <c r="D441" i="2"/>
  <c r="A442" i="2"/>
  <c r="G440" i="1" l="1"/>
  <c r="H440" i="1" s="1"/>
  <c r="I440" i="1" s="1"/>
  <c r="J440" i="1" s="1"/>
  <c r="D442" i="2"/>
  <c r="A443" i="2"/>
  <c r="D441" i="4"/>
  <c r="A442" i="4"/>
  <c r="G440" i="2"/>
  <c r="H440" i="2" s="1"/>
  <c r="I440" i="2" s="1"/>
  <c r="J440" i="2" s="1"/>
  <c r="E441" i="2"/>
  <c r="G440" i="3"/>
  <c r="H440" i="3" s="1"/>
  <c r="I440" i="3" s="1"/>
  <c r="J440" i="3" s="1"/>
  <c r="E441" i="3"/>
  <c r="F440" i="1"/>
  <c r="E441" i="1" s="1"/>
  <c r="D440" i="1"/>
  <c r="A441" i="1"/>
  <c r="C441" i="1"/>
  <c r="A441" i="3"/>
  <c r="D440" i="3"/>
  <c r="C442" i="3"/>
  <c r="G439" i="4"/>
  <c r="H439" i="4" s="1"/>
  <c r="I439" i="4" s="1"/>
  <c r="J439" i="4" s="1"/>
  <c r="E440" i="4"/>
  <c r="C442" i="4"/>
  <c r="G441" i="1" l="1"/>
  <c r="H441" i="1" s="1"/>
  <c r="I441" i="1" s="1"/>
  <c r="J441" i="1" s="1"/>
  <c r="D442" i="4"/>
  <c r="A443" i="4"/>
  <c r="A442" i="3"/>
  <c r="D441" i="3"/>
  <c r="C443" i="4"/>
  <c r="G440" i="4"/>
  <c r="H440" i="4" s="1"/>
  <c r="I440" i="4" s="1"/>
  <c r="J440" i="4" s="1"/>
  <c r="E441" i="4"/>
  <c r="F441" i="1"/>
  <c r="E442" i="1" s="1"/>
  <c r="D441" i="1"/>
  <c r="A442" i="1"/>
  <c r="D443" i="2"/>
  <c r="A444" i="2"/>
  <c r="G441" i="2"/>
  <c r="H441" i="2" s="1"/>
  <c r="I441" i="2" s="1"/>
  <c r="J441" i="2" s="1"/>
  <c r="E442" i="2"/>
  <c r="C442" i="1"/>
  <c r="C443" i="3"/>
  <c r="G441" i="3"/>
  <c r="H441" i="3" s="1"/>
  <c r="I441" i="3" s="1"/>
  <c r="J441" i="3" s="1"/>
  <c r="E442" i="3"/>
  <c r="G442" i="1" l="1"/>
  <c r="H442" i="1" s="1"/>
  <c r="I442" i="1" s="1"/>
  <c r="J442" i="1" s="1"/>
  <c r="C444" i="4"/>
  <c r="G442" i="3"/>
  <c r="H442" i="3" s="1"/>
  <c r="I442" i="3" s="1"/>
  <c r="J442" i="3" s="1"/>
  <c r="E443" i="3"/>
  <c r="D444" i="2"/>
  <c r="A445" i="2"/>
  <c r="C444" i="3"/>
  <c r="A443" i="3"/>
  <c r="D442" i="3"/>
  <c r="D443" i="4"/>
  <c r="A444" i="4"/>
  <c r="F442" i="1"/>
  <c r="E443" i="1" s="1"/>
  <c r="D442" i="1"/>
  <c r="A443" i="1"/>
  <c r="C443" i="1"/>
  <c r="G441" i="4"/>
  <c r="H441" i="4" s="1"/>
  <c r="I441" i="4" s="1"/>
  <c r="J441" i="4" s="1"/>
  <c r="E442" i="4"/>
  <c r="G442" i="2"/>
  <c r="H442" i="2" s="1"/>
  <c r="I442" i="2" s="1"/>
  <c r="J442" i="2" s="1"/>
  <c r="E443" i="2"/>
  <c r="G443" i="1" l="1"/>
  <c r="H443" i="1" s="1"/>
  <c r="A445" i="4"/>
  <c r="D444" i="4"/>
  <c r="G443" i="3"/>
  <c r="H443" i="3" s="1"/>
  <c r="I443" i="3" s="1"/>
  <c r="J443" i="3" s="1"/>
  <c r="E444" i="3"/>
  <c r="C445" i="4"/>
  <c r="A444" i="3"/>
  <c r="D443" i="3"/>
  <c r="C444" i="1"/>
  <c r="I443" i="1"/>
  <c r="J443" i="1" s="1"/>
  <c r="D445" i="2"/>
  <c r="A446" i="2"/>
  <c r="G443" i="2"/>
  <c r="H443" i="2" s="1"/>
  <c r="I443" i="2" s="1"/>
  <c r="J443" i="2" s="1"/>
  <c r="E444" i="2"/>
  <c r="G442" i="4"/>
  <c r="H442" i="4" s="1"/>
  <c r="I442" i="4" s="1"/>
  <c r="J442" i="4" s="1"/>
  <c r="E443" i="4"/>
  <c r="D443" i="1"/>
  <c r="F443" i="1"/>
  <c r="E444" i="1" s="1"/>
  <c r="A444" i="1"/>
  <c r="C445" i="3"/>
  <c r="G444" i="1" l="1"/>
  <c r="H444" i="1" s="1"/>
  <c r="I444" i="1" s="1"/>
  <c r="J444" i="1" s="1"/>
  <c r="C446" i="4"/>
  <c r="G443" i="4"/>
  <c r="H443" i="4" s="1"/>
  <c r="I443" i="4" s="1"/>
  <c r="J443" i="4" s="1"/>
  <c r="E444" i="4"/>
  <c r="G444" i="2"/>
  <c r="H444" i="2" s="1"/>
  <c r="I444" i="2" s="1"/>
  <c r="J444" i="2" s="1"/>
  <c r="E445" i="2"/>
  <c r="C446" i="3"/>
  <c r="D446" i="2"/>
  <c r="A447" i="2"/>
  <c r="G444" i="3"/>
  <c r="H444" i="3" s="1"/>
  <c r="I444" i="3" s="1"/>
  <c r="J444" i="3" s="1"/>
  <c r="E445" i="3"/>
  <c r="A445" i="1"/>
  <c r="F444" i="1"/>
  <c r="E445" i="1" s="1"/>
  <c r="D444" i="1"/>
  <c r="C445" i="1"/>
  <c r="A446" i="4"/>
  <c r="D445" i="4"/>
  <c r="A445" i="3"/>
  <c r="D444" i="3"/>
  <c r="G445" i="1" l="1"/>
  <c r="H445" i="1" s="1"/>
  <c r="A446" i="1"/>
  <c r="F445" i="1"/>
  <c r="E446" i="1" s="1"/>
  <c r="D445" i="1"/>
  <c r="A446" i="3"/>
  <c r="D445" i="3"/>
  <c r="G445" i="3"/>
  <c r="H445" i="3" s="1"/>
  <c r="I445" i="3" s="1"/>
  <c r="J445" i="3" s="1"/>
  <c r="E446" i="3"/>
  <c r="G444" i="4"/>
  <c r="H444" i="4" s="1"/>
  <c r="I444" i="4" s="1"/>
  <c r="J444" i="4" s="1"/>
  <c r="E445" i="4"/>
  <c r="G445" i="2"/>
  <c r="H445" i="2" s="1"/>
  <c r="I445" i="2" s="1"/>
  <c r="J445" i="2" s="1"/>
  <c r="E446" i="2"/>
  <c r="D447" i="2"/>
  <c r="A448" i="2"/>
  <c r="D446" i="4"/>
  <c r="A447" i="4"/>
  <c r="I445" i="1"/>
  <c r="J445" i="1" s="1"/>
  <c r="C446" i="1"/>
  <c r="C447" i="4"/>
  <c r="C447" i="3"/>
  <c r="G446" i="1" l="1"/>
  <c r="H446" i="1" s="1"/>
  <c r="I446" i="1" s="1"/>
  <c r="J446" i="1" s="1"/>
  <c r="A447" i="3"/>
  <c r="D446" i="3"/>
  <c r="C448" i="3"/>
  <c r="A449" i="2"/>
  <c r="D448" i="2"/>
  <c r="C448" i="4"/>
  <c r="G446" i="2"/>
  <c r="H446" i="2" s="1"/>
  <c r="I446" i="2" s="1"/>
  <c r="J446" i="2" s="1"/>
  <c r="E447" i="2"/>
  <c r="C447" i="1"/>
  <c r="G445" i="4"/>
  <c r="H445" i="4" s="1"/>
  <c r="I445" i="4" s="1"/>
  <c r="J445" i="4" s="1"/>
  <c r="E446" i="4"/>
  <c r="A447" i="1"/>
  <c r="F446" i="1"/>
  <c r="E447" i="1" s="1"/>
  <c r="D446" i="1"/>
  <c r="D447" i="4"/>
  <c r="A448" i="4"/>
  <c r="G446" i="3"/>
  <c r="H446" i="3" s="1"/>
  <c r="I446" i="3" s="1"/>
  <c r="J446" i="3" s="1"/>
  <c r="E447" i="3"/>
  <c r="G447" i="1" l="1"/>
  <c r="H447" i="1" s="1"/>
  <c r="I447" i="1" s="1"/>
  <c r="J447" i="1" s="1"/>
  <c r="A450" i="2"/>
  <c r="D449" i="2"/>
  <c r="C448" i="1"/>
  <c r="G447" i="3"/>
  <c r="H447" i="3" s="1"/>
  <c r="I447" i="3" s="1"/>
  <c r="J447" i="3" s="1"/>
  <c r="E448" i="3"/>
  <c r="A449" i="4"/>
  <c r="D448" i="4"/>
  <c r="C449" i="3"/>
  <c r="G446" i="4"/>
  <c r="H446" i="4" s="1"/>
  <c r="I446" i="4" s="1"/>
  <c r="J446" i="4" s="1"/>
  <c r="E447" i="4"/>
  <c r="A448" i="3"/>
  <c r="D447" i="3"/>
  <c r="G447" i="2"/>
  <c r="H447" i="2" s="1"/>
  <c r="I447" i="2" s="1"/>
  <c r="J447" i="2" s="1"/>
  <c r="E448" i="2"/>
  <c r="A448" i="1"/>
  <c r="F447" i="1"/>
  <c r="E448" i="1" s="1"/>
  <c r="D447" i="1"/>
  <c r="C449" i="4"/>
  <c r="G448" i="1" l="1"/>
  <c r="H448" i="1" s="1"/>
  <c r="I448" i="1" s="1"/>
  <c r="J448" i="1" s="1"/>
  <c r="G448" i="2"/>
  <c r="H448" i="2" s="1"/>
  <c r="I448" i="2" s="1"/>
  <c r="J448" i="2" s="1"/>
  <c r="E449" i="2"/>
  <c r="G448" i="3"/>
  <c r="H448" i="3" s="1"/>
  <c r="I448" i="3" s="1"/>
  <c r="J448" i="3" s="1"/>
  <c r="E449" i="3"/>
  <c r="A449" i="3"/>
  <c r="D448" i="3"/>
  <c r="C450" i="4"/>
  <c r="G447" i="4"/>
  <c r="H447" i="4" s="1"/>
  <c r="I447" i="4" s="1"/>
  <c r="J447" i="4" s="1"/>
  <c r="E448" i="4"/>
  <c r="C449" i="1"/>
  <c r="C450" i="3"/>
  <c r="A449" i="1"/>
  <c r="F448" i="1"/>
  <c r="E449" i="1" s="1"/>
  <c r="D448" i="1"/>
  <c r="A451" i="2"/>
  <c r="D450" i="2"/>
  <c r="D449" i="4"/>
  <c r="A450" i="4"/>
  <c r="G449" i="1" l="1"/>
  <c r="H449" i="1" s="1"/>
  <c r="I449" i="1" s="1"/>
  <c r="J449" i="1" s="1"/>
  <c r="D450" i="4"/>
  <c r="A451" i="4"/>
  <c r="C451" i="3"/>
  <c r="A450" i="3"/>
  <c r="D449" i="3"/>
  <c r="G449" i="3"/>
  <c r="H449" i="3" s="1"/>
  <c r="I449" i="3" s="1"/>
  <c r="J449" i="3" s="1"/>
  <c r="E450" i="3"/>
  <c r="C450" i="1"/>
  <c r="A452" i="2"/>
  <c r="D451" i="2"/>
  <c r="G448" i="4"/>
  <c r="H448" i="4" s="1"/>
  <c r="I448" i="4" s="1"/>
  <c r="J448" i="4" s="1"/>
  <c r="E449" i="4"/>
  <c r="G449" i="2"/>
  <c r="H449" i="2" s="1"/>
  <c r="I449" i="2" s="1"/>
  <c r="J449" i="2" s="1"/>
  <c r="E450" i="2"/>
  <c r="F449" i="1"/>
  <c r="E450" i="1" s="1"/>
  <c r="A450" i="1"/>
  <c r="D449" i="1"/>
  <c r="C451" i="4"/>
  <c r="G450" i="1" l="1"/>
  <c r="H450" i="1" s="1"/>
  <c r="I450" i="1" s="1"/>
  <c r="J450" i="1" s="1"/>
  <c r="G449" i="4"/>
  <c r="H449" i="4" s="1"/>
  <c r="I449" i="4" s="1"/>
  <c r="J449" i="4" s="1"/>
  <c r="E450" i="4"/>
  <c r="A451" i="3"/>
  <c r="D450" i="3"/>
  <c r="C452" i="3"/>
  <c r="C452" i="4"/>
  <c r="A453" i="2"/>
  <c r="D452" i="2"/>
  <c r="D450" i="1"/>
  <c r="A451" i="1"/>
  <c r="F450" i="1"/>
  <c r="E451" i="1" s="1"/>
  <c r="D451" i="4"/>
  <c r="A452" i="4"/>
  <c r="C451" i="1"/>
  <c r="G450" i="2"/>
  <c r="H450" i="2" s="1"/>
  <c r="I450" i="2" s="1"/>
  <c r="J450" i="2" s="1"/>
  <c r="E451" i="2"/>
  <c r="G450" i="3"/>
  <c r="H450" i="3" s="1"/>
  <c r="I450" i="3" s="1"/>
  <c r="J450" i="3" s="1"/>
  <c r="E451" i="3"/>
  <c r="G451" i="1" l="1"/>
  <c r="H451" i="1" s="1"/>
  <c r="G451" i="3"/>
  <c r="H451" i="3" s="1"/>
  <c r="I451" i="3" s="1"/>
  <c r="J451" i="3" s="1"/>
  <c r="E452" i="3"/>
  <c r="C453" i="3"/>
  <c r="A452" i="3"/>
  <c r="D451" i="3"/>
  <c r="G450" i="4"/>
  <c r="H450" i="4" s="1"/>
  <c r="I450" i="4" s="1"/>
  <c r="J450" i="4" s="1"/>
  <c r="E451" i="4"/>
  <c r="D451" i="1"/>
  <c r="F451" i="1"/>
  <c r="E452" i="1" s="1"/>
  <c r="A452" i="1"/>
  <c r="G451" i="2"/>
  <c r="H451" i="2" s="1"/>
  <c r="I451" i="2" s="1"/>
  <c r="J451" i="2" s="1"/>
  <c r="E452" i="2"/>
  <c r="A454" i="2"/>
  <c r="D453" i="2"/>
  <c r="C452" i="1"/>
  <c r="I451" i="1"/>
  <c r="J451" i="1" s="1"/>
  <c r="C453" i="4"/>
  <c r="A453" i="4"/>
  <c r="D452" i="4"/>
  <c r="G452" i="1" l="1"/>
  <c r="H452" i="1" s="1"/>
  <c r="I452" i="1" s="1"/>
  <c r="J452" i="1" s="1"/>
  <c r="G452" i="2"/>
  <c r="H452" i="2" s="1"/>
  <c r="I452" i="2" s="1"/>
  <c r="J452" i="2" s="1"/>
  <c r="E453" i="2"/>
  <c r="A453" i="3"/>
  <c r="D452" i="3"/>
  <c r="C454" i="3"/>
  <c r="A455" i="2"/>
  <c r="D454" i="2"/>
  <c r="A454" i="4"/>
  <c r="D453" i="4"/>
  <c r="A453" i="1"/>
  <c r="F452" i="1"/>
  <c r="E453" i="1" s="1"/>
  <c r="D452" i="1"/>
  <c r="C454" i="4"/>
  <c r="G452" i="3"/>
  <c r="H452" i="3" s="1"/>
  <c r="I452" i="3" s="1"/>
  <c r="J452" i="3" s="1"/>
  <c r="E453" i="3"/>
  <c r="G451" i="4"/>
  <c r="H451" i="4" s="1"/>
  <c r="I451" i="4" s="1"/>
  <c r="J451" i="4" s="1"/>
  <c r="E452" i="4"/>
  <c r="C453" i="1"/>
  <c r="G453" i="1" l="1"/>
  <c r="H453" i="1" s="1"/>
  <c r="I453" i="1" s="1"/>
  <c r="J453" i="1" s="1"/>
  <c r="C455" i="3"/>
  <c r="C455" i="4"/>
  <c r="C454" i="1"/>
  <c r="G452" i="4"/>
  <c r="H452" i="4" s="1"/>
  <c r="I452" i="4" s="1"/>
  <c r="J452" i="4" s="1"/>
  <c r="E453" i="4"/>
  <c r="F453" i="1"/>
  <c r="E454" i="1" s="1"/>
  <c r="D453" i="1"/>
  <c r="A454" i="1"/>
  <c r="A454" i="3"/>
  <c r="D453" i="3"/>
  <c r="G453" i="2"/>
  <c r="H453" i="2" s="1"/>
  <c r="I453" i="2" s="1"/>
  <c r="J453" i="2" s="1"/>
  <c r="E454" i="2"/>
  <c r="G453" i="3"/>
  <c r="H453" i="3" s="1"/>
  <c r="I453" i="3" s="1"/>
  <c r="J453" i="3" s="1"/>
  <c r="E454" i="3"/>
  <c r="D454" i="4"/>
  <c r="A455" i="4"/>
  <c r="A456" i="2"/>
  <c r="D455" i="2"/>
  <c r="G454" i="1" l="1"/>
  <c r="H454" i="1" s="1"/>
  <c r="I454" i="1" s="1"/>
  <c r="J454" i="1" s="1"/>
  <c r="A455" i="3"/>
  <c r="D454" i="3"/>
  <c r="C456" i="4"/>
  <c r="C455" i="1"/>
  <c r="A457" i="2"/>
  <c r="D456" i="2"/>
  <c r="D455" i="4"/>
  <c r="A456" i="4"/>
  <c r="F454" i="1"/>
  <c r="E455" i="1" s="1"/>
  <c r="A455" i="1"/>
  <c r="D454" i="1"/>
  <c r="C456" i="3"/>
  <c r="G454" i="3"/>
  <c r="H454" i="3" s="1"/>
  <c r="I454" i="3" s="1"/>
  <c r="J454" i="3" s="1"/>
  <c r="E455" i="3"/>
  <c r="G454" i="2"/>
  <c r="H454" i="2" s="1"/>
  <c r="I454" i="2" s="1"/>
  <c r="J454" i="2" s="1"/>
  <c r="E455" i="2"/>
  <c r="G453" i="4"/>
  <c r="H453" i="4" s="1"/>
  <c r="I453" i="4" s="1"/>
  <c r="J453" i="4" s="1"/>
  <c r="E454" i="4"/>
  <c r="G455" i="1" l="1"/>
  <c r="H455" i="1" s="1"/>
  <c r="I455" i="1" s="1"/>
  <c r="J455" i="1" s="1"/>
  <c r="C457" i="3"/>
  <c r="C456" i="1"/>
  <c r="G454" i="4"/>
  <c r="H454" i="4" s="1"/>
  <c r="I454" i="4" s="1"/>
  <c r="J454" i="4" s="1"/>
  <c r="E455" i="4"/>
  <c r="A456" i="1"/>
  <c r="F455" i="1"/>
  <c r="E456" i="1" s="1"/>
  <c r="D455" i="1"/>
  <c r="G455" i="2"/>
  <c r="H455" i="2" s="1"/>
  <c r="I455" i="2" s="1"/>
  <c r="J455" i="2" s="1"/>
  <c r="E456" i="2"/>
  <c r="C457" i="4"/>
  <c r="A456" i="3"/>
  <c r="D455" i="3"/>
  <c r="D456" i="4"/>
  <c r="A457" i="4"/>
  <c r="G455" i="3"/>
  <c r="H455" i="3" s="1"/>
  <c r="I455" i="3" s="1"/>
  <c r="J455" i="3" s="1"/>
  <c r="E456" i="3"/>
  <c r="A458" i="2"/>
  <c r="D457" i="2"/>
  <c r="G456" i="1" l="1"/>
  <c r="H456" i="1" s="1"/>
  <c r="A457" i="3"/>
  <c r="D456" i="3"/>
  <c r="G455" i="4"/>
  <c r="H455" i="4" s="1"/>
  <c r="I455" i="4" s="1"/>
  <c r="J455" i="4" s="1"/>
  <c r="E456" i="4"/>
  <c r="A459" i="2"/>
  <c r="D458" i="2"/>
  <c r="C458" i="4"/>
  <c r="G456" i="3"/>
  <c r="H456" i="3" s="1"/>
  <c r="I456" i="3" s="1"/>
  <c r="J456" i="3" s="1"/>
  <c r="E457" i="3"/>
  <c r="G456" i="2"/>
  <c r="H456" i="2" s="1"/>
  <c r="I456" i="2" s="1"/>
  <c r="J456" i="2" s="1"/>
  <c r="E457" i="2"/>
  <c r="C457" i="1"/>
  <c r="I456" i="1"/>
  <c r="J456" i="1" s="1"/>
  <c r="C458" i="3"/>
  <c r="A458" i="4"/>
  <c r="D457" i="4"/>
  <c r="D456" i="1"/>
  <c r="A457" i="1"/>
  <c r="F456" i="1"/>
  <c r="E457" i="1" s="1"/>
  <c r="G457" i="1" l="1"/>
  <c r="H457" i="1" s="1"/>
  <c r="I457" i="1" s="1"/>
  <c r="J457" i="1" s="1"/>
  <c r="C458" i="1"/>
  <c r="A460" i="2"/>
  <c r="D459" i="2"/>
  <c r="F457" i="1"/>
  <c r="E458" i="1" s="1"/>
  <c r="A458" i="1"/>
  <c r="D457" i="1"/>
  <c r="G457" i="2"/>
  <c r="H457" i="2" s="1"/>
  <c r="I457" i="2" s="1"/>
  <c r="J457" i="2" s="1"/>
  <c r="E458" i="2"/>
  <c r="G456" i="4"/>
  <c r="H456" i="4" s="1"/>
  <c r="I456" i="4" s="1"/>
  <c r="J456" i="4" s="1"/>
  <c r="E457" i="4"/>
  <c r="G457" i="3"/>
  <c r="H457" i="3" s="1"/>
  <c r="I457" i="3" s="1"/>
  <c r="J457" i="3" s="1"/>
  <c r="E458" i="3"/>
  <c r="A459" i="4"/>
  <c r="D458" i="4"/>
  <c r="A458" i="3"/>
  <c r="D457" i="3"/>
  <c r="C459" i="4"/>
  <c r="C459" i="3"/>
  <c r="G458" i="1" l="1"/>
  <c r="H458" i="1" s="1"/>
  <c r="I458" i="1" s="1"/>
  <c r="J458" i="1" s="1"/>
  <c r="D459" i="4"/>
  <c r="A460" i="4"/>
  <c r="F458" i="1"/>
  <c r="E459" i="1" s="1"/>
  <c r="D458" i="1"/>
  <c r="A459" i="1"/>
  <c r="C460" i="3"/>
  <c r="G458" i="3"/>
  <c r="H458" i="3" s="1"/>
  <c r="I458" i="3" s="1"/>
  <c r="J458" i="3" s="1"/>
  <c r="E459" i="3"/>
  <c r="C460" i="4"/>
  <c r="G457" i="4"/>
  <c r="H457" i="4" s="1"/>
  <c r="I457" i="4" s="1"/>
  <c r="J457" i="4" s="1"/>
  <c r="E458" i="4"/>
  <c r="A461" i="2"/>
  <c r="D460" i="2"/>
  <c r="A459" i="3"/>
  <c r="D458" i="3"/>
  <c r="G458" i="2"/>
  <c r="H458" i="2" s="1"/>
  <c r="I458" i="2" s="1"/>
  <c r="J458" i="2" s="1"/>
  <c r="E459" i="2"/>
  <c r="C459" i="1"/>
  <c r="G459" i="1" l="1"/>
  <c r="H459" i="1" s="1"/>
  <c r="I459" i="1" s="1"/>
  <c r="J459" i="1" s="1"/>
  <c r="A462" i="2"/>
  <c r="D461" i="2"/>
  <c r="C461" i="3"/>
  <c r="G458" i="4"/>
  <c r="H458" i="4" s="1"/>
  <c r="I458" i="4" s="1"/>
  <c r="J458" i="4" s="1"/>
  <c r="E459" i="4"/>
  <c r="D459" i="1"/>
  <c r="F459" i="1"/>
  <c r="E460" i="1" s="1"/>
  <c r="A460" i="1"/>
  <c r="G459" i="2"/>
  <c r="H459" i="2" s="1"/>
  <c r="I459" i="2" s="1"/>
  <c r="J459" i="2" s="1"/>
  <c r="E460" i="2"/>
  <c r="C461" i="4"/>
  <c r="D460" i="4"/>
  <c r="A461" i="4"/>
  <c r="G459" i="3"/>
  <c r="H459" i="3" s="1"/>
  <c r="I459" i="3" s="1"/>
  <c r="J459" i="3" s="1"/>
  <c r="E460" i="3"/>
  <c r="C460" i="1"/>
  <c r="A460" i="3"/>
  <c r="D459" i="3"/>
  <c r="G460" i="1" l="1"/>
  <c r="H460" i="1" s="1"/>
  <c r="I460" i="1" s="1"/>
  <c r="J460" i="1" s="1"/>
  <c r="A462" i="4"/>
  <c r="D461" i="4"/>
  <c r="G459" i="4"/>
  <c r="H459" i="4" s="1"/>
  <c r="I459" i="4" s="1"/>
  <c r="J459" i="4" s="1"/>
  <c r="E460" i="4"/>
  <c r="A461" i="3"/>
  <c r="D460" i="3"/>
  <c r="C462" i="3"/>
  <c r="C462" i="4"/>
  <c r="G460" i="2"/>
  <c r="H460" i="2" s="1"/>
  <c r="I460" i="2" s="1"/>
  <c r="J460" i="2" s="1"/>
  <c r="E461" i="2"/>
  <c r="C461" i="1"/>
  <c r="G460" i="3"/>
  <c r="H460" i="3" s="1"/>
  <c r="I460" i="3" s="1"/>
  <c r="J460" i="3" s="1"/>
  <c r="E461" i="3"/>
  <c r="A461" i="1"/>
  <c r="F460" i="1"/>
  <c r="E461" i="1" s="1"/>
  <c r="D460" i="1"/>
  <c r="A463" i="2"/>
  <c r="D462" i="2"/>
  <c r="G461" i="1" l="1"/>
  <c r="H461" i="1" s="1"/>
  <c r="I461" i="1" s="1"/>
  <c r="J461" i="1" s="1"/>
  <c r="A462" i="3"/>
  <c r="D461" i="3"/>
  <c r="C462" i="1"/>
  <c r="A464" i="2"/>
  <c r="D463" i="2"/>
  <c r="G461" i="2"/>
  <c r="H461" i="2" s="1"/>
  <c r="I461" i="2" s="1"/>
  <c r="J461" i="2" s="1"/>
  <c r="E462" i="2"/>
  <c r="G460" i="4"/>
  <c r="H460" i="4" s="1"/>
  <c r="I460" i="4" s="1"/>
  <c r="J460" i="4" s="1"/>
  <c r="E461" i="4"/>
  <c r="C463" i="4"/>
  <c r="A463" i="4"/>
  <c r="D462" i="4"/>
  <c r="A462" i="1"/>
  <c r="F461" i="1"/>
  <c r="E462" i="1" s="1"/>
  <c r="D461" i="1"/>
  <c r="G461" i="3"/>
  <c r="H461" i="3" s="1"/>
  <c r="I461" i="3" s="1"/>
  <c r="J461" i="3" s="1"/>
  <c r="E462" i="3"/>
  <c r="C463" i="3"/>
  <c r="G462" i="1" l="1"/>
  <c r="H462" i="1" s="1"/>
  <c r="I462" i="1" s="1"/>
  <c r="J462" i="1" s="1"/>
  <c r="D463" i="4"/>
  <c r="A464" i="4"/>
  <c r="C464" i="4"/>
  <c r="C464" i="3"/>
  <c r="A465" i="2"/>
  <c r="D464" i="2"/>
  <c r="G462" i="3"/>
  <c r="H462" i="3" s="1"/>
  <c r="I462" i="3" s="1"/>
  <c r="J462" i="3" s="1"/>
  <c r="E463" i="3"/>
  <c r="C463" i="1"/>
  <c r="F462" i="1"/>
  <c r="E463" i="1" s="1"/>
  <c r="A463" i="1"/>
  <c r="D462" i="1"/>
  <c r="A463" i="3"/>
  <c r="D462" i="3"/>
  <c r="G461" i="4"/>
  <c r="H461" i="4" s="1"/>
  <c r="I461" i="4" s="1"/>
  <c r="J461" i="4" s="1"/>
  <c r="E462" i="4"/>
  <c r="G462" i="2"/>
  <c r="H462" i="2" s="1"/>
  <c r="I462" i="2" s="1"/>
  <c r="J462" i="2" s="1"/>
  <c r="E463" i="2"/>
  <c r="G463" i="1" l="1"/>
  <c r="H463" i="1" s="1"/>
  <c r="I463" i="1" s="1"/>
  <c r="J463" i="1" s="1"/>
  <c r="A464" i="3"/>
  <c r="D463" i="3"/>
  <c r="C465" i="3"/>
  <c r="C465" i="4"/>
  <c r="D463" i="1"/>
  <c r="A464" i="1"/>
  <c r="F463" i="1"/>
  <c r="E464" i="1" s="1"/>
  <c r="G463" i="2"/>
  <c r="H463" i="2" s="1"/>
  <c r="I463" i="2" s="1"/>
  <c r="J463" i="2" s="1"/>
  <c r="E464" i="2"/>
  <c r="C464" i="1"/>
  <c r="G462" i="4"/>
  <c r="H462" i="4" s="1"/>
  <c r="I462" i="4" s="1"/>
  <c r="J462" i="4" s="1"/>
  <c r="E463" i="4"/>
  <c r="G463" i="3"/>
  <c r="H463" i="3" s="1"/>
  <c r="I463" i="3" s="1"/>
  <c r="J463" i="3" s="1"/>
  <c r="E464" i="3"/>
  <c r="D464" i="4"/>
  <c r="A465" i="4"/>
  <c r="A466" i="2"/>
  <c r="D465" i="2"/>
  <c r="G464" i="1" l="1"/>
  <c r="H464" i="1" s="1"/>
  <c r="I464" i="1" s="1"/>
  <c r="J464" i="1" s="1"/>
  <c r="C466" i="4"/>
  <c r="G463" i="4"/>
  <c r="H463" i="4" s="1"/>
  <c r="I463" i="4" s="1"/>
  <c r="J463" i="4" s="1"/>
  <c r="E464" i="4"/>
  <c r="A467" i="2"/>
  <c r="D466" i="2"/>
  <c r="C465" i="1"/>
  <c r="C466" i="3"/>
  <c r="D464" i="1"/>
  <c r="F464" i="1"/>
  <c r="E465" i="1" s="1"/>
  <c r="A465" i="1"/>
  <c r="A466" i="4"/>
  <c r="D465" i="4"/>
  <c r="G464" i="2"/>
  <c r="H464" i="2" s="1"/>
  <c r="I464" i="2" s="1"/>
  <c r="J464" i="2" s="1"/>
  <c r="E465" i="2"/>
  <c r="G464" i="3"/>
  <c r="H464" i="3" s="1"/>
  <c r="I464" i="3" s="1"/>
  <c r="J464" i="3" s="1"/>
  <c r="E465" i="3"/>
  <c r="A465" i="3"/>
  <c r="D464" i="3"/>
  <c r="G465" i="1" l="1"/>
  <c r="H465" i="1" s="1"/>
  <c r="I465" i="1" s="1"/>
  <c r="J465" i="1" s="1"/>
  <c r="G465" i="3"/>
  <c r="H465" i="3" s="1"/>
  <c r="I465" i="3" s="1"/>
  <c r="J465" i="3" s="1"/>
  <c r="E466" i="3"/>
  <c r="A467" i="4"/>
  <c r="D466" i="4"/>
  <c r="F465" i="1"/>
  <c r="E466" i="1" s="1"/>
  <c r="A466" i="1"/>
  <c r="D465" i="1"/>
  <c r="A468" i="2"/>
  <c r="D467" i="2"/>
  <c r="A466" i="3"/>
  <c r="D465" i="3"/>
  <c r="G464" i="4"/>
  <c r="H464" i="4" s="1"/>
  <c r="I464" i="4" s="1"/>
  <c r="J464" i="4" s="1"/>
  <c r="E465" i="4"/>
  <c r="C467" i="4"/>
  <c r="G465" i="2"/>
  <c r="H465" i="2" s="1"/>
  <c r="I465" i="2" s="1"/>
  <c r="J465" i="2" s="1"/>
  <c r="E466" i="2"/>
  <c r="C467" i="3"/>
  <c r="C466" i="1"/>
  <c r="G466" i="1" l="1"/>
  <c r="H466" i="1" s="1"/>
  <c r="I466" i="1" s="1"/>
  <c r="J466" i="1" s="1"/>
  <c r="A469" i="2"/>
  <c r="D468" i="2"/>
  <c r="C468" i="4"/>
  <c r="F466" i="1"/>
  <c r="E467" i="1" s="1"/>
  <c r="D466" i="1"/>
  <c r="A467" i="1"/>
  <c r="G465" i="4"/>
  <c r="H465" i="4" s="1"/>
  <c r="I465" i="4" s="1"/>
  <c r="J465" i="4" s="1"/>
  <c r="E466" i="4"/>
  <c r="D467" i="4"/>
  <c r="A468" i="4"/>
  <c r="C468" i="3"/>
  <c r="A467" i="3"/>
  <c r="D466" i="3"/>
  <c r="G466" i="3"/>
  <c r="H466" i="3" s="1"/>
  <c r="I466" i="3" s="1"/>
  <c r="J466" i="3" s="1"/>
  <c r="E467" i="3"/>
  <c r="G466" i="2"/>
  <c r="H466" i="2" s="1"/>
  <c r="I466" i="2" s="1"/>
  <c r="J466" i="2" s="1"/>
  <c r="E467" i="2"/>
  <c r="C467" i="1"/>
  <c r="G467" i="1" l="1"/>
  <c r="H467" i="1" s="1"/>
  <c r="I467" i="1" s="1"/>
  <c r="J467" i="1" s="1"/>
  <c r="A468" i="3"/>
  <c r="D467" i="3"/>
  <c r="C468" i="1"/>
  <c r="C469" i="3"/>
  <c r="C469" i="4"/>
  <c r="D467" i="1"/>
  <c r="A468" i="1"/>
  <c r="F467" i="1"/>
  <c r="E468" i="1" s="1"/>
  <c r="G467" i="2"/>
  <c r="H467" i="2" s="1"/>
  <c r="I467" i="2" s="1"/>
  <c r="J467" i="2" s="1"/>
  <c r="E468" i="2"/>
  <c r="D468" i="4"/>
  <c r="A469" i="4"/>
  <c r="G467" i="3"/>
  <c r="H467" i="3" s="1"/>
  <c r="I467" i="3" s="1"/>
  <c r="J467" i="3" s="1"/>
  <c r="E468" i="3"/>
  <c r="G466" i="4"/>
  <c r="H466" i="4" s="1"/>
  <c r="I466" i="4" s="1"/>
  <c r="J466" i="4" s="1"/>
  <c r="E467" i="4"/>
  <c r="A470" i="2"/>
  <c r="D469" i="2"/>
  <c r="G468" i="1" l="1"/>
  <c r="H468" i="1" s="1"/>
  <c r="I468" i="1" s="1"/>
  <c r="J468" i="1" s="1"/>
  <c r="C470" i="3"/>
  <c r="G468" i="2"/>
  <c r="H468" i="2" s="1"/>
  <c r="I468" i="2" s="1"/>
  <c r="J468" i="2" s="1"/>
  <c r="E469" i="2"/>
  <c r="A469" i="1"/>
  <c r="F468" i="1"/>
  <c r="E469" i="1" s="1"/>
  <c r="D468" i="1"/>
  <c r="G468" i="3"/>
  <c r="H468" i="3" s="1"/>
  <c r="I468" i="3" s="1"/>
  <c r="J468" i="3" s="1"/>
  <c r="E469" i="3"/>
  <c r="A470" i="4"/>
  <c r="D469" i="4"/>
  <c r="A471" i="2"/>
  <c r="D470" i="2"/>
  <c r="G467" i="4"/>
  <c r="H467" i="4" s="1"/>
  <c r="I467" i="4" s="1"/>
  <c r="J467" i="4" s="1"/>
  <c r="E468" i="4"/>
  <c r="C469" i="1"/>
  <c r="A469" i="3"/>
  <c r="D468" i="3"/>
  <c r="C470" i="4"/>
  <c r="G469" i="1" l="1"/>
  <c r="H469" i="1" s="1"/>
  <c r="D469" i="1"/>
  <c r="A470" i="1"/>
  <c r="F469" i="1"/>
  <c r="E470" i="1" s="1"/>
  <c r="C471" i="4"/>
  <c r="A472" i="2"/>
  <c r="D471" i="2"/>
  <c r="G469" i="2"/>
  <c r="H469" i="2" s="1"/>
  <c r="I469" i="2" s="1"/>
  <c r="J469" i="2" s="1"/>
  <c r="E470" i="2"/>
  <c r="G468" i="4"/>
  <c r="H468" i="4" s="1"/>
  <c r="I468" i="4" s="1"/>
  <c r="J468" i="4" s="1"/>
  <c r="E469" i="4"/>
  <c r="A471" i="4"/>
  <c r="D470" i="4"/>
  <c r="A470" i="3"/>
  <c r="D469" i="3"/>
  <c r="G469" i="3"/>
  <c r="H469" i="3" s="1"/>
  <c r="I469" i="3" s="1"/>
  <c r="J469" i="3" s="1"/>
  <c r="E470" i="3"/>
  <c r="C471" i="3"/>
  <c r="C470" i="1"/>
  <c r="I469" i="1"/>
  <c r="J469" i="1" s="1"/>
  <c r="G470" i="1" l="1"/>
  <c r="H470" i="1" s="1"/>
  <c r="I470" i="1" s="1"/>
  <c r="J470" i="1" s="1"/>
  <c r="A471" i="3"/>
  <c r="D470" i="3"/>
  <c r="A473" i="2"/>
  <c r="D472" i="2"/>
  <c r="D471" i="4"/>
  <c r="A472" i="4"/>
  <c r="C472" i="4"/>
  <c r="C471" i="1"/>
  <c r="C472" i="3"/>
  <c r="G469" i="4"/>
  <c r="H469" i="4" s="1"/>
  <c r="I469" i="4" s="1"/>
  <c r="J469" i="4" s="1"/>
  <c r="E470" i="4"/>
  <c r="G470" i="2"/>
  <c r="H470" i="2" s="1"/>
  <c r="I470" i="2" s="1"/>
  <c r="J470" i="2" s="1"/>
  <c r="E471" i="2"/>
  <c r="F470" i="1"/>
  <c r="E471" i="1" s="1"/>
  <c r="D470" i="1"/>
  <c r="A471" i="1"/>
  <c r="G470" i="3"/>
  <c r="H470" i="3" s="1"/>
  <c r="I470" i="3" s="1"/>
  <c r="J470" i="3" s="1"/>
  <c r="E471" i="3"/>
  <c r="G471" i="1" l="1"/>
  <c r="H471" i="1" s="1"/>
  <c r="I471" i="1" s="1"/>
  <c r="J471" i="1" s="1"/>
  <c r="F471" i="1"/>
  <c r="E472" i="1" s="1"/>
  <c r="D471" i="1"/>
  <c r="A472" i="1"/>
  <c r="C473" i="3"/>
  <c r="A474" i="2"/>
  <c r="D473" i="2"/>
  <c r="C472" i="1"/>
  <c r="A472" i="3"/>
  <c r="D471" i="3"/>
  <c r="G471" i="2"/>
  <c r="H471" i="2" s="1"/>
  <c r="I471" i="2" s="1"/>
  <c r="J471" i="2" s="1"/>
  <c r="E472" i="2"/>
  <c r="C473" i="4"/>
  <c r="G470" i="4"/>
  <c r="H470" i="4" s="1"/>
  <c r="I470" i="4" s="1"/>
  <c r="J470" i="4" s="1"/>
  <c r="E471" i="4"/>
  <c r="D472" i="4"/>
  <c r="A473" i="4"/>
  <c r="G471" i="3"/>
  <c r="H471" i="3" s="1"/>
  <c r="I471" i="3" s="1"/>
  <c r="J471" i="3" s="1"/>
  <c r="E472" i="3"/>
  <c r="G472" i="1" l="1"/>
  <c r="H472" i="1" s="1"/>
  <c r="A475" i="2"/>
  <c r="D474" i="2"/>
  <c r="G472" i="3"/>
  <c r="H472" i="3" s="1"/>
  <c r="I472" i="3" s="1"/>
  <c r="J472" i="3" s="1"/>
  <c r="E473" i="3"/>
  <c r="G472" i="2"/>
  <c r="H472" i="2" s="1"/>
  <c r="I472" i="2" s="1"/>
  <c r="J472" i="2" s="1"/>
  <c r="E473" i="2"/>
  <c r="C474" i="3"/>
  <c r="C474" i="4"/>
  <c r="D472" i="1"/>
  <c r="F472" i="1"/>
  <c r="E473" i="1" s="1"/>
  <c r="A473" i="1"/>
  <c r="A473" i="3"/>
  <c r="D472" i="3"/>
  <c r="G471" i="4"/>
  <c r="H471" i="4" s="1"/>
  <c r="I471" i="4" s="1"/>
  <c r="J471" i="4" s="1"/>
  <c r="E472" i="4"/>
  <c r="A474" i="4"/>
  <c r="D473" i="4"/>
  <c r="C473" i="1"/>
  <c r="I472" i="1"/>
  <c r="J472" i="1" s="1"/>
  <c r="G473" i="1" l="1"/>
  <c r="H473" i="1" s="1"/>
  <c r="I473" i="1" s="1"/>
  <c r="J473" i="1" s="1"/>
  <c r="C475" i="3"/>
  <c r="A474" i="3"/>
  <c r="D473" i="3"/>
  <c r="G473" i="2"/>
  <c r="H473" i="2" s="1"/>
  <c r="I473" i="2" s="1"/>
  <c r="J473" i="2" s="1"/>
  <c r="E474" i="2"/>
  <c r="F473" i="1"/>
  <c r="E474" i="1" s="1"/>
  <c r="A474" i="1"/>
  <c r="D473" i="1"/>
  <c r="A475" i="4"/>
  <c r="D474" i="4"/>
  <c r="C475" i="4"/>
  <c r="G472" i="4"/>
  <c r="H472" i="4" s="1"/>
  <c r="I472" i="4" s="1"/>
  <c r="J472" i="4" s="1"/>
  <c r="E473" i="4"/>
  <c r="A476" i="2"/>
  <c r="D475" i="2"/>
  <c r="C474" i="1"/>
  <c r="G473" i="3"/>
  <c r="H473" i="3" s="1"/>
  <c r="I473" i="3" s="1"/>
  <c r="J473" i="3" s="1"/>
  <c r="E474" i="3"/>
  <c r="G474" i="1" l="1"/>
  <c r="H474" i="1" s="1"/>
  <c r="A475" i="3"/>
  <c r="D474" i="3"/>
  <c r="C475" i="1"/>
  <c r="I474" i="1"/>
  <c r="J474" i="1" s="1"/>
  <c r="D475" i="4"/>
  <c r="A476" i="4"/>
  <c r="C476" i="3"/>
  <c r="G474" i="2"/>
  <c r="H474" i="2" s="1"/>
  <c r="I474" i="2" s="1"/>
  <c r="J474" i="2" s="1"/>
  <c r="E475" i="2"/>
  <c r="G474" i="3"/>
  <c r="H474" i="3" s="1"/>
  <c r="I474" i="3" s="1"/>
  <c r="J474" i="3" s="1"/>
  <c r="E475" i="3"/>
  <c r="C476" i="4"/>
  <c r="A477" i="2"/>
  <c r="D476" i="2"/>
  <c r="A475" i="1"/>
  <c r="F474" i="1"/>
  <c r="E475" i="1" s="1"/>
  <c r="D474" i="1"/>
  <c r="G473" i="4"/>
  <c r="H473" i="4" s="1"/>
  <c r="I473" i="4" s="1"/>
  <c r="J473" i="4" s="1"/>
  <c r="E474" i="4"/>
  <c r="G475" i="1" l="1"/>
  <c r="H475" i="1" s="1"/>
  <c r="I475" i="1" s="1"/>
  <c r="J475" i="1" s="1"/>
  <c r="C477" i="4"/>
  <c r="C476" i="1"/>
  <c r="D476" i="4"/>
  <c r="A477" i="4"/>
  <c r="G474" i="4"/>
  <c r="H474" i="4" s="1"/>
  <c r="I474" i="4" s="1"/>
  <c r="J474" i="4" s="1"/>
  <c r="E475" i="4"/>
  <c r="G475" i="3"/>
  <c r="H475" i="3" s="1"/>
  <c r="I475" i="3" s="1"/>
  <c r="J475" i="3" s="1"/>
  <c r="E476" i="3"/>
  <c r="A476" i="3"/>
  <c r="D475" i="3"/>
  <c r="G475" i="2"/>
  <c r="H475" i="2" s="1"/>
  <c r="I475" i="2" s="1"/>
  <c r="J475" i="2" s="1"/>
  <c r="E476" i="2"/>
  <c r="D475" i="1"/>
  <c r="A476" i="1"/>
  <c r="F475" i="1"/>
  <c r="E476" i="1" s="1"/>
  <c r="A478" i="2"/>
  <c r="D477" i="2"/>
  <c r="C477" i="3"/>
  <c r="G476" i="1" l="1"/>
  <c r="H476" i="1" s="1"/>
  <c r="I476" i="1" s="1"/>
  <c r="J476" i="1" s="1"/>
  <c r="A477" i="3"/>
  <c r="D476" i="3"/>
  <c r="C477" i="1"/>
  <c r="A478" i="4"/>
  <c r="D477" i="4"/>
  <c r="A479" i="2"/>
  <c r="D478" i="2"/>
  <c r="G476" i="3"/>
  <c r="H476" i="3" s="1"/>
  <c r="I476" i="3" s="1"/>
  <c r="J476" i="3" s="1"/>
  <c r="E477" i="3"/>
  <c r="C478" i="4"/>
  <c r="G476" i="2"/>
  <c r="H476" i="2" s="1"/>
  <c r="I476" i="2" s="1"/>
  <c r="J476" i="2" s="1"/>
  <c r="E477" i="2"/>
  <c r="C478" i="3"/>
  <c r="A477" i="1"/>
  <c r="D476" i="1"/>
  <c r="F476" i="1"/>
  <c r="E477" i="1" s="1"/>
  <c r="G475" i="4"/>
  <c r="H475" i="4" s="1"/>
  <c r="I475" i="4" s="1"/>
  <c r="J475" i="4" s="1"/>
  <c r="E476" i="4"/>
  <c r="G477" i="1" l="1"/>
  <c r="H477" i="1" s="1"/>
  <c r="I477" i="1" s="1"/>
  <c r="J477" i="1" s="1"/>
  <c r="G477" i="2"/>
  <c r="H477" i="2" s="1"/>
  <c r="I477" i="2" s="1"/>
  <c r="J477" i="2" s="1"/>
  <c r="E478" i="2"/>
  <c r="G476" i="4"/>
  <c r="H476" i="4" s="1"/>
  <c r="I476" i="4" s="1"/>
  <c r="J476" i="4" s="1"/>
  <c r="E477" i="4"/>
  <c r="C479" i="4"/>
  <c r="C478" i="1"/>
  <c r="A479" i="4"/>
  <c r="D478" i="4"/>
  <c r="A478" i="3"/>
  <c r="D477" i="3"/>
  <c r="G477" i="3"/>
  <c r="H477" i="3" s="1"/>
  <c r="I477" i="3" s="1"/>
  <c r="J477" i="3" s="1"/>
  <c r="E478" i="3"/>
  <c r="F477" i="1"/>
  <c r="E478" i="1" s="1"/>
  <c r="D477" i="1"/>
  <c r="A478" i="1"/>
  <c r="C479" i="3"/>
  <c r="A480" i="2"/>
  <c r="D479" i="2"/>
  <c r="G478" i="1" l="1"/>
  <c r="H478" i="1" s="1"/>
  <c r="I478" i="1" s="1"/>
  <c r="J478" i="1" s="1"/>
  <c r="G478" i="2"/>
  <c r="H478" i="2" s="1"/>
  <c r="I478" i="2" s="1"/>
  <c r="J478" i="2" s="1"/>
  <c r="E479" i="2"/>
  <c r="C480" i="3"/>
  <c r="A479" i="3"/>
  <c r="D478" i="3"/>
  <c r="F478" i="1"/>
  <c r="E479" i="1" s="1"/>
  <c r="D478" i="1"/>
  <c r="A479" i="1"/>
  <c r="G478" i="3"/>
  <c r="H478" i="3" s="1"/>
  <c r="I478" i="3" s="1"/>
  <c r="J478" i="3" s="1"/>
  <c r="E479" i="3"/>
  <c r="C480" i="4"/>
  <c r="A481" i="2"/>
  <c r="D480" i="2"/>
  <c r="G477" i="4"/>
  <c r="H477" i="4" s="1"/>
  <c r="I477" i="4" s="1"/>
  <c r="J477" i="4" s="1"/>
  <c r="E478" i="4"/>
  <c r="D479" i="4"/>
  <c r="A480" i="4"/>
  <c r="C479" i="1"/>
  <c r="G479" i="1" l="1"/>
  <c r="H479" i="1" s="1"/>
  <c r="I479" i="1" s="1"/>
  <c r="J479" i="1" s="1"/>
  <c r="C480" i="1"/>
  <c r="C481" i="4"/>
  <c r="A480" i="3"/>
  <c r="D479" i="3"/>
  <c r="A482" i="2"/>
  <c r="D481" i="2"/>
  <c r="D480" i="4"/>
  <c r="A481" i="4"/>
  <c r="G479" i="3"/>
  <c r="H479" i="3" s="1"/>
  <c r="I479" i="3" s="1"/>
  <c r="J479" i="3" s="1"/>
  <c r="E480" i="3"/>
  <c r="C481" i="3"/>
  <c r="G479" i="2"/>
  <c r="H479" i="2" s="1"/>
  <c r="I479" i="2" s="1"/>
  <c r="J479" i="2" s="1"/>
  <c r="E480" i="2"/>
  <c r="G478" i="4"/>
  <c r="H478" i="4" s="1"/>
  <c r="I478" i="4" s="1"/>
  <c r="J478" i="4" s="1"/>
  <c r="E479" i="4"/>
  <c r="F479" i="1"/>
  <c r="E480" i="1" s="1"/>
  <c r="D479" i="1"/>
  <c r="A480" i="1"/>
  <c r="G480" i="1" l="1"/>
  <c r="H480" i="1" s="1"/>
  <c r="I480" i="1" s="1"/>
  <c r="J480" i="1" s="1"/>
  <c r="A483" i="2"/>
  <c r="D482" i="2"/>
  <c r="D480" i="1"/>
  <c r="A481" i="1"/>
  <c r="F480" i="1"/>
  <c r="E481" i="1" s="1"/>
  <c r="A481" i="3"/>
  <c r="D480" i="3"/>
  <c r="G480" i="3"/>
  <c r="H480" i="3" s="1"/>
  <c r="I480" i="3" s="1"/>
  <c r="J480" i="3" s="1"/>
  <c r="E481" i="3"/>
  <c r="C482" i="4"/>
  <c r="G479" i="4"/>
  <c r="H479" i="4" s="1"/>
  <c r="I479" i="4" s="1"/>
  <c r="J479" i="4" s="1"/>
  <c r="E480" i="4"/>
  <c r="A482" i="4"/>
  <c r="D481" i="4"/>
  <c r="C481" i="1"/>
  <c r="C482" i="3"/>
  <c r="G480" i="2"/>
  <c r="H480" i="2" s="1"/>
  <c r="I480" i="2" s="1"/>
  <c r="J480" i="2" s="1"/>
  <c r="E481" i="2"/>
  <c r="G481" i="1" l="1"/>
  <c r="H481" i="1" s="1"/>
  <c r="A483" i="4"/>
  <c r="D482" i="4"/>
  <c r="A482" i="3"/>
  <c r="D481" i="3"/>
  <c r="G481" i="2"/>
  <c r="H481" i="2" s="1"/>
  <c r="I481" i="2" s="1"/>
  <c r="J481" i="2" s="1"/>
  <c r="E482" i="2"/>
  <c r="G480" i="4"/>
  <c r="H480" i="4" s="1"/>
  <c r="I480" i="4" s="1"/>
  <c r="J480" i="4" s="1"/>
  <c r="E481" i="4"/>
  <c r="F481" i="1"/>
  <c r="E482" i="1" s="1"/>
  <c r="A482" i="1"/>
  <c r="D481" i="1"/>
  <c r="C483" i="4"/>
  <c r="C483" i="3"/>
  <c r="G481" i="3"/>
  <c r="H481" i="3" s="1"/>
  <c r="I481" i="3" s="1"/>
  <c r="J481" i="3" s="1"/>
  <c r="E482" i="3"/>
  <c r="A484" i="2"/>
  <c r="D483" i="2"/>
  <c r="C482" i="1"/>
  <c r="I481" i="1"/>
  <c r="J481" i="1" s="1"/>
  <c r="G482" i="1" l="1"/>
  <c r="H482" i="1" s="1"/>
  <c r="I482" i="1" s="1"/>
  <c r="J482" i="1" s="1"/>
  <c r="A483" i="3"/>
  <c r="D482" i="3"/>
  <c r="G482" i="2"/>
  <c r="H482" i="2" s="1"/>
  <c r="I482" i="2" s="1"/>
  <c r="J482" i="2" s="1"/>
  <c r="E483" i="2"/>
  <c r="C483" i="1"/>
  <c r="A485" i="2"/>
  <c r="D484" i="2"/>
  <c r="D482" i="1"/>
  <c r="A483" i="1"/>
  <c r="F482" i="1"/>
  <c r="E483" i="1" s="1"/>
  <c r="G482" i="3"/>
  <c r="H482" i="3" s="1"/>
  <c r="I482" i="3" s="1"/>
  <c r="J482" i="3" s="1"/>
  <c r="E483" i="3"/>
  <c r="D483" i="4"/>
  <c r="A484" i="4"/>
  <c r="G481" i="4"/>
  <c r="H481" i="4" s="1"/>
  <c r="I481" i="4" s="1"/>
  <c r="J481" i="4" s="1"/>
  <c r="E482" i="4"/>
  <c r="C484" i="4"/>
  <c r="C484" i="3"/>
  <c r="G483" i="1" l="1"/>
  <c r="H483" i="1" s="1"/>
  <c r="I483" i="1" s="1"/>
  <c r="J483" i="1" s="1"/>
  <c r="G483" i="3"/>
  <c r="H483" i="3" s="1"/>
  <c r="I483" i="3" s="1"/>
  <c r="J483" i="3" s="1"/>
  <c r="E484" i="3"/>
  <c r="C484" i="1"/>
  <c r="C485" i="3"/>
  <c r="G483" i="2"/>
  <c r="H483" i="2" s="1"/>
  <c r="I483" i="2" s="1"/>
  <c r="J483" i="2" s="1"/>
  <c r="E484" i="2"/>
  <c r="C485" i="4"/>
  <c r="A484" i="3"/>
  <c r="D483" i="3"/>
  <c r="D483" i="1"/>
  <c r="F483" i="1"/>
  <c r="E484" i="1" s="1"/>
  <c r="A484" i="1"/>
  <c r="G482" i="4"/>
  <c r="H482" i="4" s="1"/>
  <c r="I482" i="4" s="1"/>
  <c r="J482" i="4" s="1"/>
  <c r="E483" i="4"/>
  <c r="D484" i="4"/>
  <c r="A485" i="4"/>
  <c r="A486" i="2"/>
  <c r="D485" i="2"/>
  <c r="G484" i="1" l="1"/>
  <c r="H484" i="1" s="1"/>
  <c r="A486" i="4"/>
  <c r="D485" i="4"/>
  <c r="A485" i="3"/>
  <c r="D484" i="3"/>
  <c r="C485" i="1"/>
  <c r="I484" i="1"/>
  <c r="J484" i="1" s="1"/>
  <c r="C486" i="4"/>
  <c r="G484" i="3"/>
  <c r="H484" i="3" s="1"/>
  <c r="I484" i="3" s="1"/>
  <c r="J484" i="3" s="1"/>
  <c r="E485" i="3"/>
  <c r="A487" i="2"/>
  <c r="D486" i="2"/>
  <c r="G483" i="4"/>
  <c r="H483" i="4" s="1"/>
  <c r="I483" i="4" s="1"/>
  <c r="J483" i="4" s="1"/>
  <c r="E484" i="4"/>
  <c r="C486" i="3"/>
  <c r="G484" i="2"/>
  <c r="H484" i="2" s="1"/>
  <c r="I484" i="2" s="1"/>
  <c r="J484" i="2" s="1"/>
  <c r="E485" i="2"/>
  <c r="A485" i="1"/>
  <c r="F484" i="1"/>
  <c r="E485" i="1" s="1"/>
  <c r="D484" i="1"/>
  <c r="G485" i="1" l="1"/>
  <c r="H485" i="1" s="1"/>
  <c r="I485" i="1" s="1"/>
  <c r="J485" i="1" s="1"/>
  <c r="C486" i="1"/>
  <c r="A488" i="2"/>
  <c r="D487" i="2"/>
  <c r="A486" i="3"/>
  <c r="D485" i="3"/>
  <c r="G484" i="4"/>
  <c r="H484" i="4" s="1"/>
  <c r="I484" i="4" s="1"/>
  <c r="J484" i="4" s="1"/>
  <c r="E485" i="4"/>
  <c r="F485" i="1"/>
  <c r="E486" i="1" s="1"/>
  <c r="D485" i="1"/>
  <c r="A486" i="1"/>
  <c r="A487" i="4"/>
  <c r="D486" i="4"/>
  <c r="C487" i="4"/>
  <c r="G485" i="2"/>
  <c r="H485" i="2" s="1"/>
  <c r="I485" i="2" s="1"/>
  <c r="J485" i="2" s="1"/>
  <c r="E486" i="2"/>
  <c r="G485" i="3"/>
  <c r="H485" i="3" s="1"/>
  <c r="I485" i="3" s="1"/>
  <c r="J485" i="3" s="1"/>
  <c r="E486" i="3"/>
  <c r="C487" i="3"/>
  <c r="G486" i="1" l="1"/>
  <c r="H486" i="1" s="1"/>
  <c r="A487" i="3"/>
  <c r="D486" i="3"/>
  <c r="I486" i="1"/>
  <c r="J486" i="1" s="1"/>
  <c r="C487" i="1"/>
  <c r="C488" i="3"/>
  <c r="G486" i="3"/>
  <c r="H486" i="3" s="1"/>
  <c r="I486" i="3" s="1"/>
  <c r="J486" i="3" s="1"/>
  <c r="E487" i="3"/>
  <c r="A489" i="2"/>
  <c r="D488" i="2"/>
  <c r="G486" i="2"/>
  <c r="H486" i="2" s="1"/>
  <c r="I486" i="2" s="1"/>
  <c r="J486" i="2" s="1"/>
  <c r="E487" i="2"/>
  <c r="D487" i="4"/>
  <c r="A488" i="4"/>
  <c r="F486" i="1"/>
  <c r="E487" i="1" s="1"/>
  <c r="A487" i="1"/>
  <c r="D486" i="1"/>
  <c r="G485" i="4"/>
  <c r="H485" i="4" s="1"/>
  <c r="I485" i="4" s="1"/>
  <c r="J485" i="4" s="1"/>
  <c r="E486" i="4"/>
  <c r="C488" i="4"/>
  <c r="G487" i="1" l="1"/>
  <c r="H487" i="1" s="1"/>
  <c r="I487" i="1" s="1"/>
  <c r="J487" i="1" s="1"/>
  <c r="G487" i="2"/>
  <c r="H487" i="2" s="1"/>
  <c r="I487" i="2" s="1"/>
  <c r="J487" i="2" s="1"/>
  <c r="E488" i="2"/>
  <c r="C488" i="1"/>
  <c r="G486" i="4"/>
  <c r="H486" i="4" s="1"/>
  <c r="I486" i="4" s="1"/>
  <c r="J486" i="4" s="1"/>
  <c r="E487" i="4"/>
  <c r="D488" i="4"/>
  <c r="A489" i="4"/>
  <c r="C489" i="4"/>
  <c r="C489" i="3"/>
  <c r="A490" i="2"/>
  <c r="D489" i="2"/>
  <c r="A488" i="3"/>
  <c r="D487" i="3"/>
  <c r="A488" i="1"/>
  <c r="F487" i="1"/>
  <c r="E488" i="1" s="1"/>
  <c r="D487" i="1"/>
  <c r="G487" i="3"/>
  <c r="H487" i="3" s="1"/>
  <c r="I487" i="3" s="1"/>
  <c r="J487" i="3" s="1"/>
  <c r="E488" i="3"/>
  <c r="G488" i="1" l="1"/>
  <c r="H488" i="1" s="1"/>
  <c r="I488" i="1" s="1"/>
  <c r="J488" i="1" s="1"/>
  <c r="C489" i="1"/>
  <c r="C490" i="3"/>
  <c r="C490" i="4"/>
  <c r="G488" i="2"/>
  <c r="H488" i="2" s="1"/>
  <c r="I488" i="2" s="1"/>
  <c r="J488" i="2" s="1"/>
  <c r="E489" i="2"/>
  <c r="A489" i="3"/>
  <c r="D488" i="3"/>
  <c r="D488" i="1"/>
  <c r="A489" i="1"/>
  <c r="F488" i="1"/>
  <c r="E489" i="1" s="1"/>
  <c r="G487" i="4"/>
  <c r="H487" i="4" s="1"/>
  <c r="I487" i="4" s="1"/>
  <c r="J487" i="4" s="1"/>
  <c r="E488" i="4"/>
  <c r="G488" i="3"/>
  <c r="H488" i="3" s="1"/>
  <c r="I488" i="3" s="1"/>
  <c r="J488" i="3" s="1"/>
  <c r="E489" i="3"/>
  <c r="A491" i="2"/>
  <c r="D490" i="2"/>
  <c r="A490" i="4"/>
  <c r="D489" i="4"/>
  <c r="G489" i="1" l="1"/>
  <c r="H489" i="1" s="1"/>
  <c r="I489" i="1" s="1"/>
  <c r="J489" i="1" s="1"/>
  <c r="C491" i="3"/>
  <c r="A492" i="2"/>
  <c r="D491" i="2"/>
  <c r="G489" i="3"/>
  <c r="H489" i="3" s="1"/>
  <c r="I489" i="3" s="1"/>
  <c r="J489" i="3" s="1"/>
  <c r="E490" i="3"/>
  <c r="A490" i="3"/>
  <c r="D489" i="3"/>
  <c r="C490" i="1"/>
  <c r="A491" i="4"/>
  <c r="D490" i="4"/>
  <c r="F489" i="1"/>
  <c r="E490" i="1" s="1"/>
  <c r="A490" i="1"/>
  <c r="D489" i="1"/>
  <c r="G489" i="2"/>
  <c r="H489" i="2" s="1"/>
  <c r="I489" i="2" s="1"/>
  <c r="J489" i="2" s="1"/>
  <c r="E490" i="2"/>
  <c r="C491" i="4"/>
  <c r="G488" i="4"/>
  <c r="H488" i="4" s="1"/>
  <c r="I488" i="4" s="1"/>
  <c r="J488" i="4" s="1"/>
  <c r="E489" i="4"/>
  <c r="G490" i="1" l="1"/>
  <c r="H490" i="1" s="1"/>
  <c r="I490" i="1" s="1"/>
  <c r="J490" i="1" s="1"/>
  <c r="A493" i="2"/>
  <c r="D492" i="2"/>
  <c r="D491" i="4"/>
  <c r="A492" i="4"/>
  <c r="F490" i="1"/>
  <c r="E491" i="1" s="1"/>
  <c r="D490" i="1"/>
  <c r="A491" i="1"/>
  <c r="G490" i="3"/>
  <c r="H490" i="3" s="1"/>
  <c r="I490" i="3" s="1"/>
  <c r="J490" i="3" s="1"/>
  <c r="E491" i="3"/>
  <c r="G489" i="4"/>
  <c r="H489" i="4" s="1"/>
  <c r="I489" i="4" s="1"/>
  <c r="J489" i="4" s="1"/>
  <c r="E490" i="4"/>
  <c r="C492" i="4"/>
  <c r="C492" i="3"/>
  <c r="G490" i="2"/>
  <c r="H490" i="2" s="1"/>
  <c r="I490" i="2" s="1"/>
  <c r="J490" i="2" s="1"/>
  <c r="E491" i="2"/>
  <c r="C491" i="1"/>
  <c r="A491" i="3"/>
  <c r="D490" i="3"/>
  <c r="G491" i="1" l="1"/>
  <c r="H491" i="1" s="1"/>
  <c r="C493" i="4"/>
  <c r="C493" i="3"/>
  <c r="D492" i="4"/>
  <c r="A493" i="4"/>
  <c r="G490" i="4"/>
  <c r="H490" i="4" s="1"/>
  <c r="I490" i="4" s="1"/>
  <c r="J490" i="4" s="1"/>
  <c r="E491" i="4"/>
  <c r="D491" i="1"/>
  <c r="F491" i="1"/>
  <c r="E492" i="1" s="1"/>
  <c r="A492" i="1"/>
  <c r="C492" i="1"/>
  <c r="I491" i="1"/>
  <c r="J491" i="1" s="1"/>
  <c r="G491" i="2"/>
  <c r="H491" i="2" s="1"/>
  <c r="I491" i="2" s="1"/>
  <c r="J491" i="2" s="1"/>
  <c r="E492" i="2"/>
  <c r="G491" i="3"/>
  <c r="H491" i="3" s="1"/>
  <c r="I491" i="3" s="1"/>
  <c r="J491" i="3" s="1"/>
  <c r="E492" i="3"/>
  <c r="A494" i="2"/>
  <c r="D493" i="2"/>
  <c r="A492" i="3"/>
  <c r="D491" i="3"/>
  <c r="G492" i="1" l="1"/>
  <c r="H492" i="1" s="1"/>
  <c r="A493" i="1"/>
  <c r="F492" i="1"/>
  <c r="E493" i="1" s="1"/>
  <c r="D492" i="1"/>
  <c r="A493" i="3"/>
  <c r="D492" i="3"/>
  <c r="I492" i="1"/>
  <c r="J492" i="1" s="1"/>
  <c r="C493" i="1"/>
  <c r="C494" i="3"/>
  <c r="A495" i="2"/>
  <c r="D494" i="2"/>
  <c r="C494" i="4"/>
  <c r="G492" i="3"/>
  <c r="H492" i="3" s="1"/>
  <c r="I492" i="3" s="1"/>
  <c r="J492" i="3" s="1"/>
  <c r="E493" i="3"/>
  <c r="G491" i="4"/>
  <c r="H491" i="4" s="1"/>
  <c r="I491" i="4" s="1"/>
  <c r="J491" i="4" s="1"/>
  <c r="E492" i="4"/>
  <c r="A494" i="4"/>
  <c r="D493" i="4"/>
  <c r="G492" i="2"/>
  <c r="H492" i="2" s="1"/>
  <c r="I492" i="2" s="1"/>
  <c r="J492" i="2" s="1"/>
  <c r="E493" i="2"/>
  <c r="G493" i="1" l="1"/>
  <c r="H493" i="1" s="1"/>
  <c r="I493" i="1" s="1"/>
  <c r="J493" i="1" s="1"/>
  <c r="G493" i="3"/>
  <c r="H493" i="3" s="1"/>
  <c r="I493" i="3" s="1"/>
  <c r="J493" i="3" s="1"/>
  <c r="E494" i="3"/>
  <c r="A494" i="3"/>
  <c r="D493" i="3"/>
  <c r="A495" i="4"/>
  <c r="D494" i="4"/>
  <c r="A496" i="2"/>
  <c r="D495" i="2"/>
  <c r="G492" i="4"/>
  <c r="H492" i="4" s="1"/>
  <c r="I492" i="4" s="1"/>
  <c r="J492" i="4" s="1"/>
  <c r="E493" i="4"/>
  <c r="A494" i="1"/>
  <c r="F493" i="1"/>
  <c r="E494" i="1" s="1"/>
  <c r="D493" i="1"/>
  <c r="G493" i="2"/>
  <c r="H493" i="2" s="1"/>
  <c r="I493" i="2" s="1"/>
  <c r="J493" i="2" s="1"/>
  <c r="E494" i="2"/>
  <c r="C495" i="4"/>
  <c r="C495" i="3"/>
  <c r="C494" i="1"/>
  <c r="G494" i="1" l="1"/>
  <c r="H494" i="1" s="1"/>
  <c r="I494" i="1" s="1"/>
  <c r="J494" i="1" s="1"/>
  <c r="D495" i="4"/>
  <c r="A496" i="4"/>
  <c r="C495" i="1"/>
  <c r="C496" i="3"/>
  <c r="A495" i="3"/>
  <c r="D494" i="3"/>
  <c r="F494" i="1"/>
  <c r="E495" i="1" s="1"/>
  <c r="A495" i="1"/>
  <c r="D494" i="1"/>
  <c r="G493" i="4"/>
  <c r="H493" i="4" s="1"/>
  <c r="I493" i="4" s="1"/>
  <c r="J493" i="4" s="1"/>
  <c r="E494" i="4"/>
  <c r="G494" i="3"/>
  <c r="H494" i="3" s="1"/>
  <c r="I494" i="3" s="1"/>
  <c r="J494" i="3" s="1"/>
  <c r="E495" i="3"/>
  <c r="C496" i="4"/>
  <c r="G494" i="2"/>
  <c r="H494" i="2" s="1"/>
  <c r="I494" i="2" s="1"/>
  <c r="J494" i="2" s="1"/>
  <c r="E495" i="2"/>
  <c r="A497" i="2"/>
  <c r="D496" i="2"/>
  <c r="G495" i="1" l="1"/>
  <c r="H495" i="1" s="1"/>
  <c r="G494" i="4"/>
  <c r="H494" i="4" s="1"/>
  <c r="I494" i="4" s="1"/>
  <c r="J494" i="4" s="1"/>
  <c r="E495" i="4"/>
  <c r="C497" i="3"/>
  <c r="C496" i="1"/>
  <c r="I495" i="1"/>
  <c r="J495" i="1" s="1"/>
  <c r="G495" i="2"/>
  <c r="H495" i="2" s="1"/>
  <c r="I495" i="2" s="1"/>
  <c r="J495" i="2" s="1"/>
  <c r="E496" i="2"/>
  <c r="D495" i="1"/>
  <c r="A496" i="1"/>
  <c r="F495" i="1"/>
  <c r="E496" i="1" s="1"/>
  <c r="A497" i="4"/>
  <c r="D496" i="4"/>
  <c r="A498" i="2"/>
  <c r="D497" i="2"/>
  <c r="C497" i="4"/>
  <c r="G495" i="3"/>
  <c r="H495" i="3" s="1"/>
  <c r="I495" i="3" s="1"/>
  <c r="J495" i="3" s="1"/>
  <c r="E496" i="3"/>
  <c r="A496" i="3"/>
  <c r="D495" i="3"/>
  <c r="G496" i="1" l="1"/>
  <c r="H496" i="1" s="1"/>
  <c r="I496" i="1" s="1"/>
  <c r="J496" i="1" s="1"/>
  <c r="C497" i="1"/>
  <c r="A499" i="2"/>
  <c r="D498" i="2"/>
  <c r="A497" i="3"/>
  <c r="D496" i="3"/>
  <c r="C498" i="3"/>
  <c r="D496" i="1"/>
  <c r="F496" i="1"/>
  <c r="E497" i="1" s="1"/>
  <c r="A497" i="1"/>
  <c r="G495" i="4"/>
  <c r="H495" i="4" s="1"/>
  <c r="I495" i="4" s="1"/>
  <c r="J495" i="4" s="1"/>
  <c r="E496" i="4"/>
  <c r="A498" i="4"/>
  <c r="D497" i="4"/>
  <c r="G496" i="3"/>
  <c r="H496" i="3" s="1"/>
  <c r="I496" i="3" s="1"/>
  <c r="J496" i="3" s="1"/>
  <c r="E497" i="3"/>
  <c r="C498" i="4"/>
  <c r="G496" i="2"/>
  <c r="H496" i="2" s="1"/>
  <c r="I496" i="2" s="1"/>
  <c r="J496" i="2" s="1"/>
  <c r="E497" i="2"/>
  <c r="G497" i="1" l="1"/>
  <c r="H497" i="1" s="1"/>
  <c r="I497" i="1" s="1"/>
  <c r="J497" i="1" s="1"/>
  <c r="G497" i="2"/>
  <c r="H497" i="2" s="1"/>
  <c r="I497" i="2" s="1"/>
  <c r="J497" i="2" s="1"/>
  <c r="E498" i="2"/>
  <c r="G496" i="4"/>
  <c r="H496" i="4" s="1"/>
  <c r="I496" i="4" s="1"/>
  <c r="J496" i="4" s="1"/>
  <c r="E497" i="4"/>
  <c r="A498" i="3"/>
  <c r="D497" i="3"/>
  <c r="C499" i="4"/>
  <c r="F497" i="1"/>
  <c r="E498" i="1" s="1"/>
  <c r="A498" i="1"/>
  <c r="D497" i="1"/>
  <c r="A500" i="2"/>
  <c r="D499" i="2"/>
  <c r="C498" i="1"/>
  <c r="D498" i="4"/>
  <c r="A499" i="4"/>
  <c r="G497" i="3"/>
  <c r="H497" i="3" s="1"/>
  <c r="I497" i="3" s="1"/>
  <c r="J497" i="3" s="1"/>
  <c r="E498" i="3"/>
  <c r="C499" i="3"/>
  <c r="G498" i="1" l="1"/>
  <c r="H498" i="1" s="1"/>
  <c r="I498" i="1" s="1"/>
  <c r="J498" i="1" s="1"/>
  <c r="A499" i="3"/>
  <c r="D498" i="3"/>
  <c r="C500" i="3"/>
  <c r="A501" i="2"/>
  <c r="D500" i="2"/>
  <c r="G497" i="4"/>
  <c r="H497" i="4" s="1"/>
  <c r="I497" i="4" s="1"/>
  <c r="J497" i="4" s="1"/>
  <c r="E498" i="4"/>
  <c r="G498" i="3"/>
  <c r="H498" i="3" s="1"/>
  <c r="I498" i="3" s="1"/>
  <c r="J498" i="3" s="1"/>
  <c r="E499" i="3"/>
  <c r="F498" i="1"/>
  <c r="E499" i="1" s="1"/>
  <c r="D498" i="1"/>
  <c r="A499" i="1"/>
  <c r="G498" i="2"/>
  <c r="H498" i="2" s="1"/>
  <c r="I498" i="2" s="1"/>
  <c r="J498" i="2" s="1"/>
  <c r="E499" i="2"/>
  <c r="C499" i="1"/>
  <c r="D499" i="4"/>
  <c r="A500" i="4"/>
  <c r="C500" i="4"/>
  <c r="G499" i="1" l="1"/>
  <c r="H499" i="1" s="1"/>
  <c r="I499" i="1" s="1"/>
  <c r="J499" i="1" s="1"/>
  <c r="A501" i="4"/>
  <c r="D500" i="4"/>
  <c r="C501" i="3"/>
  <c r="G499" i="3"/>
  <c r="H499" i="3" s="1"/>
  <c r="I499" i="3" s="1"/>
  <c r="J499" i="3" s="1"/>
  <c r="E500" i="3"/>
  <c r="C500" i="1"/>
  <c r="A500" i="3"/>
  <c r="D499" i="3"/>
  <c r="C501" i="4"/>
  <c r="D499" i="1"/>
  <c r="A500" i="1"/>
  <c r="F499" i="1"/>
  <c r="E500" i="1" s="1"/>
  <c r="A502" i="2"/>
  <c r="D501" i="2"/>
  <c r="G498" i="4"/>
  <c r="H498" i="4" s="1"/>
  <c r="I498" i="4" s="1"/>
  <c r="J498" i="4" s="1"/>
  <c r="E499" i="4"/>
  <c r="G499" i="2"/>
  <c r="H499" i="2" s="1"/>
  <c r="I499" i="2" s="1"/>
  <c r="J499" i="2" s="1"/>
  <c r="E500" i="2"/>
  <c r="G500" i="1" l="1"/>
  <c r="H500" i="1" s="1"/>
  <c r="G500" i="3"/>
  <c r="H500" i="3" s="1"/>
  <c r="I500" i="3" s="1"/>
  <c r="J500" i="3" s="1"/>
  <c r="E501" i="3"/>
  <c r="C502" i="3"/>
  <c r="G499" i="4"/>
  <c r="H499" i="4" s="1"/>
  <c r="I499" i="4" s="1"/>
  <c r="J499" i="4" s="1"/>
  <c r="E500" i="4"/>
  <c r="A501" i="3"/>
  <c r="D500" i="3"/>
  <c r="A502" i="4"/>
  <c r="D501" i="4"/>
  <c r="A501" i="1"/>
  <c r="F500" i="1"/>
  <c r="E501" i="1" s="1"/>
  <c r="D500" i="1"/>
  <c r="A503" i="2"/>
  <c r="D502" i="2"/>
  <c r="G500" i="2"/>
  <c r="H500" i="2" s="1"/>
  <c r="I500" i="2" s="1"/>
  <c r="J500" i="2" s="1"/>
  <c r="E501" i="2"/>
  <c r="C502" i="4"/>
  <c r="C501" i="1"/>
  <c r="I500" i="1"/>
  <c r="J500" i="1" s="1"/>
  <c r="G501" i="1" l="1"/>
  <c r="H501" i="1" s="1"/>
  <c r="I501" i="1" s="1"/>
  <c r="J501" i="1" s="1"/>
  <c r="C502" i="1"/>
  <c r="C503" i="4"/>
  <c r="D501" i="1"/>
  <c r="A502" i="1"/>
  <c r="F501" i="1"/>
  <c r="E502" i="1" s="1"/>
  <c r="C503" i="3"/>
  <c r="G501" i="3"/>
  <c r="H501" i="3" s="1"/>
  <c r="I501" i="3" s="1"/>
  <c r="J501" i="3" s="1"/>
  <c r="E502" i="3"/>
  <c r="G501" i="2"/>
  <c r="H501" i="2" s="1"/>
  <c r="I501" i="2" s="1"/>
  <c r="J501" i="2" s="1"/>
  <c r="E502" i="2"/>
  <c r="A503" i="4"/>
  <c r="D502" i="4"/>
  <c r="A504" i="2"/>
  <c r="D503" i="2"/>
  <c r="G500" i="4"/>
  <c r="H500" i="4" s="1"/>
  <c r="I500" i="4" s="1"/>
  <c r="J500" i="4" s="1"/>
  <c r="E501" i="4"/>
  <c r="A502" i="3"/>
  <c r="D501" i="3"/>
  <c r="G502" i="1" l="1"/>
  <c r="H502" i="1" s="1"/>
  <c r="F502" i="1"/>
  <c r="E503" i="1" s="1"/>
  <c r="D502" i="1"/>
  <c r="A503" i="1"/>
  <c r="C504" i="4"/>
  <c r="G501" i="4"/>
  <c r="H501" i="4" s="1"/>
  <c r="I501" i="4" s="1"/>
  <c r="J501" i="4" s="1"/>
  <c r="E502" i="4"/>
  <c r="G502" i="3"/>
  <c r="H502" i="3" s="1"/>
  <c r="I502" i="3" s="1"/>
  <c r="J502" i="3" s="1"/>
  <c r="E503" i="3"/>
  <c r="D503" i="4"/>
  <c r="A504" i="4"/>
  <c r="C504" i="3"/>
  <c r="I502" i="1"/>
  <c r="J502" i="1" s="1"/>
  <c r="C503" i="1"/>
  <c r="G502" i="2"/>
  <c r="H502" i="2" s="1"/>
  <c r="I502" i="2" s="1"/>
  <c r="J502" i="2" s="1"/>
  <c r="E503" i="2"/>
  <c r="A503" i="3"/>
  <c r="D502" i="3"/>
  <c r="A505" i="2"/>
  <c r="D504" i="2"/>
  <c r="G503" i="1" l="1"/>
  <c r="H503" i="1" s="1"/>
  <c r="I503" i="1" s="1"/>
  <c r="J503" i="1" s="1"/>
  <c r="A505" i="4"/>
  <c r="D504" i="4"/>
  <c r="F503" i="1"/>
  <c r="E504" i="1" s="1"/>
  <c r="D503" i="1"/>
  <c r="A504" i="1"/>
  <c r="G503" i="2"/>
  <c r="H503" i="2" s="1"/>
  <c r="I503" i="2" s="1"/>
  <c r="J503" i="2" s="1"/>
  <c r="E504" i="2"/>
  <c r="G503" i="3"/>
  <c r="H503" i="3" s="1"/>
  <c r="I503" i="3" s="1"/>
  <c r="J503" i="3" s="1"/>
  <c r="E504" i="3"/>
  <c r="C505" i="4"/>
  <c r="A506" i="2"/>
  <c r="D505" i="2"/>
  <c r="C505" i="3"/>
  <c r="A504" i="3"/>
  <c r="D503" i="3"/>
  <c r="C504" i="1"/>
  <c r="G502" i="4"/>
  <c r="H502" i="4" s="1"/>
  <c r="I502" i="4" s="1"/>
  <c r="J502" i="4" s="1"/>
  <c r="E503" i="4"/>
  <c r="G504" i="1" l="1"/>
  <c r="H504" i="1" s="1"/>
  <c r="G503" i="4"/>
  <c r="H503" i="4" s="1"/>
  <c r="I503" i="4" s="1"/>
  <c r="J503" i="4" s="1"/>
  <c r="E504" i="4"/>
  <c r="D504" i="1"/>
  <c r="F504" i="1"/>
  <c r="E505" i="1" s="1"/>
  <c r="A505" i="1"/>
  <c r="C506" i="4"/>
  <c r="G504" i="3"/>
  <c r="H504" i="3" s="1"/>
  <c r="I504" i="3" s="1"/>
  <c r="J504" i="3" s="1"/>
  <c r="E505" i="3"/>
  <c r="A506" i="4"/>
  <c r="D505" i="4"/>
  <c r="A505" i="3"/>
  <c r="D504" i="3"/>
  <c r="A507" i="2"/>
  <c r="D506" i="2"/>
  <c r="C505" i="1"/>
  <c r="I504" i="1"/>
  <c r="J504" i="1" s="1"/>
  <c r="C506" i="3"/>
  <c r="G504" i="2"/>
  <c r="H504" i="2" s="1"/>
  <c r="I504" i="2" s="1"/>
  <c r="J504" i="2" s="1"/>
  <c r="E505" i="2"/>
  <c r="G505" i="1" l="1"/>
  <c r="H505" i="1" s="1"/>
  <c r="A508" i="2"/>
  <c r="D507" i="2"/>
  <c r="G505" i="2"/>
  <c r="H505" i="2" s="1"/>
  <c r="I505" i="2" s="1"/>
  <c r="J505" i="2" s="1"/>
  <c r="E506" i="2"/>
  <c r="F505" i="1"/>
  <c r="E506" i="1" s="1"/>
  <c r="A506" i="1"/>
  <c r="D505" i="1"/>
  <c r="C507" i="3"/>
  <c r="D506" i="4"/>
  <c r="A507" i="4"/>
  <c r="G504" i="4"/>
  <c r="H504" i="4" s="1"/>
  <c r="I504" i="4" s="1"/>
  <c r="J504" i="4" s="1"/>
  <c r="E505" i="4"/>
  <c r="G505" i="3"/>
  <c r="H505" i="3" s="1"/>
  <c r="I505" i="3" s="1"/>
  <c r="J505" i="3" s="1"/>
  <c r="E506" i="3"/>
  <c r="A506" i="3"/>
  <c r="D505" i="3"/>
  <c r="I505" i="1"/>
  <c r="J505" i="1" s="1"/>
  <c r="C506" i="1"/>
  <c r="C507" i="4"/>
  <c r="G506" i="1" l="1"/>
  <c r="H506" i="1" s="1"/>
  <c r="I506" i="1" s="1"/>
  <c r="J506" i="1" s="1"/>
  <c r="A507" i="1"/>
  <c r="F506" i="1"/>
  <c r="E507" i="1" s="1"/>
  <c r="D506" i="1"/>
  <c r="C508" i="4"/>
  <c r="G505" i="4"/>
  <c r="H505" i="4" s="1"/>
  <c r="I505" i="4" s="1"/>
  <c r="J505" i="4" s="1"/>
  <c r="E506" i="4"/>
  <c r="G506" i="2"/>
  <c r="H506" i="2" s="1"/>
  <c r="I506" i="2" s="1"/>
  <c r="J506" i="2" s="1"/>
  <c r="E507" i="2"/>
  <c r="G506" i="3"/>
  <c r="H506" i="3" s="1"/>
  <c r="I506" i="3" s="1"/>
  <c r="J506" i="3" s="1"/>
  <c r="E507" i="3"/>
  <c r="C507" i="1"/>
  <c r="D507" i="4"/>
  <c r="A508" i="4"/>
  <c r="C508" i="3"/>
  <c r="A509" i="2"/>
  <c r="D508" i="2"/>
  <c r="A507" i="3"/>
  <c r="D506" i="3"/>
  <c r="G507" i="1" l="1"/>
  <c r="H507" i="1" s="1"/>
  <c r="I507" i="1" s="1"/>
  <c r="J507" i="1" s="1"/>
  <c r="C509" i="4"/>
  <c r="G507" i="3"/>
  <c r="H507" i="3" s="1"/>
  <c r="I507" i="3" s="1"/>
  <c r="J507" i="3" s="1"/>
  <c r="E508" i="3"/>
  <c r="A510" i="2"/>
  <c r="D509" i="2"/>
  <c r="G507" i="2"/>
  <c r="H507" i="2" s="1"/>
  <c r="I507" i="2" s="1"/>
  <c r="J507" i="2" s="1"/>
  <c r="E508" i="2"/>
  <c r="D507" i="1"/>
  <c r="A508" i="1"/>
  <c r="F507" i="1"/>
  <c r="E508" i="1" s="1"/>
  <c r="A508" i="3"/>
  <c r="D507" i="3"/>
  <c r="C508" i="1"/>
  <c r="C509" i="3"/>
  <c r="A509" i="4"/>
  <c r="D508" i="4"/>
  <c r="G506" i="4"/>
  <c r="H506" i="4" s="1"/>
  <c r="I506" i="4" s="1"/>
  <c r="J506" i="4" s="1"/>
  <c r="E507" i="4"/>
  <c r="E509" i="1" l="1"/>
  <c r="G508" i="1"/>
  <c r="H508" i="1" s="1"/>
  <c r="I508" i="1" s="1"/>
  <c r="J508" i="1" s="1"/>
  <c r="C509" i="1"/>
  <c r="G507" i="4"/>
  <c r="H507" i="4" s="1"/>
  <c r="I507" i="4" s="1"/>
  <c r="J507" i="4" s="1"/>
  <c r="E508" i="4"/>
  <c r="A511" i="2"/>
  <c r="D510" i="2"/>
  <c r="A510" i="4"/>
  <c r="D509" i="4"/>
  <c r="A509" i="1"/>
  <c r="F508" i="1"/>
  <c r="D508" i="1"/>
  <c r="C510" i="4"/>
  <c r="A509" i="3"/>
  <c r="D508" i="3"/>
  <c r="G508" i="3"/>
  <c r="H508" i="3" s="1"/>
  <c r="I508" i="3" s="1"/>
  <c r="J508" i="3" s="1"/>
  <c r="E509" i="3"/>
  <c r="C510" i="3"/>
  <c r="G508" i="2"/>
  <c r="H508" i="2" s="1"/>
  <c r="I508" i="2" s="1"/>
  <c r="J508" i="2" s="1"/>
  <c r="E509" i="2"/>
  <c r="C511" i="4" l="1"/>
  <c r="A512" i="2"/>
  <c r="D511" i="2"/>
  <c r="G508" i="4"/>
  <c r="H508" i="4" s="1"/>
  <c r="I508" i="4" s="1"/>
  <c r="J508" i="4" s="1"/>
  <c r="E509" i="4"/>
  <c r="C511" i="3"/>
  <c r="A510" i="3"/>
  <c r="D509" i="3"/>
  <c r="G509" i="2"/>
  <c r="H509" i="2" s="1"/>
  <c r="I509" i="2" s="1"/>
  <c r="J509" i="2" s="1"/>
  <c r="E510" i="2"/>
  <c r="G509" i="3"/>
  <c r="H509" i="3" s="1"/>
  <c r="I509" i="3" s="1"/>
  <c r="J509" i="3" s="1"/>
  <c r="E510" i="3"/>
  <c r="A510" i="1"/>
  <c r="F509" i="1"/>
  <c r="E510" i="1" s="1"/>
  <c r="D509" i="1"/>
  <c r="C510" i="1"/>
  <c r="A511" i="4"/>
  <c r="D510" i="4"/>
  <c r="G509" i="1"/>
  <c r="H509" i="1" s="1"/>
  <c r="I509" i="1" s="1"/>
  <c r="J509" i="1" s="1"/>
  <c r="G510" i="1" l="1"/>
  <c r="H510" i="1" s="1"/>
  <c r="I510" i="1" s="1"/>
  <c r="J510" i="1" s="1"/>
  <c r="C512" i="3"/>
  <c r="D510" i="1"/>
  <c r="F510" i="1"/>
  <c r="E511" i="1" s="1"/>
  <c r="A511" i="1"/>
  <c r="D511" i="4"/>
  <c r="A512" i="4"/>
  <c r="G510" i="2"/>
  <c r="H510" i="2" s="1"/>
  <c r="I510" i="2" s="1"/>
  <c r="J510" i="2" s="1"/>
  <c r="E511" i="2"/>
  <c r="C511" i="1"/>
  <c r="A513" i="2"/>
  <c r="D512" i="2"/>
  <c r="G510" i="3"/>
  <c r="H510" i="3" s="1"/>
  <c r="I510" i="3" s="1"/>
  <c r="J510" i="3" s="1"/>
  <c r="E511" i="3"/>
  <c r="G509" i="4"/>
  <c r="H509" i="4" s="1"/>
  <c r="I509" i="4" s="1"/>
  <c r="J509" i="4" s="1"/>
  <c r="E510" i="4"/>
  <c r="C512" i="4"/>
  <c r="A511" i="3"/>
  <c r="D510" i="3"/>
  <c r="G511" i="1" l="1"/>
  <c r="H511" i="1" s="1"/>
  <c r="I511" i="1" s="1"/>
  <c r="J511" i="1" s="1"/>
  <c r="E512" i="1"/>
  <c r="A512" i="1"/>
  <c r="F511" i="1"/>
  <c r="D511" i="1"/>
  <c r="A512" i="3"/>
  <c r="D511" i="3"/>
  <c r="A514" i="2"/>
  <c r="D513" i="2"/>
  <c r="C513" i="4"/>
  <c r="C512" i="1"/>
  <c r="G510" i="4"/>
  <c r="H510" i="4" s="1"/>
  <c r="I510" i="4" s="1"/>
  <c r="J510" i="4" s="1"/>
  <c r="E511" i="4"/>
  <c r="G511" i="2"/>
  <c r="H511" i="2" s="1"/>
  <c r="I511" i="2" s="1"/>
  <c r="J511" i="2" s="1"/>
  <c r="E512" i="2"/>
  <c r="C513" i="3"/>
  <c r="G511" i="3"/>
  <c r="H511" i="3" s="1"/>
  <c r="I511" i="3" s="1"/>
  <c r="J511" i="3" s="1"/>
  <c r="E512" i="3"/>
  <c r="A513" i="4"/>
  <c r="D512" i="4"/>
  <c r="G511" i="4" l="1"/>
  <c r="H511" i="4" s="1"/>
  <c r="I511" i="4" s="1"/>
  <c r="J511" i="4" s="1"/>
  <c r="E512" i="4"/>
  <c r="A514" i="4"/>
  <c r="D513" i="4"/>
  <c r="A513" i="3"/>
  <c r="D512" i="3"/>
  <c r="G512" i="2"/>
  <c r="H512" i="2" s="1"/>
  <c r="I512" i="2" s="1"/>
  <c r="J512" i="2" s="1"/>
  <c r="E513" i="2"/>
  <c r="A515" i="2"/>
  <c r="D514" i="2"/>
  <c r="G512" i="3"/>
  <c r="H512" i="3" s="1"/>
  <c r="I512" i="3" s="1"/>
  <c r="J512" i="3" s="1"/>
  <c r="E513" i="3"/>
  <c r="C513" i="1"/>
  <c r="C514" i="3"/>
  <c r="C514" i="4"/>
  <c r="F512" i="1"/>
  <c r="D512" i="1"/>
  <c r="A513" i="1"/>
  <c r="G512" i="1"/>
  <c r="H512" i="1" s="1"/>
  <c r="I512" i="1" s="1"/>
  <c r="J512" i="1" s="1"/>
  <c r="E513" i="1"/>
  <c r="G513" i="2" l="1"/>
  <c r="H513" i="2" s="1"/>
  <c r="I513" i="2" s="1"/>
  <c r="J513" i="2" s="1"/>
  <c r="E514" i="2"/>
  <c r="G513" i="1"/>
  <c r="H513" i="1" s="1"/>
  <c r="F513" i="1"/>
  <c r="E514" i="1" s="1"/>
  <c r="A514" i="1"/>
  <c r="D513" i="1"/>
  <c r="I513" i="1"/>
  <c r="J513" i="1" s="1"/>
  <c r="C514" i="1"/>
  <c r="A514" i="3"/>
  <c r="D513" i="3"/>
  <c r="D514" i="4"/>
  <c r="A515" i="4"/>
  <c r="C515" i="3"/>
  <c r="G512" i="4"/>
  <c r="H512" i="4" s="1"/>
  <c r="I512" i="4" s="1"/>
  <c r="J512" i="4" s="1"/>
  <c r="E513" i="4"/>
  <c r="G513" i="3"/>
  <c r="H513" i="3" s="1"/>
  <c r="I513" i="3" s="1"/>
  <c r="J513" i="3" s="1"/>
  <c r="E514" i="3"/>
  <c r="C515" i="4"/>
  <c r="A516" i="2"/>
  <c r="D515" i="2"/>
  <c r="E515" i="1" l="1"/>
  <c r="G514" i="1"/>
  <c r="H514" i="1" s="1"/>
  <c r="A517" i="2"/>
  <c r="D516" i="2"/>
  <c r="F514" i="1"/>
  <c r="D514" i="1"/>
  <c r="A515" i="1"/>
  <c r="C516" i="3"/>
  <c r="C516" i="4"/>
  <c r="D515" i="4"/>
  <c r="A516" i="4"/>
  <c r="A515" i="3"/>
  <c r="D514" i="3"/>
  <c r="G514" i="2"/>
  <c r="H514" i="2" s="1"/>
  <c r="I514" i="2" s="1"/>
  <c r="J514" i="2" s="1"/>
  <c r="E515" i="2"/>
  <c r="G514" i="3"/>
  <c r="H514" i="3" s="1"/>
  <c r="I514" i="3" s="1"/>
  <c r="J514" i="3" s="1"/>
  <c r="E515" i="3"/>
  <c r="G513" i="4"/>
  <c r="H513" i="4" s="1"/>
  <c r="I513" i="4" s="1"/>
  <c r="J513" i="4" s="1"/>
  <c r="E514" i="4"/>
  <c r="C515" i="1"/>
  <c r="I514" i="1"/>
  <c r="J514" i="1" s="1"/>
  <c r="C517" i="3" l="1"/>
  <c r="D515" i="1"/>
  <c r="A516" i="1"/>
  <c r="F515" i="1"/>
  <c r="G514" i="4"/>
  <c r="H514" i="4" s="1"/>
  <c r="I514" i="4" s="1"/>
  <c r="J514" i="4" s="1"/>
  <c r="E515" i="4"/>
  <c r="A517" i="4"/>
  <c r="D516" i="4"/>
  <c r="G515" i="3"/>
  <c r="H515" i="3" s="1"/>
  <c r="I515" i="3" s="1"/>
  <c r="J515" i="3" s="1"/>
  <c r="E516" i="3"/>
  <c r="C517" i="4"/>
  <c r="A518" i="2"/>
  <c r="D517" i="2"/>
  <c r="C516" i="1"/>
  <c r="A516" i="3"/>
  <c r="D515" i="3"/>
  <c r="G515" i="2"/>
  <c r="H515" i="2" s="1"/>
  <c r="I515" i="2" s="1"/>
  <c r="J515" i="2" s="1"/>
  <c r="E516" i="2"/>
  <c r="G515" i="1"/>
  <c r="H515" i="1" s="1"/>
  <c r="I515" i="1" s="1"/>
  <c r="J515" i="1" s="1"/>
  <c r="E516" i="1"/>
  <c r="G515" i="4" l="1"/>
  <c r="H515" i="4" s="1"/>
  <c r="I515" i="4" s="1"/>
  <c r="J515" i="4" s="1"/>
  <c r="E516" i="4"/>
  <c r="A519" i="2"/>
  <c r="D518" i="2"/>
  <c r="G516" i="2"/>
  <c r="H516" i="2" s="1"/>
  <c r="I516" i="2" s="1"/>
  <c r="J516" i="2" s="1"/>
  <c r="E517" i="2"/>
  <c r="C518" i="4"/>
  <c r="C517" i="1"/>
  <c r="A518" i="4"/>
  <c r="D517" i="4"/>
  <c r="G516" i="1"/>
  <c r="H516" i="1" s="1"/>
  <c r="I516" i="1" s="1"/>
  <c r="J516" i="1" s="1"/>
  <c r="F516" i="1"/>
  <c r="E517" i="1" s="1"/>
  <c r="D516" i="1"/>
  <c r="A517" i="1"/>
  <c r="G516" i="3"/>
  <c r="H516" i="3" s="1"/>
  <c r="I516" i="3" s="1"/>
  <c r="J516" i="3" s="1"/>
  <c r="E517" i="3"/>
  <c r="A517" i="3"/>
  <c r="D516" i="3"/>
  <c r="C518" i="3"/>
  <c r="G517" i="1" l="1"/>
  <c r="H517" i="1" s="1"/>
  <c r="I517" i="1" s="1"/>
  <c r="J517" i="1" s="1"/>
  <c r="C519" i="4"/>
  <c r="C519" i="3"/>
  <c r="G517" i="2"/>
  <c r="H517" i="2" s="1"/>
  <c r="I517" i="2" s="1"/>
  <c r="J517" i="2" s="1"/>
  <c r="E518" i="2"/>
  <c r="G517" i="3"/>
  <c r="H517" i="3" s="1"/>
  <c r="I517" i="3" s="1"/>
  <c r="J517" i="3" s="1"/>
  <c r="E518" i="3"/>
  <c r="A519" i="4"/>
  <c r="D518" i="4"/>
  <c r="A520" i="2"/>
  <c r="D519" i="2"/>
  <c r="G516" i="4"/>
  <c r="H516" i="4" s="1"/>
  <c r="I516" i="4" s="1"/>
  <c r="J516" i="4" s="1"/>
  <c r="E517" i="4"/>
  <c r="A518" i="3"/>
  <c r="D517" i="3"/>
  <c r="A518" i="1"/>
  <c r="D517" i="1"/>
  <c r="F517" i="1"/>
  <c r="E518" i="1" s="1"/>
  <c r="C518" i="1"/>
  <c r="G518" i="1" l="1"/>
  <c r="H518" i="1" s="1"/>
  <c r="I518" i="1" s="1"/>
  <c r="J518" i="1" s="1"/>
  <c r="C520" i="3"/>
  <c r="A521" i="2"/>
  <c r="D520" i="2"/>
  <c r="G517" i="4"/>
  <c r="H517" i="4" s="1"/>
  <c r="I517" i="4" s="1"/>
  <c r="J517" i="4" s="1"/>
  <c r="E518" i="4"/>
  <c r="C520" i="4"/>
  <c r="D518" i="1"/>
  <c r="F518" i="1"/>
  <c r="E519" i="1" s="1"/>
  <c r="A519" i="1"/>
  <c r="D519" i="4"/>
  <c r="A520" i="4"/>
  <c r="G518" i="3"/>
  <c r="H518" i="3" s="1"/>
  <c r="I518" i="3" s="1"/>
  <c r="J518" i="3" s="1"/>
  <c r="E519" i="3"/>
  <c r="G518" i="2"/>
  <c r="H518" i="2" s="1"/>
  <c r="I518" i="2" s="1"/>
  <c r="J518" i="2" s="1"/>
  <c r="E519" i="2"/>
  <c r="C519" i="1"/>
  <c r="A519" i="3"/>
  <c r="D518" i="3"/>
  <c r="G519" i="1" l="1"/>
  <c r="H519" i="1" s="1"/>
  <c r="I519" i="1" s="1"/>
  <c r="J519" i="1" s="1"/>
  <c r="A520" i="3"/>
  <c r="D519" i="3"/>
  <c r="A520" i="1"/>
  <c r="F519" i="1"/>
  <c r="E520" i="1" s="1"/>
  <c r="D519" i="1"/>
  <c r="A522" i="2"/>
  <c r="D521" i="2"/>
  <c r="C520" i="1"/>
  <c r="C521" i="3"/>
  <c r="G518" i="4"/>
  <c r="H518" i="4" s="1"/>
  <c r="I518" i="4" s="1"/>
  <c r="J518" i="4" s="1"/>
  <c r="E519" i="4"/>
  <c r="A521" i="4"/>
  <c r="D520" i="4"/>
  <c r="G519" i="2"/>
  <c r="H519" i="2" s="1"/>
  <c r="I519" i="2" s="1"/>
  <c r="J519" i="2" s="1"/>
  <c r="E520" i="2"/>
  <c r="C521" i="4"/>
  <c r="G519" i="3"/>
  <c r="H519" i="3" s="1"/>
  <c r="I519" i="3" s="1"/>
  <c r="J519" i="3" s="1"/>
  <c r="E520" i="3"/>
  <c r="G520" i="1" l="1"/>
  <c r="H520" i="1" s="1"/>
  <c r="I520" i="1" s="1"/>
  <c r="J520" i="1" s="1"/>
  <c r="E521" i="1"/>
  <c r="A523" i="2"/>
  <c r="D522" i="2"/>
  <c r="G519" i="4"/>
  <c r="H519" i="4" s="1"/>
  <c r="I519" i="4" s="1"/>
  <c r="J519" i="4" s="1"/>
  <c r="E520" i="4"/>
  <c r="C522" i="4"/>
  <c r="C522" i="3"/>
  <c r="F520" i="1"/>
  <c r="D520" i="1"/>
  <c r="A521" i="1"/>
  <c r="G520" i="2"/>
  <c r="H520" i="2" s="1"/>
  <c r="I520" i="2" s="1"/>
  <c r="J520" i="2" s="1"/>
  <c r="E521" i="2"/>
  <c r="C521" i="1"/>
  <c r="A521" i="3"/>
  <c r="D520" i="3"/>
  <c r="A522" i="4"/>
  <c r="D521" i="4"/>
  <c r="G520" i="3"/>
  <c r="H520" i="3" s="1"/>
  <c r="I520" i="3" s="1"/>
  <c r="J520" i="3" s="1"/>
  <c r="E521" i="3"/>
  <c r="D522" i="4" l="1"/>
  <c r="A523" i="4"/>
  <c r="A522" i="3"/>
  <c r="D521" i="3"/>
  <c r="G521" i="1"/>
  <c r="H521" i="1" s="1"/>
  <c r="I521" i="1" s="1"/>
  <c r="J521" i="1" s="1"/>
  <c r="E522" i="1"/>
  <c r="C523" i="3"/>
  <c r="C522" i="1"/>
  <c r="C523" i="4"/>
  <c r="G521" i="3"/>
  <c r="H521" i="3" s="1"/>
  <c r="I521" i="3" s="1"/>
  <c r="J521" i="3" s="1"/>
  <c r="E522" i="3"/>
  <c r="G521" i="2"/>
  <c r="H521" i="2" s="1"/>
  <c r="I521" i="2" s="1"/>
  <c r="J521" i="2" s="1"/>
  <c r="E522" i="2"/>
  <c r="G520" i="4"/>
  <c r="H520" i="4" s="1"/>
  <c r="I520" i="4" s="1"/>
  <c r="J520" i="4" s="1"/>
  <c r="E521" i="4"/>
  <c r="F521" i="1"/>
  <c r="A522" i="1"/>
  <c r="D521" i="1"/>
  <c r="A524" i="2"/>
  <c r="D523" i="2"/>
  <c r="G522" i="2" l="1"/>
  <c r="H522" i="2" s="1"/>
  <c r="I522" i="2" s="1"/>
  <c r="J522" i="2" s="1"/>
  <c r="E523" i="2"/>
  <c r="C524" i="3"/>
  <c r="A525" i="2"/>
  <c r="D524" i="2"/>
  <c r="G522" i="3"/>
  <c r="H522" i="3" s="1"/>
  <c r="I522" i="3" s="1"/>
  <c r="J522" i="3" s="1"/>
  <c r="E523" i="3"/>
  <c r="E523" i="1"/>
  <c r="G522" i="1"/>
  <c r="H522" i="1" s="1"/>
  <c r="I522" i="1" s="1"/>
  <c r="J522" i="1" s="1"/>
  <c r="F522" i="1"/>
  <c r="D522" i="1"/>
  <c r="A523" i="1"/>
  <c r="C524" i="4"/>
  <c r="D522" i="3"/>
  <c r="A523" i="3"/>
  <c r="G521" i="4"/>
  <c r="H521" i="4" s="1"/>
  <c r="I521" i="4" s="1"/>
  <c r="J521" i="4" s="1"/>
  <c r="E522" i="4"/>
  <c r="C523" i="1"/>
  <c r="D523" i="4"/>
  <c r="A524" i="4"/>
  <c r="G523" i="3" l="1"/>
  <c r="H523" i="3" s="1"/>
  <c r="I523" i="3" s="1"/>
  <c r="J523" i="3" s="1"/>
  <c r="E524" i="3"/>
  <c r="A525" i="4"/>
  <c r="D524" i="4"/>
  <c r="C525" i="4"/>
  <c r="A526" i="2"/>
  <c r="D525" i="2"/>
  <c r="C525" i="3"/>
  <c r="D523" i="1"/>
  <c r="A524" i="1"/>
  <c r="F523" i="1"/>
  <c r="C524" i="1"/>
  <c r="G522" i="4"/>
  <c r="H522" i="4" s="1"/>
  <c r="I522" i="4" s="1"/>
  <c r="J522" i="4" s="1"/>
  <c r="E523" i="4"/>
  <c r="G523" i="2"/>
  <c r="H523" i="2" s="1"/>
  <c r="I523" i="2" s="1"/>
  <c r="J523" i="2" s="1"/>
  <c r="E524" i="2"/>
  <c r="D523" i="3"/>
  <c r="A524" i="3"/>
  <c r="G523" i="1"/>
  <c r="H523" i="1" s="1"/>
  <c r="I523" i="1" s="1"/>
  <c r="J523" i="1" s="1"/>
  <c r="E524" i="1"/>
  <c r="G524" i="1" l="1"/>
  <c r="H524" i="1" s="1"/>
  <c r="I524" i="1" s="1"/>
  <c r="J524" i="1" s="1"/>
  <c r="K526" i="2"/>
  <c r="D526" i="2"/>
  <c r="A527" i="2"/>
  <c r="D527" i="2" s="1"/>
  <c r="C525" i="1"/>
  <c r="C526" i="4"/>
  <c r="C526" i="3"/>
  <c r="D524" i="3"/>
  <c r="A525" i="3"/>
  <c r="A526" i="4"/>
  <c r="D525" i="4"/>
  <c r="F524" i="1"/>
  <c r="E525" i="1" s="1"/>
  <c r="D524" i="1"/>
  <c r="A525" i="1"/>
  <c r="G524" i="2"/>
  <c r="H524" i="2" s="1"/>
  <c r="I524" i="2" s="1"/>
  <c r="J524" i="2" s="1"/>
  <c r="E525" i="2"/>
  <c r="G524" i="3"/>
  <c r="H524" i="3" s="1"/>
  <c r="I524" i="3" s="1"/>
  <c r="J524" i="3" s="1"/>
  <c r="E525" i="3"/>
  <c r="G523" i="4"/>
  <c r="H523" i="4" s="1"/>
  <c r="I523" i="4" s="1"/>
  <c r="J523" i="4" s="1"/>
  <c r="E524" i="4"/>
  <c r="G525" i="1" l="1"/>
  <c r="H525" i="1" s="1"/>
  <c r="I525" i="1" s="1"/>
  <c r="J525" i="1" s="1"/>
  <c r="G524" i="4"/>
  <c r="H524" i="4" s="1"/>
  <c r="I524" i="4" s="1"/>
  <c r="J524" i="4" s="1"/>
  <c r="E525" i="4"/>
  <c r="G525" i="3"/>
  <c r="H525" i="3" s="1"/>
  <c r="I525" i="3" s="1"/>
  <c r="J525" i="3" s="1"/>
  <c r="E526" i="3"/>
  <c r="D526" i="4"/>
  <c r="A527" i="4"/>
  <c r="D527" i="4" s="1"/>
  <c r="K526" i="4"/>
  <c r="C526" i="1"/>
  <c r="D525" i="3"/>
  <c r="A526" i="3"/>
  <c r="G525" i="2"/>
  <c r="H525" i="2" s="1"/>
  <c r="I525" i="2" s="1"/>
  <c r="J525" i="2" s="1"/>
  <c r="E526" i="2"/>
  <c r="C527" i="3"/>
  <c r="I527" i="3" s="1"/>
  <c r="J527" i="3" s="1"/>
  <c r="A526" i="1"/>
  <c r="F525" i="1"/>
  <c r="E526" i="1" s="1"/>
  <c r="D525" i="1"/>
  <c r="C527" i="4"/>
  <c r="I527" i="4" s="1"/>
  <c r="J527" i="4" s="1"/>
  <c r="G526" i="1" l="1"/>
  <c r="H526" i="1" s="1"/>
  <c r="E527" i="3"/>
  <c r="G526" i="3"/>
  <c r="H526" i="3" s="1"/>
  <c r="I526" i="3" s="1"/>
  <c r="J526" i="3" s="1"/>
  <c r="G525" i="4"/>
  <c r="H525" i="4" s="1"/>
  <c r="I525" i="4" s="1"/>
  <c r="J525" i="4" s="1"/>
  <c r="E526" i="4"/>
  <c r="E527" i="2"/>
  <c r="G526" i="2"/>
  <c r="H526" i="2" s="1"/>
  <c r="I526" i="2" s="1"/>
  <c r="J526" i="2" s="1"/>
  <c r="D526" i="3"/>
  <c r="K526" i="3"/>
  <c r="A527" i="3"/>
  <c r="D527" i="3" s="1"/>
  <c r="I526" i="1"/>
  <c r="J526" i="1" s="1"/>
  <c r="C527" i="1"/>
  <c r="I527" i="1" s="1"/>
  <c r="J527" i="1" s="1"/>
  <c r="A527" i="1"/>
  <c r="D526" i="1"/>
  <c r="F526" i="1"/>
  <c r="E527" i="1" s="1"/>
  <c r="K526" i="1"/>
  <c r="F527" i="1" l="1"/>
  <c r="D527" i="1"/>
  <c r="E527" i="4"/>
  <c r="G526" i="4"/>
  <c r="H526" i="4" s="1"/>
  <c r="I526" i="4" s="1"/>
  <c r="J526" i="4" s="1"/>
</calcChain>
</file>

<file path=xl/sharedStrings.xml><?xml version="1.0" encoding="utf-8"?>
<sst xmlns="http://schemas.openxmlformats.org/spreadsheetml/2006/main" count="128" uniqueCount="31">
  <si>
    <t>ISIN</t>
  </si>
  <si>
    <t>US9128286D73</t>
  </si>
  <si>
    <t>Escenario a 1 año</t>
  </si>
  <si>
    <t>TICKER</t>
  </si>
  <si>
    <t>T 2 1/2 02/28/21</t>
  </si>
  <si>
    <t>Fecha</t>
  </si>
  <si>
    <t>Fixed linear factor</t>
  </si>
  <si>
    <t>Vencimiento</t>
  </si>
  <si>
    <t>28/02/2021</t>
  </si>
  <si>
    <t>Yield</t>
  </si>
  <si>
    <t>Retorno total (%)</t>
  </si>
  <si>
    <t>Cupón (%)</t>
  </si>
  <si>
    <t>Estimaciones a 1 año</t>
  </si>
  <si>
    <t>Estimaciones al vencimiento</t>
  </si>
  <si>
    <t>Frequencia cupón</t>
  </si>
  <si>
    <t>Monto</t>
  </si>
  <si>
    <t>Subcupón</t>
  </si>
  <si>
    <t>Liquid (SETT)</t>
  </si>
  <si>
    <t>Yield de entrada</t>
  </si>
  <si>
    <t>Precio Compra</t>
  </si>
  <si>
    <t>Fecha de evaluación</t>
  </si>
  <si>
    <t>Intereses acumulados</t>
  </si>
  <si>
    <t>YY</t>
  </si>
  <si>
    <t>INT_ACC 1</t>
  </si>
  <si>
    <t>INT_ACC 2</t>
  </si>
  <si>
    <t>SETTLE DT</t>
  </si>
  <si>
    <t>YAS_BOND_YLD</t>
  </si>
  <si>
    <t>ShockF.</t>
  </si>
  <si>
    <t>YAS BOND PX</t>
  </si>
  <si>
    <t>Gcapital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</si>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</sst>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"/>
    <numFmt numFmtId="165" formatCode="_(* #,##0.00_);_(* \(#,##0.00\);_(* &quot;-&quot;??_);_(@_)"/>
    <numFmt numFmtId="166" formatCode="0.000"/>
    <numFmt numFmtId="167" formatCode="0.000000"/>
    <numFmt numFmtId="168" formatCode="0.0"/>
    <numFmt numFmtId="169" formatCode="0.0000"/>
    <numFmt numFmtId="170" formatCode="_(* #,##0.000_);_(* \(#,##0.000\);_(* &quot;-&quot;??_);_(@_)"/>
  </numFmts>
  <fonts count="6" x14ac:knownFonts="1">
    <font>
      <sz val="10"/>
      <color rgb="FF000000"/>
      <name val="Arial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14" fontId="1" fillId="0" borderId="0" xfId="0" applyNumberFormat="1" applyFont="1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4" fontId="2" fillId="3" borderId="1" xfId="0" applyNumberFormat="1" applyFont="1" applyFill="1" applyBorder="1"/>
    <xf numFmtId="14" fontId="1" fillId="3" borderId="1" xfId="0" applyNumberFormat="1" applyFont="1" applyFill="1" applyBorder="1"/>
    <xf numFmtId="0" fontId="3" fillId="0" borderId="0" xfId="0" applyFont="1"/>
    <xf numFmtId="0" fontId="4" fillId="4" borderId="2" xfId="0" applyFont="1" applyFill="1" applyBorder="1" applyAlignment="1"/>
    <xf numFmtId="164" fontId="1" fillId="3" borderId="1" xfId="0" applyNumberFormat="1" applyFont="1" applyFill="1" applyBorder="1"/>
    <xf numFmtId="0" fontId="1" fillId="0" borderId="0" xfId="0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14" fontId="1" fillId="2" borderId="1" xfId="0" applyNumberFormat="1" applyFont="1" applyFill="1" applyBorder="1"/>
    <xf numFmtId="167" fontId="1" fillId="2" borderId="1" xfId="0" applyNumberFormat="1" applyFont="1" applyFill="1" applyBorder="1"/>
    <xf numFmtId="164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168" fontId="1" fillId="0" borderId="0" xfId="0" applyNumberFormat="1" applyFont="1"/>
    <xf numFmtId="167" fontId="1" fillId="0" borderId="0" xfId="0" applyNumberFormat="1" applyFont="1" applyAlignment="1">
      <alignment horizontal="center"/>
    </xf>
    <xf numFmtId="2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66" fontId="1" fillId="2" borderId="1" xfId="0" applyNumberFormat="1" applyFont="1" applyFill="1" applyBorder="1"/>
    <xf numFmtId="0" fontId="1" fillId="4" borderId="2" xfId="0" applyFont="1" applyFill="1" applyBorder="1"/>
    <xf numFmtId="14" fontId="1" fillId="3" borderId="3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1" fillId="3" borderId="4" xfId="0" applyFont="1" applyFill="1" applyBorder="1" applyAlignment="1">
      <alignment horizontal="center"/>
    </xf>
    <xf numFmtId="0" fontId="5" fillId="0" borderId="5" xfId="0" applyFont="1" applyBorder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C2D-4771-B050-ACA4FA3319DE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DC2D-4771-B050-ACA4FA3319DE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DC2D-4771-B050-ACA4FA3319DE}"/>
              </c:ext>
            </c:extLst>
          </c:dPt>
          <c:cat>
            <c:numRef>
              <c:f>Bond!$A$16:$A$277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Bond!$E$16:$E$277</c:f>
              <c:numCache>
                <c:formatCode>0.00</c:formatCode>
                <c:ptCount val="262"/>
                <c:pt idx="0">
                  <c:v>2.458612</c:v>
                </c:pt>
                <c:pt idx="1">
                  <c:v>2.4573555287671232</c:v>
                </c:pt>
                <c:pt idx="2">
                  <c:v>2.453586115068493</c:v>
                </c:pt>
                <c:pt idx="3">
                  <c:v>2.4523296438356161</c:v>
                </c:pt>
                <c:pt idx="4">
                  <c:v>2.4510731726027393</c:v>
                </c:pt>
                <c:pt idx="5">
                  <c:v>2.4498167013698624</c:v>
                </c:pt>
                <c:pt idx="6">
                  <c:v>2.4485602301369855</c:v>
                </c:pt>
                <c:pt idx="7">
                  <c:v>2.4447908164383554</c:v>
                </c:pt>
                <c:pt idx="8">
                  <c:v>2.4435343452054785</c:v>
                </c:pt>
                <c:pt idx="9">
                  <c:v>2.4422778739726017</c:v>
                </c:pt>
                <c:pt idx="10">
                  <c:v>2.4410214027397248</c:v>
                </c:pt>
                <c:pt idx="11">
                  <c:v>2.4397649315068479</c:v>
                </c:pt>
                <c:pt idx="12">
                  <c:v>2.4359955178082178</c:v>
                </c:pt>
                <c:pt idx="13">
                  <c:v>2.4347390465753409</c:v>
                </c:pt>
                <c:pt idx="14">
                  <c:v>2.433482575342464</c:v>
                </c:pt>
                <c:pt idx="15">
                  <c:v>2.4322261041095872</c:v>
                </c:pt>
                <c:pt idx="16">
                  <c:v>2.4309696328767103</c:v>
                </c:pt>
                <c:pt idx="17">
                  <c:v>2.4272002191780802</c:v>
                </c:pt>
                <c:pt idx="18">
                  <c:v>2.4259437479452033</c:v>
                </c:pt>
                <c:pt idx="19">
                  <c:v>2.4246872767123264</c:v>
                </c:pt>
                <c:pt idx="20">
                  <c:v>2.4234308054794496</c:v>
                </c:pt>
                <c:pt idx="21">
                  <c:v>2.4221743342465727</c:v>
                </c:pt>
                <c:pt idx="22">
                  <c:v>2.4184049205479425</c:v>
                </c:pt>
                <c:pt idx="23">
                  <c:v>2.4171484493150657</c:v>
                </c:pt>
                <c:pt idx="24">
                  <c:v>2.4158919780821888</c:v>
                </c:pt>
                <c:pt idx="25">
                  <c:v>2.4146355068493119</c:v>
                </c:pt>
                <c:pt idx="26">
                  <c:v>2.4133790356164351</c:v>
                </c:pt>
                <c:pt idx="27">
                  <c:v>2.4096096219178049</c:v>
                </c:pt>
                <c:pt idx="28">
                  <c:v>2.4083531506849281</c:v>
                </c:pt>
                <c:pt idx="29">
                  <c:v>2.4070966794520512</c:v>
                </c:pt>
                <c:pt idx="30">
                  <c:v>2.4058402082191743</c:v>
                </c:pt>
                <c:pt idx="31">
                  <c:v>2.4045837369862975</c:v>
                </c:pt>
                <c:pt idx="32">
                  <c:v>2.4008143232876673</c:v>
                </c:pt>
                <c:pt idx="33">
                  <c:v>2.3995578520547904</c:v>
                </c:pt>
                <c:pt idx="34">
                  <c:v>2.3983013808219136</c:v>
                </c:pt>
                <c:pt idx="35">
                  <c:v>2.3970449095890367</c:v>
                </c:pt>
                <c:pt idx="36">
                  <c:v>2.3957884383561598</c:v>
                </c:pt>
                <c:pt idx="37">
                  <c:v>2.3920190246575297</c:v>
                </c:pt>
                <c:pt idx="38">
                  <c:v>2.3907625534246528</c:v>
                </c:pt>
                <c:pt idx="39">
                  <c:v>2.389506082191776</c:v>
                </c:pt>
                <c:pt idx="40">
                  <c:v>2.3882496109588991</c:v>
                </c:pt>
                <c:pt idx="41">
                  <c:v>2.3869931397260222</c:v>
                </c:pt>
                <c:pt idx="42">
                  <c:v>2.3832237260273921</c:v>
                </c:pt>
                <c:pt idx="43">
                  <c:v>2.3819672547945152</c:v>
                </c:pt>
                <c:pt idx="44">
                  <c:v>2.3807107835616383</c:v>
                </c:pt>
                <c:pt idx="45">
                  <c:v>2.3794543123287615</c:v>
                </c:pt>
                <c:pt idx="46">
                  <c:v>2.3781978410958846</c:v>
                </c:pt>
                <c:pt idx="47">
                  <c:v>2.3744284273972545</c:v>
                </c:pt>
                <c:pt idx="48">
                  <c:v>2.3731719561643776</c:v>
                </c:pt>
                <c:pt idx="49">
                  <c:v>2.3719154849315007</c:v>
                </c:pt>
                <c:pt idx="50">
                  <c:v>2.3706590136986239</c:v>
                </c:pt>
                <c:pt idx="51">
                  <c:v>2.369402542465747</c:v>
                </c:pt>
                <c:pt idx="52">
                  <c:v>2.3656331287671168</c:v>
                </c:pt>
                <c:pt idx="53">
                  <c:v>2.36437665753424</c:v>
                </c:pt>
                <c:pt idx="54">
                  <c:v>2.3631201863013631</c:v>
                </c:pt>
                <c:pt idx="55">
                  <c:v>2.3618637150684862</c:v>
                </c:pt>
                <c:pt idx="56">
                  <c:v>2.3606072438356094</c:v>
                </c:pt>
                <c:pt idx="57">
                  <c:v>2.3568378301369792</c:v>
                </c:pt>
                <c:pt idx="58">
                  <c:v>2.3555813589041024</c:v>
                </c:pt>
                <c:pt idx="59">
                  <c:v>2.3543248876712255</c:v>
                </c:pt>
                <c:pt idx="60">
                  <c:v>2.3530684164383486</c:v>
                </c:pt>
                <c:pt idx="61">
                  <c:v>2.3518119452054718</c:v>
                </c:pt>
                <c:pt idx="62">
                  <c:v>2.3480425315068416</c:v>
                </c:pt>
                <c:pt idx="63">
                  <c:v>2.3467860602739647</c:v>
                </c:pt>
                <c:pt idx="64">
                  <c:v>2.3455295890410879</c:v>
                </c:pt>
                <c:pt idx="65">
                  <c:v>2.344273117808211</c:v>
                </c:pt>
                <c:pt idx="66">
                  <c:v>2.3430166465753341</c:v>
                </c:pt>
                <c:pt idx="67">
                  <c:v>2.339247232876704</c:v>
                </c:pt>
                <c:pt idx="68">
                  <c:v>2.3379907616438271</c:v>
                </c:pt>
                <c:pt idx="69">
                  <c:v>2.3367342904109503</c:v>
                </c:pt>
                <c:pt idx="70">
                  <c:v>2.3354778191780734</c:v>
                </c:pt>
                <c:pt idx="71">
                  <c:v>2.3342213479451965</c:v>
                </c:pt>
                <c:pt idx="72">
                  <c:v>2.3304519342465664</c:v>
                </c:pt>
                <c:pt idx="73">
                  <c:v>2.3291954630136895</c:v>
                </c:pt>
                <c:pt idx="74">
                  <c:v>2.3279389917808126</c:v>
                </c:pt>
                <c:pt idx="75">
                  <c:v>2.3266825205479358</c:v>
                </c:pt>
                <c:pt idx="76">
                  <c:v>2.3254260493150589</c:v>
                </c:pt>
                <c:pt idx="77">
                  <c:v>2.3216566356164288</c:v>
                </c:pt>
                <c:pt idx="78">
                  <c:v>2.3204001643835519</c:v>
                </c:pt>
                <c:pt idx="79">
                  <c:v>2.319143693150675</c:v>
                </c:pt>
                <c:pt idx="80">
                  <c:v>2.3178872219177982</c:v>
                </c:pt>
                <c:pt idx="81">
                  <c:v>2.3166307506849213</c:v>
                </c:pt>
                <c:pt idx="82">
                  <c:v>2.3128613369862911</c:v>
                </c:pt>
                <c:pt idx="83">
                  <c:v>2.3116048657534143</c:v>
                </c:pt>
                <c:pt idx="84">
                  <c:v>2.3103483945205374</c:v>
                </c:pt>
                <c:pt idx="85">
                  <c:v>2.3090919232876606</c:v>
                </c:pt>
                <c:pt idx="86">
                  <c:v>2.3078354520547837</c:v>
                </c:pt>
                <c:pt idx="87">
                  <c:v>2.3040660383561535</c:v>
                </c:pt>
                <c:pt idx="88">
                  <c:v>2.3028095671232767</c:v>
                </c:pt>
                <c:pt idx="89">
                  <c:v>2.3015530958903998</c:v>
                </c:pt>
                <c:pt idx="90">
                  <c:v>2.3002966246575229</c:v>
                </c:pt>
                <c:pt idx="91">
                  <c:v>2.2990401534246461</c:v>
                </c:pt>
                <c:pt idx="92">
                  <c:v>2.2952707397260159</c:v>
                </c:pt>
                <c:pt idx="93">
                  <c:v>2.2940142684931391</c:v>
                </c:pt>
                <c:pt idx="94">
                  <c:v>2.2927577972602622</c:v>
                </c:pt>
                <c:pt idx="95">
                  <c:v>2.2915013260273853</c:v>
                </c:pt>
                <c:pt idx="96">
                  <c:v>2.2902448547945085</c:v>
                </c:pt>
                <c:pt idx="97">
                  <c:v>2.2864754410958783</c:v>
                </c:pt>
                <c:pt idx="98">
                  <c:v>2.2852189698630014</c:v>
                </c:pt>
                <c:pt idx="99">
                  <c:v>2.2839624986301246</c:v>
                </c:pt>
                <c:pt idx="100">
                  <c:v>2.2827060273972477</c:v>
                </c:pt>
                <c:pt idx="101">
                  <c:v>2.2814495561643708</c:v>
                </c:pt>
                <c:pt idx="102">
                  <c:v>2.2776801424657407</c:v>
                </c:pt>
                <c:pt idx="103">
                  <c:v>2.2764236712328638</c:v>
                </c:pt>
                <c:pt idx="104">
                  <c:v>2.275167199999987</c:v>
                </c:pt>
                <c:pt idx="105">
                  <c:v>2.2739107287671101</c:v>
                </c:pt>
                <c:pt idx="106">
                  <c:v>2.2726542575342332</c:v>
                </c:pt>
                <c:pt idx="107">
                  <c:v>2.2688848438356031</c:v>
                </c:pt>
                <c:pt idx="108">
                  <c:v>2.2676283726027262</c:v>
                </c:pt>
                <c:pt idx="109">
                  <c:v>2.2663719013698493</c:v>
                </c:pt>
                <c:pt idx="110">
                  <c:v>2.2651154301369725</c:v>
                </c:pt>
                <c:pt idx="111">
                  <c:v>2.2638589589040956</c:v>
                </c:pt>
                <c:pt idx="112">
                  <c:v>2.2600895452054655</c:v>
                </c:pt>
                <c:pt idx="113">
                  <c:v>2.2588330739725886</c:v>
                </c:pt>
                <c:pt idx="114">
                  <c:v>2.2575766027397117</c:v>
                </c:pt>
                <c:pt idx="115">
                  <c:v>2.2563201315068349</c:v>
                </c:pt>
                <c:pt idx="116">
                  <c:v>2.255063660273958</c:v>
                </c:pt>
                <c:pt idx="117">
                  <c:v>2.2512942465753278</c:v>
                </c:pt>
                <c:pt idx="118">
                  <c:v>2.250037775342451</c:v>
                </c:pt>
                <c:pt idx="119">
                  <c:v>2.2487813041095741</c:v>
                </c:pt>
                <c:pt idx="120">
                  <c:v>2.2475248328766972</c:v>
                </c:pt>
                <c:pt idx="121">
                  <c:v>2.2462683616438204</c:v>
                </c:pt>
                <c:pt idx="122">
                  <c:v>2.2424989479451902</c:v>
                </c:pt>
                <c:pt idx="123">
                  <c:v>2.2412424767123134</c:v>
                </c:pt>
                <c:pt idx="124">
                  <c:v>2.2399860054794365</c:v>
                </c:pt>
                <c:pt idx="125">
                  <c:v>2.2387295342465596</c:v>
                </c:pt>
                <c:pt idx="126">
                  <c:v>2.2374730630136828</c:v>
                </c:pt>
                <c:pt idx="127">
                  <c:v>2.2337036493150526</c:v>
                </c:pt>
                <c:pt idx="128">
                  <c:v>2.2324471780821757</c:v>
                </c:pt>
                <c:pt idx="129">
                  <c:v>2.2311907068492989</c:v>
                </c:pt>
                <c:pt idx="130">
                  <c:v>2.229934235616422</c:v>
                </c:pt>
                <c:pt idx="131">
                  <c:v>2.2286777643835451</c:v>
                </c:pt>
                <c:pt idx="132">
                  <c:v>2.224908350684915</c:v>
                </c:pt>
                <c:pt idx="133">
                  <c:v>2.2236518794520381</c:v>
                </c:pt>
                <c:pt idx="134">
                  <c:v>2.2223954082191613</c:v>
                </c:pt>
                <c:pt idx="135">
                  <c:v>2.2211389369862844</c:v>
                </c:pt>
                <c:pt idx="136">
                  <c:v>2.2198824657534075</c:v>
                </c:pt>
                <c:pt idx="137">
                  <c:v>2.2161130520547774</c:v>
                </c:pt>
                <c:pt idx="138">
                  <c:v>2.2148565808219005</c:v>
                </c:pt>
                <c:pt idx="139">
                  <c:v>2.2136001095890236</c:v>
                </c:pt>
                <c:pt idx="140">
                  <c:v>2.2123436383561468</c:v>
                </c:pt>
                <c:pt idx="141">
                  <c:v>2.2110871671232699</c:v>
                </c:pt>
                <c:pt idx="142">
                  <c:v>2.2073177534246398</c:v>
                </c:pt>
                <c:pt idx="143">
                  <c:v>2.2060612821917629</c:v>
                </c:pt>
                <c:pt idx="144">
                  <c:v>2.204804810958886</c:v>
                </c:pt>
                <c:pt idx="145">
                  <c:v>2.2035483397260092</c:v>
                </c:pt>
                <c:pt idx="146">
                  <c:v>2.2022918684931323</c:v>
                </c:pt>
                <c:pt idx="147">
                  <c:v>2.1985224547945021</c:v>
                </c:pt>
                <c:pt idx="148">
                  <c:v>2.1972659835616253</c:v>
                </c:pt>
                <c:pt idx="149">
                  <c:v>2.1960095123287484</c:v>
                </c:pt>
                <c:pt idx="150">
                  <c:v>2.1947530410958715</c:v>
                </c:pt>
                <c:pt idx="151">
                  <c:v>2.1934965698629947</c:v>
                </c:pt>
                <c:pt idx="152">
                  <c:v>2.1897271561643645</c:v>
                </c:pt>
                <c:pt idx="153">
                  <c:v>2.1884706849314877</c:v>
                </c:pt>
                <c:pt idx="154">
                  <c:v>2.1872142136986108</c:v>
                </c:pt>
                <c:pt idx="155">
                  <c:v>2.1859577424657339</c:v>
                </c:pt>
                <c:pt idx="156">
                  <c:v>2.1847012712328571</c:v>
                </c:pt>
                <c:pt idx="157">
                  <c:v>2.1809318575342269</c:v>
                </c:pt>
                <c:pt idx="158">
                  <c:v>2.17967538630135</c:v>
                </c:pt>
                <c:pt idx="159">
                  <c:v>2.1784189150684732</c:v>
                </c:pt>
                <c:pt idx="160">
                  <c:v>2.1771624438355963</c:v>
                </c:pt>
                <c:pt idx="161">
                  <c:v>2.1759059726027195</c:v>
                </c:pt>
                <c:pt idx="162">
                  <c:v>2.1721365589040893</c:v>
                </c:pt>
                <c:pt idx="163">
                  <c:v>2.1708800876712124</c:v>
                </c:pt>
                <c:pt idx="164">
                  <c:v>2.1696236164383356</c:v>
                </c:pt>
                <c:pt idx="165">
                  <c:v>2.1683671452054587</c:v>
                </c:pt>
                <c:pt idx="166">
                  <c:v>2.1671106739725818</c:v>
                </c:pt>
                <c:pt idx="167">
                  <c:v>2.1633412602739517</c:v>
                </c:pt>
                <c:pt idx="168">
                  <c:v>2.1620847890410748</c:v>
                </c:pt>
                <c:pt idx="169">
                  <c:v>2.160828317808198</c:v>
                </c:pt>
                <c:pt idx="170">
                  <c:v>2.1595718465753211</c:v>
                </c:pt>
                <c:pt idx="171">
                  <c:v>2.1583153753424442</c:v>
                </c:pt>
                <c:pt idx="172">
                  <c:v>2.1545459616438141</c:v>
                </c:pt>
                <c:pt idx="173">
                  <c:v>2.1532894904109372</c:v>
                </c:pt>
                <c:pt idx="174">
                  <c:v>2.1520330191780603</c:v>
                </c:pt>
                <c:pt idx="175">
                  <c:v>2.1507765479451835</c:v>
                </c:pt>
                <c:pt idx="176">
                  <c:v>2.1495200767123066</c:v>
                </c:pt>
                <c:pt idx="177">
                  <c:v>2.1457506630136765</c:v>
                </c:pt>
                <c:pt idx="178">
                  <c:v>2.1444941917807996</c:v>
                </c:pt>
                <c:pt idx="179">
                  <c:v>2.1432377205479227</c:v>
                </c:pt>
                <c:pt idx="180">
                  <c:v>2.1419812493150459</c:v>
                </c:pt>
                <c:pt idx="181">
                  <c:v>2.140724778082169</c:v>
                </c:pt>
                <c:pt idx="182">
                  <c:v>2.1369553643835388</c:v>
                </c:pt>
                <c:pt idx="183">
                  <c:v>2.135698893150662</c:v>
                </c:pt>
                <c:pt idx="184">
                  <c:v>2.1344424219177851</c:v>
                </c:pt>
                <c:pt idx="185">
                  <c:v>2.1331859506849082</c:v>
                </c:pt>
                <c:pt idx="186">
                  <c:v>2.1319294794520314</c:v>
                </c:pt>
                <c:pt idx="187">
                  <c:v>2.1281600657534012</c:v>
                </c:pt>
                <c:pt idx="188">
                  <c:v>2.1269035945205244</c:v>
                </c:pt>
                <c:pt idx="189">
                  <c:v>2.1256471232876475</c:v>
                </c:pt>
                <c:pt idx="190">
                  <c:v>2.1243906520547706</c:v>
                </c:pt>
                <c:pt idx="191">
                  <c:v>2.1231341808218938</c:v>
                </c:pt>
                <c:pt idx="192">
                  <c:v>2.1193647671232636</c:v>
                </c:pt>
                <c:pt idx="193">
                  <c:v>2.1181082958903867</c:v>
                </c:pt>
                <c:pt idx="194">
                  <c:v>2.1168518246575099</c:v>
                </c:pt>
                <c:pt idx="195">
                  <c:v>2.115595353424633</c:v>
                </c:pt>
                <c:pt idx="196">
                  <c:v>2.1143388821917561</c:v>
                </c:pt>
                <c:pt idx="197">
                  <c:v>2.110569468493126</c:v>
                </c:pt>
                <c:pt idx="198">
                  <c:v>2.1093129972602491</c:v>
                </c:pt>
                <c:pt idx="199">
                  <c:v>2.1080565260273723</c:v>
                </c:pt>
                <c:pt idx="200">
                  <c:v>2.1068000547944954</c:v>
                </c:pt>
                <c:pt idx="201">
                  <c:v>2.1055435835616185</c:v>
                </c:pt>
                <c:pt idx="202">
                  <c:v>2.1017741698629884</c:v>
                </c:pt>
                <c:pt idx="203">
                  <c:v>2.1005176986301115</c:v>
                </c:pt>
                <c:pt idx="204">
                  <c:v>2.0992612273972346</c:v>
                </c:pt>
                <c:pt idx="205">
                  <c:v>2.0980047561643578</c:v>
                </c:pt>
                <c:pt idx="206">
                  <c:v>2.0967482849314809</c:v>
                </c:pt>
                <c:pt idx="207">
                  <c:v>2.0929788712328508</c:v>
                </c:pt>
                <c:pt idx="208">
                  <c:v>2.0917223999999739</c:v>
                </c:pt>
                <c:pt idx="209">
                  <c:v>2.090465928767097</c:v>
                </c:pt>
                <c:pt idx="210">
                  <c:v>2.0892094575342202</c:v>
                </c:pt>
                <c:pt idx="211">
                  <c:v>2.0879529863013433</c:v>
                </c:pt>
                <c:pt idx="212">
                  <c:v>2.0841835726027131</c:v>
                </c:pt>
                <c:pt idx="213">
                  <c:v>2.0829271013698363</c:v>
                </c:pt>
                <c:pt idx="214">
                  <c:v>2.0816706301369594</c:v>
                </c:pt>
                <c:pt idx="215">
                  <c:v>2.0804141589040825</c:v>
                </c:pt>
                <c:pt idx="216">
                  <c:v>2.0791576876712057</c:v>
                </c:pt>
                <c:pt idx="217">
                  <c:v>2.0753882739725755</c:v>
                </c:pt>
                <c:pt idx="218">
                  <c:v>2.0741318027396987</c:v>
                </c:pt>
                <c:pt idx="219">
                  <c:v>2.0728753315068218</c:v>
                </c:pt>
                <c:pt idx="220">
                  <c:v>2.0716188602739449</c:v>
                </c:pt>
                <c:pt idx="221">
                  <c:v>2.0703623890410681</c:v>
                </c:pt>
                <c:pt idx="222">
                  <c:v>2.0665929753424379</c:v>
                </c:pt>
                <c:pt idx="223">
                  <c:v>2.065336504109561</c:v>
                </c:pt>
                <c:pt idx="224">
                  <c:v>2.0640800328766842</c:v>
                </c:pt>
                <c:pt idx="225">
                  <c:v>2.0628235616438073</c:v>
                </c:pt>
                <c:pt idx="226">
                  <c:v>2.0615670904109304</c:v>
                </c:pt>
                <c:pt idx="227">
                  <c:v>2.0577976767123003</c:v>
                </c:pt>
                <c:pt idx="228">
                  <c:v>2.0565412054794234</c:v>
                </c:pt>
                <c:pt idx="229">
                  <c:v>2.0552847342465466</c:v>
                </c:pt>
                <c:pt idx="230">
                  <c:v>2.0540282630136697</c:v>
                </c:pt>
                <c:pt idx="231">
                  <c:v>2.0527717917807928</c:v>
                </c:pt>
                <c:pt idx="232">
                  <c:v>2.0490023780821627</c:v>
                </c:pt>
                <c:pt idx="233">
                  <c:v>2.0477459068492858</c:v>
                </c:pt>
                <c:pt idx="234">
                  <c:v>2.0464894356164089</c:v>
                </c:pt>
                <c:pt idx="235">
                  <c:v>2.0452329643835321</c:v>
                </c:pt>
                <c:pt idx="236">
                  <c:v>2.0439764931506552</c:v>
                </c:pt>
                <c:pt idx="237">
                  <c:v>2.0402070794520251</c:v>
                </c:pt>
                <c:pt idx="238">
                  <c:v>2.0389506082191482</c:v>
                </c:pt>
                <c:pt idx="239">
                  <c:v>2.0376941369862713</c:v>
                </c:pt>
                <c:pt idx="240">
                  <c:v>2.0364376657533945</c:v>
                </c:pt>
                <c:pt idx="241">
                  <c:v>2.0351811945205176</c:v>
                </c:pt>
                <c:pt idx="242">
                  <c:v>2.0314117808218874</c:v>
                </c:pt>
                <c:pt idx="243">
                  <c:v>2.0301553095890106</c:v>
                </c:pt>
                <c:pt idx="244">
                  <c:v>2.0288988383561337</c:v>
                </c:pt>
                <c:pt idx="245">
                  <c:v>2.0276423671232569</c:v>
                </c:pt>
                <c:pt idx="246">
                  <c:v>2.02638589589038</c:v>
                </c:pt>
                <c:pt idx="247">
                  <c:v>2.0226164821917498</c:v>
                </c:pt>
                <c:pt idx="248">
                  <c:v>2.021360010958873</c:v>
                </c:pt>
                <c:pt idx="249">
                  <c:v>2.0201035397259961</c:v>
                </c:pt>
                <c:pt idx="250">
                  <c:v>2.0188470684931192</c:v>
                </c:pt>
                <c:pt idx="251">
                  <c:v>2.0175905972602424</c:v>
                </c:pt>
                <c:pt idx="252">
                  <c:v>2.0138211835616122</c:v>
                </c:pt>
                <c:pt idx="253">
                  <c:v>2.0125647123287354</c:v>
                </c:pt>
                <c:pt idx="254">
                  <c:v>2.0113082410958585</c:v>
                </c:pt>
                <c:pt idx="255">
                  <c:v>2.0100517698629816</c:v>
                </c:pt>
                <c:pt idx="256">
                  <c:v>2.0087952986301048</c:v>
                </c:pt>
                <c:pt idx="257">
                  <c:v>2.0050258849314746</c:v>
                </c:pt>
                <c:pt idx="258">
                  <c:v>2.0037694136985977</c:v>
                </c:pt>
                <c:pt idx="259">
                  <c:v>2.0025129424657209</c:v>
                </c:pt>
                <c:pt idx="260">
                  <c:v>2.001256471232844</c:v>
                </c:pt>
                <c:pt idx="261">
                  <c:v>1.9999999999999674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D-4771-B050-ACA4FA331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517123"/>
        <c:axId val="215379014"/>
      </c:lineChart>
      <c:dateAx>
        <c:axId val="1822517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215379014"/>
        <c:crosses val="autoZero"/>
        <c:auto val="1"/>
        <c:lblOffset val="100"/>
        <c:baseTimeUnit val="days"/>
      </c:dateAx>
      <c:valAx>
        <c:axId val="215379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8225171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E2C-4C4A-8C1D-0CE401C62FA2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1E2C-4C4A-8C1D-0CE401C62FA2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1E2C-4C4A-8C1D-0CE401C62FA2}"/>
              </c:ext>
            </c:extLst>
          </c:dPt>
          <c:cat>
            <c:numRef>
              <c:f>Bond!$A$16:$A$277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Bond!$C$16:$C$277</c:f>
              <c:numCache>
                <c:formatCode>0.0</c:formatCode>
                <c:ptCount val="26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2C-4C4A-8C1D-0CE401C62FA2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4-1E2C-4C4A-8C1D-0CE401C62FA2}"/>
              </c:ext>
            </c:extLst>
          </c:dPt>
          <c:cat>
            <c:numRef>
              <c:f>Bond!$A$16:$A$277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Bond!$I$16:$I$277</c:f>
              <c:numCache>
                <c:formatCode>0.0</c:formatCode>
                <c:ptCount val="262"/>
                <c:pt idx="0">
                  <c:v>0</c:v>
                </c:pt>
                <c:pt idx="1">
                  <c:v>222.8234978305403</c:v>
                </c:pt>
                <c:pt idx="2">
                  <c:v>360.59390234649516</c:v>
                </c:pt>
                <c:pt idx="3">
                  <c:v>450.70875458737589</c:v>
                </c:pt>
                <c:pt idx="4">
                  <c:v>540.76301524061603</c:v>
                </c:pt>
                <c:pt idx="5">
                  <c:v>630.75666552756559</c:v>
                </c:pt>
                <c:pt idx="6">
                  <c:v>853.23022610019746</c:v>
                </c:pt>
                <c:pt idx="7">
                  <c:v>990.12478782543269</c:v>
                </c:pt>
                <c:pt idx="8">
                  <c:v>1079.8151049847356</c:v>
                </c:pt>
                <c:pt idx="9">
                  <c:v>1169.4446993340762</c:v>
                </c:pt>
                <c:pt idx="10">
                  <c:v>1259.0135521702637</c:v>
                </c:pt>
                <c:pt idx="11">
                  <c:v>1480.6641693657364</c:v>
                </c:pt>
                <c:pt idx="12">
                  <c:v>1616.6811746856151</c:v>
                </c:pt>
                <c:pt idx="13">
                  <c:v>1705.9460397765333</c:v>
                </c:pt>
                <c:pt idx="14">
                  <c:v>1795.1500513586955</c:v>
                </c:pt>
                <c:pt idx="15">
                  <c:v>1884.2931908025228</c:v>
                </c:pt>
                <c:pt idx="16">
                  <c:v>2105.1189121345215</c:v>
                </c:pt>
                <c:pt idx="17">
                  <c:v>2240.2566549974244</c:v>
                </c:pt>
                <c:pt idx="18">
                  <c:v>2329.0951546951464</c:v>
                </c:pt>
                <c:pt idx="19">
                  <c:v>2417.872670707568</c:v>
                </c:pt>
                <c:pt idx="20">
                  <c:v>2506.5891844814214</c:v>
                </c:pt>
                <c:pt idx="21">
                  <c:v>2726.5880645460379</c:v>
                </c:pt>
                <c:pt idx="22">
                  <c:v>2860.8448464920675</c:v>
                </c:pt>
                <c:pt idx="23">
                  <c:v>2949.2560711428723</c:v>
                </c:pt>
                <c:pt idx="24">
                  <c:v>3037.6061824600488</c:v>
                </c:pt>
                <c:pt idx="25">
                  <c:v>3125.8951619639424</c:v>
                </c:pt>
                <c:pt idx="26">
                  <c:v>3345.065262471363</c:v>
                </c:pt>
                <c:pt idx="27">
                  <c:v>3478.4393926628973</c:v>
                </c:pt>
                <c:pt idx="28">
                  <c:v>3566.4224363054705</c:v>
                </c:pt>
                <c:pt idx="29">
                  <c:v>3654.3442374926003</c:v>
                </c:pt>
                <c:pt idx="30">
                  <c:v>3742.2047778210854</c:v>
                </c:pt>
                <c:pt idx="31">
                  <c:v>3960.5441676262881</c:v>
                </c:pt>
                <c:pt idx="32">
                  <c:v>4093.0339628759784</c:v>
                </c:pt>
                <c:pt idx="33">
                  <c:v>4180.5879232505058</c:v>
                </c:pt>
                <c:pt idx="34">
                  <c:v>4268.0805125794031</c:v>
                </c:pt>
                <c:pt idx="35">
                  <c:v>4355.5117125349279</c:v>
                </c:pt>
                <c:pt idx="36">
                  <c:v>4573.0184676699409</c:v>
                </c:pt>
                <c:pt idx="37">
                  <c:v>4704.6222524701252</c:v>
                </c:pt>
                <c:pt idx="38">
                  <c:v>4791.7462310394703</c:v>
                </c:pt>
                <c:pt idx="39">
                  <c:v>4878.8087105040559</c:v>
                </c:pt>
                <c:pt idx="40">
                  <c:v>4965.8096726130225</c:v>
                </c:pt>
                <c:pt idx="41">
                  <c:v>5182.4818763162002</c:v>
                </c:pt>
                <c:pt idx="42">
                  <c:v>5313.1979828696003</c:v>
                </c:pt>
                <c:pt idx="43">
                  <c:v>5399.8910848271153</c:v>
                </c:pt>
                <c:pt idx="44">
                  <c:v>5486.5225601570601</c:v>
                </c:pt>
                <c:pt idx="45">
                  <c:v>5573.0923906846047</c:v>
                </c:pt>
                <c:pt idx="46">
                  <c:v>5788.9281334335919</c:v>
                </c:pt>
                <c:pt idx="47">
                  <c:v>5918.7549016791781</c:v>
                </c:pt>
                <c:pt idx="48">
                  <c:v>6005.0162359713049</c:v>
                </c:pt>
                <c:pt idx="49">
                  <c:v>6091.2158166483723</c:v>
                </c:pt>
                <c:pt idx="50">
                  <c:v>6177.3536256134284</c:v>
                </c:pt>
                <c:pt idx="51">
                  <c:v>6392.3510051537287</c:v>
                </c:pt>
                <c:pt idx="52">
                  <c:v>6521.2867827981217</c:v>
                </c:pt>
                <c:pt idx="53">
                  <c:v>6607.1154621322012</c:v>
                </c:pt>
                <c:pt idx="54">
                  <c:v>6692.8822614046003</c:v>
                </c:pt>
                <c:pt idx="55">
                  <c:v>6778.5871625939672</c:v>
                </c:pt>
                <c:pt idx="56">
                  <c:v>6992.7442839716277</c:v>
                </c:pt>
                <c:pt idx="57">
                  <c:v>7120.7874265161063</c:v>
                </c:pt>
                <c:pt idx="58">
                  <c:v>7206.1825673821268</c:v>
                </c:pt>
                <c:pt idx="59">
                  <c:v>7291.5157022787198</c:v>
                </c:pt>
                <c:pt idx="60">
                  <c:v>7376.7868132631202</c:v>
                </c:pt>
                <c:pt idx="61">
                  <c:v>7590.1017888545739</c:v>
                </c:pt>
                <c:pt idx="62">
                  <c:v>7717.2506596246239</c:v>
                </c:pt>
                <c:pt idx="63">
                  <c:v>7802.2113823024647</c:v>
                </c:pt>
                <c:pt idx="64">
                  <c:v>7887.1099736482638</c:v>
                </c:pt>
                <c:pt idx="65">
                  <c:v>7971.9464157964176</c:v>
                </c:pt>
                <c:pt idx="66">
                  <c:v>8184.4173653384623</c:v>
                </c:pt>
                <c:pt idx="67">
                  <c:v>8310.6703355123482</c:v>
                </c:pt>
                <c:pt idx="68">
                  <c:v>8395.1957640940982</c:v>
                </c:pt>
                <c:pt idx="69">
                  <c:v>8479.6589365247528</c:v>
                </c:pt>
                <c:pt idx="70">
                  <c:v>8564.0598350175733</c:v>
                </c:pt>
                <c:pt idx="71">
                  <c:v>8775.6848856389333</c:v>
                </c:pt>
                <c:pt idx="72">
                  <c:v>8901.0403342749851</c:v>
                </c:pt>
                <c:pt idx="73">
                  <c:v>8985.1295966728867</c:v>
                </c:pt>
                <c:pt idx="74">
                  <c:v>9069.1564786496074</c:v>
                </c:pt>
                <c:pt idx="75">
                  <c:v>9153.1209624964285</c:v>
                </c:pt>
                <c:pt idx="76">
                  <c:v>9363.8982487465855</c:v>
                </c:pt>
                <c:pt idx="77">
                  <c:v>9488.3545628124575</c:v>
                </c:pt>
                <c:pt idx="78">
                  <c:v>9572.0067907792472</c:v>
                </c:pt>
                <c:pt idx="79">
                  <c:v>9655.5965146031613</c:v>
                </c:pt>
                <c:pt idx="80">
                  <c:v>9739.1237166543524</c:v>
                </c:pt>
                <c:pt idx="81">
                  <c:v>9949.0513805356786</c:v>
                </c:pt>
                <c:pt idx="82">
                  <c:v>10072.6069549358</c:v>
                </c:pt>
                <c:pt idx="83">
                  <c:v>10155.821284074349</c:v>
                </c:pt>
                <c:pt idx="84">
                  <c:v>10238.972985900851</c:v>
                </c:pt>
                <c:pt idx="85">
                  <c:v>10322.062042863623</c:v>
                </c:pt>
                <c:pt idx="86">
                  <c:v>10531.138233859787</c:v>
                </c:pt>
                <c:pt idx="87">
                  <c:v>10653.79147146419</c:v>
                </c:pt>
                <c:pt idx="88">
                  <c:v>10736.56704124671</c:v>
                </c:pt>
                <c:pt idx="89">
                  <c:v>10819.27986109996</c:v>
                </c:pt>
                <c:pt idx="90">
                  <c:v>10901.929913552971</c:v>
                </c:pt>
                <c:pt idx="91">
                  <c:v>11110.152788659367</c:v>
                </c:pt>
                <c:pt idx="92">
                  <c:v>11231.902100331123</c:v>
                </c:pt>
                <c:pt idx="93">
                  <c:v>11314.238054108675</c:v>
                </c:pt>
                <c:pt idx="94">
                  <c:v>11396.511135897083</c:v>
                </c:pt>
                <c:pt idx="95">
                  <c:v>11478.721328304109</c:v>
                </c:pt>
                <c:pt idx="96">
                  <c:v>11686.089052058105</c:v>
                </c:pt>
                <c:pt idx="97">
                  <c:v>11806.932856680323</c:v>
                </c:pt>
                <c:pt idx="98">
                  <c:v>11888.828341702434</c:v>
                </c:pt>
                <c:pt idx="99">
                  <c:v>11970.660833231881</c:v>
                </c:pt>
                <c:pt idx="100">
                  <c:v>12052.430313956716</c:v>
                </c:pt>
                <c:pt idx="101">
                  <c:v>12258.941058467381</c:v>
                </c:pt>
                <c:pt idx="102">
                  <c:v>12378.877782972908</c:v>
                </c:pt>
                <c:pt idx="103">
                  <c:v>12460.33195039609</c:v>
                </c:pt>
                <c:pt idx="104">
                  <c:v>12541.723003384563</c:v>
                </c:pt>
                <c:pt idx="105">
                  <c:v>12623.050924705107</c:v>
                </c:pt>
                <c:pt idx="106">
                  <c:v>12828.702869683017</c:v>
                </c:pt>
                <c:pt idx="107">
                  <c:v>12947.730949079738</c:v>
                </c:pt>
                <c:pt idx="108">
                  <c:v>13028.742953988247</c:v>
                </c:pt>
                <c:pt idx="109">
                  <c:v>13109.691724079905</c:v>
                </c:pt>
                <c:pt idx="110">
                  <c:v>13190.57724220321</c:v>
                </c:pt>
                <c:pt idx="111">
                  <c:v>13395.368574988905</c:v>
                </c:pt>
                <c:pt idx="112">
                  <c:v>13513.486452389008</c:v>
                </c:pt>
                <c:pt idx="113">
                  <c:v>13594.055453803077</c:v>
                </c:pt>
                <c:pt idx="114">
                  <c:v>13674.561100583182</c:v>
                </c:pt>
                <c:pt idx="115">
                  <c:v>13755.003375658103</c:v>
                </c:pt>
                <c:pt idx="116">
                  <c:v>13958.932291253055</c:v>
                </c:pt>
                <c:pt idx="117">
                  <c:v>14076.138417899188</c:v>
                </c:pt>
                <c:pt idx="118">
                  <c:v>14156.263578793934</c:v>
                </c:pt>
                <c:pt idx="119">
                  <c:v>14236.325265802619</c:v>
                </c:pt>
                <c:pt idx="120">
                  <c:v>14316.323461935604</c:v>
                </c:pt>
                <c:pt idx="121">
                  <c:v>14544.824683824696</c:v>
                </c:pt>
                <c:pt idx="122">
                  <c:v>14661.48397315611</c:v>
                </c:pt>
                <c:pt idx="123">
                  <c:v>14741.25847239525</c:v>
                </c:pt>
                <c:pt idx="124">
                  <c:v>14820.970233501264</c:v>
                </c:pt>
                <c:pt idx="125">
                  <c:v>14900.619239708474</c:v>
                </c:pt>
                <c:pt idx="126">
                  <c:v>15102.830567056668</c:v>
                </c:pt>
                <c:pt idx="127">
                  <c:v>15218.587380642321</c:v>
                </c:pt>
                <c:pt idx="128">
                  <c:v>15297.922361276269</c:v>
                </c:pt>
                <c:pt idx="129">
                  <c:v>15377.194486660324</c:v>
                </c:pt>
                <c:pt idx="130">
                  <c:v>15456.403740109805</c:v>
                </c:pt>
                <c:pt idx="131">
                  <c:v>15657.758876536815</c:v>
                </c:pt>
                <c:pt idx="132">
                  <c:v>15772.611701263588</c:v>
                </c:pt>
                <c:pt idx="133">
                  <c:v>15851.506345167614</c:v>
                </c:pt>
                <c:pt idx="134">
                  <c:v>15930.338017269432</c:v>
                </c:pt>
                <c:pt idx="135">
                  <c:v>16009.106700964798</c:v>
                </c:pt>
                <c:pt idx="136">
                  <c:v>16209.603889123076</c:v>
                </c:pt>
                <c:pt idx="137">
                  <c:v>16323.551219996654</c:v>
                </c:pt>
                <c:pt idx="138">
                  <c:v>16402.004712998489</c:v>
                </c:pt>
                <c:pt idx="139">
                  <c:v>16480.395118210541</c:v>
                </c:pt>
                <c:pt idx="140">
                  <c:v>16558.722419109708</c:v>
                </c:pt>
                <c:pt idx="141">
                  <c:v>16758.359909345327</c:v>
                </c:pt>
                <c:pt idx="142">
                  <c:v>16871.40024951634</c:v>
                </c:pt>
                <c:pt idx="143">
                  <c:v>16949.41178140599</c:v>
                </c:pt>
                <c:pt idx="144">
                  <c:v>17027.360110086996</c:v>
                </c:pt>
                <c:pt idx="145">
                  <c:v>17105.245219116696</c:v>
                </c:pt>
                <c:pt idx="146">
                  <c:v>17304.021269495759</c:v>
                </c:pt>
                <c:pt idx="147">
                  <c:v>17416.153130286377</c:v>
                </c:pt>
                <c:pt idx="148">
                  <c:v>17493.721894834729</c:v>
                </c:pt>
                <c:pt idx="149">
                  <c:v>17571.227341323589</c:v>
                </c:pt>
                <c:pt idx="150">
                  <c:v>17648.669453392147</c:v>
                </c:pt>
                <c:pt idx="151">
                  <c:v>17846.58232973166</c:v>
                </c:pt>
                <c:pt idx="152">
                  <c:v>17957.804230661575</c:v>
                </c:pt>
                <c:pt idx="153">
                  <c:v>18034.929425628645</c:v>
                </c:pt>
                <c:pt idx="154">
                  <c:v>18111.991188257791</c:v>
                </c:pt>
                <c:pt idx="155">
                  <c:v>18188.989502269484</c:v>
                </c:pt>
                <c:pt idx="156">
                  <c:v>18386.037478164333</c:v>
                </c:pt>
                <c:pt idx="157">
                  <c:v>18496.347946977334</c:v>
                </c:pt>
                <c:pt idx="158">
                  <c:v>18573.028774130609</c:v>
                </c:pt>
                <c:pt idx="159">
                  <c:v>18649.646055239795</c:v>
                </c:pt>
                <c:pt idx="160">
                  <c:v>18726.199774108209</c:v>
                </c:pt>
                <c:pt idx="161">
                  <c:v>18922.381130959719</c:v>
                </c:pt>
                <c:pt idx="162">
                  <c:v>19031.778703649583</c:v>
                </c:pt>
                <c:pt idx="163">
                  <c:v>19108.014368773089</c:v>
                </c:pt>
                <c:pt idx="164">
                  <c:v>19184.186374723024</c:v>
                </c:pt>
                <c:pt idx="165">
                  <c:v>19260.294705383985</c:v>
                </c:pt>
                <c:pt idx="166">
                  <c:v>19455.607732427514</c:v>
                </c:pt>
                <c:pt idx="167">
                  <c:v>19564.090953263978</c:v>
                </c:pt>
                <c:pt idx="168">
                  <c:v>19639.880666177218</c:v>
                </c:pt>
                <c:pt idx="169">
                  <c:v>19715.606607362504</c:v>
                </c:pt>
                <c:pt idx="170">
                  <c:v>19791.268760788862</c:v>
                </c:pt>
                <c:pt idx="171">
                  <c:v>19985.711755122189</c:v>
                </c:pt>
                <c:pt idx="172">
                  <c:v>20093.279176676275</c:v>
                </c:pt>
                <c:pt idx="173">
                  <c:v>20168.622151241441</c:v>
                </c:pt>
                <c:pt idx="174">
                  <c:v>20243.901242105363</c:v>
                </c:pt>
                <c:pt idx="175">
                  <c:v>20319.116433318486</c:v>
                </c:pt>
                <c:pt idx="176">
                  <c:v>20512.687699929844</c:v>
                </c:pt>
                <c:pt idx="177">
                  <c:v>20619.337883100405</c:v>
                </c:pt>
                <c:pt idx="178">
                  <c:v>20694.233337241156</c:v>
                </c:pt>
                <c:pt idx="179">
                  <c:v>20769.064796287166</c:v>
                </c:pt>
                <c:pt idx="180">
                  <c:v>20843.832244372315</c:v>
                </c:pt>
                <c:pt idx="181">
                  <c:v>21036.53009616736</c:v>
                </c:pt>
                <c:pt idx="182">
                  <c:v>21142.261610205976</c:v>
                </c:pt>
                <c:pt idx="183">
                  <c:v>21216.70876591681</c:v>
                </c:pt>
                <c:pt idx="184">
                  <c:v>21291.091815722772</c:v>
                </c:pt>
                <c:pt idx="185">
                  <c:v>21365.41074384101</c:v>
                </c:pt>
                <c:pt idx="186">
                  <c:v>21557.233501671544</c:v>
                </c:pt>
                <c:pt idx="187">
                  <c:v>21662.044924208079</c:v>
                </c:pt>
                <c:pt idx="188">
                  <c:v>21736.043007570683</c:v>
                </c:pt>
                <c:pt idx="189">
                  <c:v>21809.976874802345</c:v>
                </c:pt>
                <c:pt idx="190">
                  <c:v>21883.846510204487</c:v>
                </c:pt>
                <c:pt idx="191">
                  <c:v>22074.792502894605</c:v>
                </c:pt>
                <c:pt idx="192">
                  <c:v>22178.682419962937</c:v>
                </c:pt>
                <c:pt idx="193">
                  <c:v>22252.230661155834</c:v>
                </c:pt>
                <c:pt idx="194">
                  <c:v>22325.714576579634</c:v>
                </c:pt>
                <c:pt idx="195">
                  <c:v>22399.134150618731</c:v>
                </c:pt>
                <c:pt idx="196">
                  <c:v>22589.201714993658</c:v>
                </c:pt>
                <c:pt idx="197">
                  <c:v>22692.16872105571</c:v>
                </c:pt>
                <c:pt idx="198">
                  <c:v>22765.266354372194</c:v>
                </c:pt>
                <c:pt idx="199">
                  <c:v>22838.299552868179</c:v>
                </c:pt>
                <c:pt idx="200">
                  <c:v>22911.268301013326</c:v>
                </c:pt>
                <c:pt idx="201">
                  <c:v>23100.455781925011</c:v>
                </c:pt>
                <c:pt idx="202">
                  <c:v>23202.498479897862</c:v>
                </c:pt>
                <c:pt idx="203">
                  <c:v>23275.144743753066</c:v>
                </c:pt>
                <c:pt idx="204">
                  <c:v>23347.726464328545</c:v>
                </c:pt>
                <c:pt idx="205">
                  <c:v>23420.243626177515</c:v>
                </c:pt>
                <c:pt idx="206">
                  <c:v>23608.549376533607</c:v>
                </c:pt>
                <c:pt idx="207">
                  <c:v>23709.666377811976</c:v>
                </c:pt>
                <c:pt idx="208">
                  <c:v>23781.860514762244</c:v>
                </c:pt>
                <c:pt idx="209">
                  <c:v>23853.990000563859</c:v>
                </c:pt>
                <c:pt idx="210">
                  <c:v>23926.05481985617</c:v>
                </c:pt>
                <c:pt idx="211">
                  <c:v>24113.477200645044</c:v>
                </c:pt>
                <c:pt idx="212">
                  <c:v>24213.667125128708</c:v>
                </c:pt>
                <c:pt idx="213">
                  <c:v>24285.408381878362</c:v>
                </c:pt>
                <c:pt idx="214">
                  <c:v>24357.084880206028</c:v>
                </c:pt>
                <c:pt idx="215">
                  <c:v>24428.69660483575</c:v>
                </c:pt>
                <c:pt idx="216">
                  <c:v>24615.233985155483</c:v>
                </c:pt>
                <c:pt idx="217">
                  <c:v>24714.495461270999</c:v>
                </c:pt>
                <c:pt idx="218">
                  <c:v>24785.783088690998</c:v>
                </c:pt>
                <c:pt idx="219">
                  <c:v>24857.005851010821</c:v>
                </c:pt>
                <c:pt idx="220">
                  <c:v>24928.163733039495</c:v>
                </c:pt>
                <c:pt idx="221">
                  <c:v>25113.814490122604</c:v>
                </c:pt>
                <c:pt idx="222">
                  <c:v>25212.14615485063</c:v>
                </c:pt>
                <c:pt idx="223">
                  <c:v>25282.979407986084</c:v>
                </c:pt>
                <c:pt idx="224">
                  <c:v>25353.747689941454</c:v>
                </c:pt>
                <c:pt idx="225">
                  <c:v>25424.450985611176</c:v>
                </c:pt>
                <c:pt idx="226">
                  <c:v>25609.213504853033</c:v>
                </c:pt>
                <c:pt idx="227">
                  <c:v>25706.61400375118</c:v>
                </c:pt>
                <c:pt idx="228">
                  <c:v>25776.992141838695</c:v>
                </c:pt>
                <c:pt idx="229">
                  <c:v>25847.305203265198</c:v>
                </c:pt>
                <c:pt idx="230">
                  <c:v>25917.553173010965</c:v>
                </c:pt>
                <c:pt idx="231">
                  <c:v>26101.425847995379</c:v>
                </c:pt>
                <c:pt idx="232">
                  <c:v>26197.893835222803</c:v>
                </c:pt>
                <c:pt idx="233">
                  <c:v>26267.816121699274</c:v>
                </c:pt>
                <c:pt idx="234">
                  <c:v>26337.673226635798</c:v>
                </c:pt>
                <c:pt idx="235">
                  <c:v>26407.46513509818</c:v>
                </c:pt>
                <c:pt idx="236">
                  <c:v>26590.446367623685</c:v>
                </c:pt>
                <c:pt idx="237">
                  <c:v>26685.980505965377</c:v>
                </c:pt>
                <c:pt idx="238">
                  <c:v>26755.446208484365</c:v>
                </c:pt>
                <c:pt idx="239">
                  <c:v>26824.846625186707</c:v>
                </c:pt>
                <c:pt idx="240">
                  <c:v>26894.181741224616</c:v>
                </c:pt>
                <c:pt idx="241">
                  <c:v>27076.269941331622</c:v>
                </c:pt>
                <c:pt idx="242">
                  <c:v>27170.868902222461</c:v>
                </c:pt>
                <c:pt idx="243">
                  <c:v>27239.877292662968</c:v>
                </c:pt>
                <c:pt idx="244">
                  <c:v>27308.820293615376</c:v>
                </c:pt>
                <c:pt idx="245">
                  <c:v>27377.697890318865</c:v>
                </c:pt>
                <c:pt idx="246">
                  <c:v>27558.891476314649</c:v>
                </c:pt>
                <c:pt idx="247">
                  <c:v>27652.553939863377</c:v>
                </c:pt>
                <c:pt idx="248">
                  <c:v>27721.104294345212</c:v>
                </c:pt>
                <c:pt idx="249">
                  <c:v>27789.58915627444</c:v>
                </c:pt>
                <c:pt idx="250">
                  <c:v>27858.008510976782</c:v>
                </c:pt>
                <c:pt idx="251">
                  <c:v>28060.83774665176</c:v>
                </c:pt>
                <c:pt idx="252">
                  <c:v>28152.323130270415</c:v>
                </c:pt>
                <c:pt idx="253">
                  <c:v>28219.036694300405</c:v>
                </c:pt>
                <c:pt idx="254">
                  <c:v>28285.685506138449</c:v>
                </c:pt>
                <c:pt idx="255">
                  <c:v>28352.269551334804</c:v>
                </c:pt>
                <c:pt idx="256">
                  <c:v>28527.399414162046</c:v>
                </c:pt>
                <c:pt idx="257">
                  <c:v>28617.957777155389</c:v>
                </c:pt>
                <c:pt idx="258">
                  <c:v>28684.217772839333</c:v>
                </c:pt>
                <c:pt idx="259">
                  <c:v>28750.412915445915</c:v>
                </c:pt>
                <c:pt idx="260">
                  <c:v>28816.543190612083</c:v>
                </c:pt>
                <c:pt idx="261">
                  <c:v>28990.785270358356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2C-4C4A-8C1D-0CE401C62FA2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Bond!$A$16:$A$277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Bond!$H$16:$H$277</c:f>
              <c:numCache>
                <c:formatCode>_(* #,##0.000_);_(* \(#,##0.000\);_(* "-"??_);_(@_)</c:formatCode>
                <c:ptCount val="262"/>
                <c:pt idx="0" formatCode="0.0000">
                  <c:v>0</c:v>
                </c:pt>
                <c:pt idx="1">
                  <c:v>19.019150004453422</c:v>
                </c:pt>
                <c:pt idx="2">
                  <c:v>88.85477191171276</c:v>
                </c:pt>
                <c:pt idx="3">
                  <c:v>111.03484154389774</c:v>
                </c:pt>
                <c:pt idx="4">
                  <c:v>133.15431958844215</c:v>
                </c:pt>
                <c:pt idx="5">
                  <c:v>155.2131872666962</c:v>
                </c:pt>
                <c:pt idx="6">
                  <c:v>173.88240001324107</c:v>
                </c:pt>
                <c:pt idx="7">
                  <c:v>242.84217912978079</c:v>
                </c:pt>
                <c:pt idx="8">
                  <c:v>264.59771368038787</c:v>
                </c:pt>
                <c:pt idx="9">
                  <c:v>286.29252542103245</c:v>
                </c:pt>
                <c:pt idx="10">
                  <c:v>307.92659564852443</c:v>
                </c:pt>
                <c:pt idx="11">
                  <c:v>325.77286501791036</c:v>
                </c:pt>
                <c:pt idx="12">
                  <c:v>393.85508772909367</c:v>
                </c:pt>
                <c:pt idx="13">
                  <c:v>415.18517021131629</c:v>
                </c:pt>
                <c:pt idx="14">
                  <c:v>436.45439918478246</c:v>
                </c:pt>
                <c:pt idx="15">
                  <c:v>457.66275601991424</c:v>
                </c:pt>
                <c:pt idx="16">
                  <c:v>474.68412952582645</c:v>
                </c:pt>
                <c:pt idx="17">
                  <c:v>541.88708978003319</c:v>
                </c:pt>
                <c:pt idx="18">
                  <c:v>562.79080686906013</c:v>
                </c:pt>
                <c:pt idx="19">
                  <c:v>583.63354027278547</c:v>
                </c:pt>
                <c:pt idx="20">
                  <c:v>604.4152714379436</c:v>
                </c:pt>
                <c:pt idx="21">
                  <c:v>620.60980367647289</c:v>
                </c:pt>
                <c:pt idx="22">
                  <c:v>686.93180301380607</c:v>
                </c:pt>
                <c:pt idx="23">
                  <c:v>707.40824505591604</c:v>
                </c:pt>
                <c:pt idx="24">
                  <c:v>727.82357376439677</c:v>
                </c:pt>
                <c:pt idx="25">
                  <c:v>748.17777065959501</c:v>
                </c:pt>
                <c:pt idx="26">
                  <c:v>763.54352334092823</c:v>
                </c:pt>
                <c:pt idx="27">
                  <c:v>828.98287092376677</c:v>
                </c:pt>
                <c:pt idx="28">
                  <c:v>849.03113195764479</c:v>
                </c:pt>
                <c:pt idx="29">
                  <c:v>869.01815053607834</c:v>
                </c:pt>
                <c:pt idx="30">
                  <c:v>888.94390825586811</c:v>
                </c:pt>
                <c:pt idx="31">
                  <c:v>903.47895023498381</c:v>
                </c:pt>
                <c:pt idx="32">
                  <c:v>968.0339628759782</c:v>
                </c:pt>
                <c:pt idx="33">
                  <c:v>987.65314064181109</c:v>
                </c:pt>
                <c:pt idx="34">
                  <c:v>1007.2109473620117</c:v>
                </c:pt>
                <c:pt idx="35">
                  <c:v>1026.7073647088409</c:v>
                </c:pt>
                <c:pt idx="36">
                  <c:v>1040.4097720177674</c:v>
                </c:pt>
                <c:pt idx="37">
                  <c:v>1104.0787742092562</c:v>
                </c:pt>
                <c:pt idx="38">
                  <c:v>1123.2679701699055</c:v>
                </c:pt>
                <c:pt idx="39">
                  <c:v>1142.3956670257951</c:v>
                </c:pt>
                <c:pt idx="40">
                  <c:v>1161.4618465260662</c:v>
                </c:pt>
                <c:pt idx="41">
                  <c:v>1174.3297024031563</c:v>
                </c:pt>
                <c:pt idx="42">
                  <c:v>1237.1110263478613</c:v>
                </c:pt>
                <c:pt idx="43">
                  <c:v>1255.8693456966807</c:v>
                </c:pt>
                <c:pt idx="44">
                  <c:v>1274.5660384179303</c:v>
                </c:pt>
                <c:pt idx="45">
                  <c:v>1293.2010863367793</c:v>
                </c:pt>
                <c:pt idx="46">
                  <c:v>1305.2324812596794</c:v>
                </c:pt>
                <c:pt idx="47">
                  <c:v>1367.1244668965699</c:v>
                </c:pt>
                <c:pt idx="48">
                  <c:v>1385.4510185799995</c:v>
                </c:pt>
                <c:pt idx="49">
                  <c:v>1403.7158166483721</c:v>
                </c:pt>
                <c:pt idx="50">
                  <c:v>1421.9188430047327</c:v>
                </c:pt>
                <c:pt idx="51">
                  <c:v>1433.1118747189464</c:v>
                </c:pt>
                <c:pt idx="52">
                  <c:v>1494.1128697546446</c:v>
                </c:pt>
                <c:pt idx="53">
                  <c:v>1512.0067664800272</c:v>
                </c:pt>
                <c:pt idx="54">
                  <c:v>1529.8387831437312</c:v>
                </c:pt>
                <c:pt idx="55">
                  <c:v>1547.6089017244021</c:v>
                </c:pt>
                <c:pt idx="56">
                  <c:v>1557.9616752759764</c:v>
                </c:pt>
                <c:pt idx="57">
                  <c:v>1618.0700352117583</c:v>
                </c:pt>
                <c:pt idx="58">
                  <c:v>1635.5303934690826</c:v>
                </c:pt>
                <c:pt idx="59">
                  <c:v>1652.9287457569808</c:v>
                </c:pt>
                <c:pt idx="60">
                  <c:v>1670.2650741326863</c:v>
                </c:pt>
                <c:pt idx="61">
                  <c:v>1679.7757018980517</c:v>
                </c:pt>
                <c:pt idx="62">
                  <c:v>1738.9897900594065</c:v>
                </c:pt>
                <c:pt idx="63">
                  <c:v>1756.0157301285528</c:v>
                </c:pt>
                <c:pt idx="64">
                  <c:v>1772.9795388656555</c:v>
                </c:pt>
                <c:pt idx="65">
                  <c:v>1789.8811984051122</c:v>
                </c:pt>
                <c:pt idx="66">
                  <c:v>1798.5478001210708</c:v>
                </c:pt>
                <c:pt idx="67">
                  <c:v>1856.8659876862625</c:v>
                </c:pt>
                <c:pt idx="68">
                  <c:v>1873.4566336593159</c:v>
                </c:pt>
                <c:pt idx="69">
                  <c:v>1889.9850234812732</c:v>
                </c:pt>
                <c:pt idx="70">
                  <c:v>1906.4511393654016</c:v>
                </c:pt>
                <c:pt idx="71">
                  <c:v>1914.271842160673</c:v>
                </c:pt>
                <c:pt idx="72">
                  <c:v>1971.6925081880277</c:v>
                </c:pt>
                <c:pt idx="73">
                  <c:v>1987.8469879772354</c:v>
                </c:pt>
                <c:pt idx="74">
                  <c:v>2003.9390873452589</c:v>
                </c:pt>
                <c:pt idx="75">
                  <c:v>2019.9687885833839</c:v>
                </c:pt>
                <c:pt idx="76">
                  <c:v>2026.9417270074541</c:v>
                </c:pt>
                <c:pt idx="77">
                  <c:v>2083.4632584646329</c:v>
                </c:pt>
                <c:pt idx="78">
                  <c:v>2099.1807038227253</c:v>
                </c:pt>
                <c:pt idx="79">
                  <c:v>2114.8356450379424</c:v>
                </c:pt>
                <c:pt idx="80">
                  <c:v>2130.4280644804408</c:v>
                </c:pt>
                <c:pt idx="81">
                  <c:v>2136.5513805356786</c:v>
                </c:pt>
                <c:pt idx="82">
                  <c:v>2192.1721723271048</c:v>
                </c:pt>
                <c:pt idx="83">
                  <c:v>2207.4517188569585</c:v>
                </c:pt>
                <c:pt idx="84">
                  <c:v>2222.6686380747651</c:v>
                </c:pt>
                <c:pt idx="85">
                  <c:v>2237.8229124288396</c:v>
                </c:pt>
                <c:pt idx="86">
                  <c:v>2243.0947555989178</c:v>
                </c:pt>
                <c:pt idx="87">
                  <c:v>2297.8132105946261</c:v>
                </c:pt>
                <c:pt idx="88">
                  <c:v>2312.6539977684502</c:v>
                </c:pt>
                <c:pt idx="89">
                  <c:v>2327.4320350130038</c:v>
                </c:pt>
                <c:pt idx="90">
                  <c:v>2342.1473048573207</c:v>
                </c:pt>
                <c:pt idx="91">
                  <c:v>2346.5658321376281</c:v>
                </c:pt>
                <c:pt idx="92">
                  <c:v>2400.3803612006891</c:v>
                </c:pt>
                <c:pt idx="93">
                  <c:v>2414.7815323695454</c:v>
                </c:pt>
                <c:pt idx="94">
                  <c:v>2429.1198315492579</c:v>
                </c:pt>
                <c:pt idx="95">
                  <c:v>2443.3952413475881</c:v>
                </c:pt>
                <c:pt idx="96">
                  <c:v>2446.9586172754989</c:v>
                </c:pt>
                <c:pt idx="97">
                  <c:v>2499.867639289022</c:v>
                </c:pt>
                <c:pt idx="98">
                  <c:v>2513.8283417024354</c:v>
                </c:pt>
                <c:pt idx="99">
                  <c:v>2527.7260506231869</c:v>
                </c:pt>
                <c:pt idx="100">
                  <c:v>2541.5607487393286</c:v>
                </c:pt>
                <c:pt idx="101">
                  <c:v>2544.2671454239021</c:v>
                </c:pt>
                <c:pt idx="102">
                  <c:v>2596.2690873207348</c:v>
                </c:pt>
                <c:pt idx="103">
                  <c:v>2609.7884721352216</c:v>
                </c:pt>
                <c:pt idx="104">
                  <c:v>2623.2447425149985</c:v>
                </c:pt>
                <c:pt idx="105">
                  <c:v>2636.6378812268463</c:v>
                </c:pt>
                <c:pt idx="106">
                  <c:v>2638.4854783786695</c:v>
                </c:pt>
                <c:pt idx="107">
                  <c:v>2689.5787751666944</c:v>
                </c:pt>
                <c:pt idx="108">
                  <c:v>2702.6559974665079</c:v>
                </c:pt>
                <c:pt idx="109">
                  <c:v>2715.6699849494717</c:v>
                </c:pt>
                <c:pt idx="110">
                  <c:v>2728.6207204640791</c:v>
                </c:pt>
                <c:pt idx="111">
                  <c:v>2729.6077054236889</c:v>
                </c:pt>
                <c:pt idx="112">
                  <c:v>2779.7908002150962</c:v>
                </c:pt>
                <c:pt idx="113">
                  <c:v>2792.4250190204702</c:v>
                </c:pt>
                <c:pt idx="114">
                  <c:v>2804.9958831918789</c:v>
                </c:pt>
                <c:pt idx="115">
                  <c:v>2817.5033756581061</c:v>
                </c:pt>
                <c:pt idx="116">
                  <c:v>2817.62794342697</c:v>
                </c:pt>
                <c:pt idx="117">
                  <c:v>2866.8992874644064</c:v>
                </c:pt>
                <c:pt idx="118">
                  <c:v>2879.0896657504559</c:v>
                </c:pt>
                <c:pt idx="119">
                  <c:v>2891.2165701504478</c:v>
                </c:pt>
                <c:pt idx="120">
                  <c:v>2903.2799836747358</c:v>
                </c:pt>
                <c:pt idx="121">
                  <c:v>2926.4837855924952</c:v>
                </c:pt>
                <c:pt idx="122">
                  <c:v>2974.4617562425901</c:v>
                </c:pt>
                <c:pt idx="123">
                  <c:v>2985.5549368004117</c:v>
                </c:pt>
                <c:pt idx="124">
                  <c:v>2996.5853792251091</c:v>
                </c:pt>
                <c:pt idx="125">
                  <c:v>3007.5530667510006</c:v>
                </c:pt>
                <c:pt idx="126">
                  <c:v>3003.7204380552394</c:v>
                </c:pt>
                <c:pt idx="127">
                  <c:v>3050.7959329595737</c:v>
                </c:pt>
                <c:pt idx="128">
                  <c:v>3061.4495949122042</c:v>
                </c:pt>
                <c:pt idx="129">
                  <c:v>3072.0404016149419</c:v>
                </c:pt>
                <c:pt idx="130">
                  <c:v>3082.5683363831049</c:v>
                </c:pt>
                <c:pt idx="131">
                  <c:v>3077.8795167661597</c:v>
                </c:pt>
                <c:pt idx="132">
                  <c:v>3124.0510228116136</c:v>
                </c:pt>
                <c:pt idx="133">
                  <c:v>3134.2643480343213</c:v>
                </c:pt>
                <c:pt idx="134">
                  <c:v>3144.4147014548203</c:v>
                </c:pt>
                <c:pt idx="135">
                  <c:v>3154.502066468865</c:v>
                </c:pt>
                <c:pt idx="136">
                  <c:v>3148.9552985831892</c:v>
                </c:pt>
                <c:pt idx="137">
                  <c:v>3194.2213107754469</c:v>
                </c:pt>
                <c:pt idx="138">
                  <c:v>3203.9934850959635</c:v>
                </c:pt>
                <c:pt idx="139">
                  <c:v>3213.7025716266971</c:v>
                </c:pt>
                <c:pt idx="140">
                  <c:v>3223.3485538445448</c:v>
                </c:pt>
                <c:pt idx="141">
                  <c:v>3216.9420880362054</c:v>
                </c:pt>
                <c:pt idx="142">
                  <c:v>3261.3011095259026</c:v>
                </c:pt>
                <c:pt idx="143">
                  <c:v>3270.6313227342321</c:v>
                </c:pt>
                <c:pt idx="144">
                  <c:v>3279.8983327339215</c:v>
                </c:pt>
                <c:pt idx="145">
                  <c:v>3289.1021230823017</c:v>
                </c:pt>
                <c:pt idx="146">
                  <c:v>3281.8342174174118</c:v>
                </c:pt>
                <c:pt idx="147">
                  <c:v>3325.2847595267099</c:v>
                </c:pt>
                <c:pt idx="148">
                  <c:v>3334.1722053937415</c:v>
                </c:pt>
                <c:pt idx="149">
                  <c:v>3342.9963332012849</c:v>
                </c:pt>
                <c:pt idx="150">
                  <c:v>3351.757126588524</c:v>
                </c:pt>
                <c:pt idx="151">
                  <c:v>3343.6260468840828</c:v>
                </c:pt>
                <c:pt idx="152">
                  <c:v>3386.1666291326746</c:v>
                </c:pt>
                <c:pt idx="153">
                  <c:v>3394.6105054184272</c:v>
                </c:pt>
                <c:pt idx="154">
                  <c:v>3402.9909493662558</c:v>
                </c:pt>
                <c:pt idx="155">
                  <c:v>3411.3079446966312</c:v>
                </c:pt>
                <c:pt idx="156">
                  <c:v>3402.3119645475217</c:v>
                </c:pt>
                <c:pt idx="157">
                  <c:v>3443.9411146792054</c:v>
                </c:pt>
                <c:pt idx="158">
                  <c:v>3451.9406231511593</c:v>
                </c:pt>
                <c:pt idx="159">
                  <c:v>3459.8765855790248</c:v>
                </c:pt>
                <c:pt idx="160">
                  <c:v>3467.7489857661212</c:v>
                </c:pt>
                <c:pt idx="161">
                  <c:v>3457.8863865736762</c:v>
                </c:pt>
                <c:pt idx="162">
                  <c:v>3498.6026405822199</c:v>
                </c:pt>
                <c:pt idx="163">
                  <c:v>3506.1569870244111</c:v>
                </c:pt>
                <c:pt idx="164">
                  <c:v>3513.6476742930258</c:v>
                </c:pt>
                <c:pt idx="165">
                  <c:v>3521.0746862726692</c:v>
                </c:pt>
                <c:pt idx="166">
                  <c:v>3510.3437572722387</c:v>
                </c:pt>
                <c:pt idx="167">
                  <c:v>3550.1456594273859</c:v>
                </c:pt>
                <c:pt idx="168">
                  <c:v>3557.2540536593069</c:v>
                </c:pt>
                <c:pt idx="169">
                  <c:v>3564.2986761632756</c:v>
                </c:pt>
                <c:pt idx="170">
                  <c:v>3571.2795109083117</c:v>
                </c:pt>
                <c:pt idx="171">
                  <c:v>3559.6785491976848</c:v>
                </c:pt>
                <c:pt idx="172">
                  <c:v>3598.5646520704508</c:v>
                </c:pt>
                <c:pt idx="173">
                  <c:v>3605.2263079542968</c:v>
                </c:pt>
                <c:pt idx="174">
                  <c:v>3611.8240801368984</c:v>
                </c:pt>
                <c:pt idx="175">
                  <c:v>3618.3579526687031</c:v>
                </c:pt>
                <c:pt idx="176">
                  <c:v>3605.885263236104</c:v>
                </c:pt>
                <c:pt idx="177">
                  <c:v>3643.8541277253476</c:v>
                </c:pt>
                <c:pt idx="178">
                  <c:v>3650.0682631847781</c:v>
                </c:pt>
                <c:pt idx="179">
                  <c:v>3656.2184035494738</c:v>
                </c:pt>
                <c:pt idx="180">
                  <c:v>3662.3045329532997</c:v>
                </c:pt>
                <c:pt idx="181">
                  <c:v>3648.9584287043899</c:v>
                </c:pt>
                <c:pt idx="182">
                  <c:v>3686.0086240616856</c:v>
                </c:pt>
                <c:pt idx="183">
                  <c:v>3691.7744610911996</c:v>
                </c:pt>
                <c:pt idx="184">
                  <c:v>3697.476192215845</c:v>
                </c:pt>
                <c:pt idx="185">
                  <c:v>3703.1138016527625</c:v>
                </c:pt>
                <c:pt idx="186">
                  <c:v>3688.8926034393426</c:v>
                </c:pt>
                <c:pt idx="187">
                  <c:v>3725.0227072945563</c:v>
                </c:pt>
                <c:pt idx="188">
                  <c:v>3730.3394719758385</c:v>
                </c:pt>
                <c:pt idx="189">
                  <c:v>3735.5920205261837</c:v>
                </c:pt>
                <c:pt idx="190">
                  <c:v>3740.7803372470025</c:v>
                </c:pt>
                <c:pt idx="191">
                  <c:v>3725.6823738931644</c:v>
                </c:pt>
                <c:pt idx="192">
                  <c:v>3760.89097228018</c:v>
                </c:pt>
                <c:pt idx="193">
                  <c:v>3765.7578947917618</c:v>
                </c:pt>
                <c:pt idx="194">
                  <c:v>3770.5604915342406</c:v>
                </c:pt>
                <c:pt idx="195">
                  <c:v>3775.2987468920196</c:v>
                </c:pt>
                <c:pt idx="196">
                  <c:v>3759.3223552229915</c:v>
                </c:pt>
                <c:pt idx="197">
                  <c:v>3793.6080426037224</c:v>
                </c:pt>
                <c:pt idx="198">
                  <c:v>3798.0243572388877</c:v>
                </c:pt>
                <c:pt idx="199">
                  <c:v>3802.376237053551</c:v>
                </c:pt>
                <c:pt idx="200">
                  <c:v>3806.6636665173801</c:v>
                </c:pt>
                <c:pt idx="201">
                  <c:v>3789.8071913851081</c:v>
                </c:pt>
                <c:pt idx="202">
                  <c:v>3823.1685706766425</c:v>
                </c:pt>
                <c:pt idx="203">
                  <c:v>3827.1335158505335</c:v>
                </c:pt>
                <c:pt idx="204">
                  <c:v>3831.0339177446904</c:v>
                </c:pt>
                <c:pt idx="205">
                  <c:v>3834.8697609123406</c:v>
                </c:pt>
                <c:pt idx="206">
                  <c:v>3817.1315552244778</c:v>
                </c:pt>
                <c:pt idx="207">
                  <c:v>3849.5672378215318</c:v>
                </c:pt>
                <c:pt idx="208">
                  <c:v>3853.0800560904768</c:v>
                </c:pt>
                <c:pt idx="209">
                  <c:v>3856.5282232107734</c:v>
                </c:pt>
                <c:pt idx="210">
                  <c:v>3859.9117238217673</c:v>
                </c:pt>
                <c:pt idx="211">
                  <c:v>3841.2901485666848</c:v>
                </c:pt>
                <c:pt idx="212">
                  <c:v>3872.7987543690292</c:v>
                </c:pt>
                <c:pt idx="213">
                  <c:v>3875.8586924373612</c:v>
                </c:pt>
                <c:pt idx="214">
                  <c:v>3878.8538720837096</c:v>
                </c:pt>
                <c:pt idx="215">
                  <c:v>3881.7842780321143</c:v>
                </c:pt>
                <c:pt idx="216">
                  <c:v>3862.2777023078925</c:v>
                </c:pt>
                <c:pt idx="217">
                  <c:v>3892.8578597420938</c:v>
                </c:pt>
                <c:pt idx="218">
                  <c:v>3895.4641684807707</c:v>
                </c:pt>
                <c:pt idx="219">
                  <c:v>3898.0056121192774</c:v>
                </c:pt>
                <c:pt idx="220">
                  <c:v>3900.4821754666355</c:v>
                </c:pt>
                <c:pt idx="221">
                  <c:v>3880.0889765057887</c:v>
                </c:pt>
                <c:pt idx="222">
                  <c:v>3909.739322552497</c:v>
                </c:pt>
                <c:pt idx="223">
                  <c:v>3911.89125700663</c:v>
                </c:pt>
                <c:pt idx="224">
                  <c:v>3913.9782202806832</c:v>
                </c:pt>
                <c:pt idx="225">
                  <c:v>3916.0001972690848</c:v>
                </c:pt>
                <c:pt idx="226">
                  <c:v>3894.7187604669866</c:v>
                </c:pt>
                <c:pt idx="227">
                  <c:v>3923.4379406838111</c:v>
                </c:pt>
                <c:pt idx="228">
                  <c:v>3925.1347600900031</c:v>
                </c:pt>
                <c:pt idx="229">
                  <c:v>3926.766502835193</c:v>
                </c:pt>
                <c:pt idx="230">
                  <c:v>3928.333153899644</c:v>
                </c:pt>
                <c:pt idx="231">
                  <c:v>3906.1618728401018</c:v>
                </c:pt>
                <c:pt idx="232">
                  <c:v>3933.9485413862008</c:v>
                </c:pt>
                <c:pt idx="233">
                  <c:v>3935.1895091813558</c:v>
                </c:pt>
                <c:pt idx="234">
                  <c:v>3936.3652954365593</c:v>
                </c:pt>
                <c:pt idx="235">
                  <c:v>3937.4758852176228</c:v>
                </c:pt>
                <c:pt idx="236">
                  <c:v>3914.4131616991731</c:v>
                </c:pt>
                <c:pt idx="237">
                  <c:v>3941.2659813595501</c:v>
                </c:pt>
                <c:pt idx="238">
                  <c:v>3942.0503651972185</c:v>
                </c:pt>
                <c:pt idx="239">
                  <c:v>3942.7694632182411</c:v>
                </c:pt>
                <c:pt idx="240">
                  <c:v>3943.4232605748321</c:v>
                </c:pt>
                <c:pt idx="241">
                  <c:v>3919.4675046378793</c:v>
                </c:pt>
                <c:pt idx="242">
                  <c:v>3945.3851468473999</c:v>
                </c:pt>
                <c:pt idx="243">
                  <c:v>3945.7122186065872</c:v>
                </c:pt>
                <c:pt idx="244">
                  <c:v>3945.9739008776751</c:v>
                </c:pt>
                <c:pt idx="245">
                  <c:v>3946.1701788998485</c:v>
                </c:pt>
                <c:pt idx="246">
                  <c:v>3921.3198088516779</c:v>
                </c:pt>
                <c:pt idx="247">
                  <c:v>3946.3009537190887</c:v>
                </c:pt>
                <c:pt idx="248">
                  <c:v>3946.1699895196034</c:v>
                </c:pt>
                <c:pt idx="249">
                  <c:v>3945.9735327675107</c:v>
                </c:pt>
                <c:pt idx="250">
                  <c:v>3945.7115687885394</c:v>
                </c:pt>
                <c:pt idx="251">
                  <c:v>3943.989920564803</c:v>
                </c:pt>
                <c:pt idx="252">
                  <c:v>3967.5405215747619</c:v>
                </c:pt>
                <c:pt idx="253">
                  <c:v>3966.3193029960553</c:v>
                </c:pt>
                <c:pt idx="254">
                  <c:v>3965.0333322254028</c:v>
                </c:pt>
                <c:pt idx="255">
                  <c:v>3963.682594813065</c:v>
                </c:pt>
                <c:pt idx="256">
                  <c:v>3935.0081098142196</c:v>
                </c:pt>
                <c:pt idx="257">
                  <c:v>3957.6316901988666</c:v>
                </c:pt>
                <c:pt idx="258">
                  <c:v>3955.9569032741142</c:v>
                </c:pt>
                <c:pt idx="259">
                  <c:v>3954.2172632719994</c:v>
                </c:pt>
                <c:pt idx="260">
                  <c:v>3952.4127558294708</c:v>
                </c:pt>
                <c:pt idx="261">
                  <c:v>3922.8504877496562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2C-4C4A-8C1D-0CE401C62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300981"/>
        <c:axId val="1433109592"/>
      </c:lineChart>
      <c:dateAx>
        <c:axId val="1655300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433109592"/>
        <c:crosses val="autoZero"/>
        <c:auto val="1"/>
        <c:lblOffset val="100"/>
        <c:baseTimeUnit val="days"/>
      </c:dateAx>
      <c:valAx>
        <c:axId val="1433109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65530098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E0F-4990-AFA6-B733FC03C6DF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2E0F-4990-AFA6-B733FC03C6DF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2E0F-4990-AFA6-B733FC03C6DF}"/>
              </c:ext>
            </c:extLst>
          </c:dPt>
          <c:cat>
            <c:numRef>
              <c:f>Bond!$A$16:$A$527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Bond!$E$16:$E$527</c:f>
              <c:numCache>
                <c:formatCode>0.00</c:formatCode>
                <c:ptCount val="512"/>
                <c:pt idx="0">
                  <c:v>2.458612</c:v>
                </c:pt>
                <c:pt idx="1">
                  <c:v>2.4573555287671232</c:v>
                </c:pt>
                <c:pt idx="2">
                  <c:v>2.453586115068493</c:v>
                </c:pt>
                <c:pt idx="3">
                  <c:v>2.4523296438356161</c:v>
                </c:pt>
                <c:pt idx="4">
                  <c:v>2.4510731726027393</c:v>
                </c:pt>
                <c:pt idx="5">
                  <c:v>2.4498167013698624</c:v>
                </c:pt>
                <c:pt idx="6">
                  <c:v>2.4485602301369855</c:v>
                </c:pt>
                <c:pt idx="7">
                  <c:v>2.4447908164383554</c:v>
                </c:pt>
                <c:pt idx="8">
                  <c:v>2.4435343452054785</c:v>
                </c:pt>
                <c:pt idx="9">
                  <c:v>2.4422778739726017</c:v>
                </c:pt>
                <c:pt idx="10">
                  <c:v>2.4410214027397248</c:v>
                </c:pt>
                <c:pt idx="11">
                  <c:v>2.4397649315068479</c:v>
                </c:pt>
                <c:pt idx="12">
                  <c:v>2.4359955178082178</c:v>
                </c:pt>
                <c:pt idx="13">
                  <c:v>2.4347390465753409</c:v>
                </c:pt>
                <c:pt idx="14">
                  <c:v>2.433482575342464</c:v>
                </c:pt>
                <c:pt idx="15">
                  <c:v>2.4322261041095872</c:v>
                </c:pt>
                <c:pt idx="16">
                  <c:v>2.4309696328767103</c:v>
                </c:pt>
                <c:pt idx="17">
                  <c:v>2.4272002191780802</c:v>
                </c:pt>
                <c:pt idx="18">
                  <c:v>2.4259437479452033</c:v>
                </c:pt>
                <c:pt idx="19">
                  <c:v>2.4246872767123264</c:v>
                </c:pt>
                <c:pt idx="20">
                  <c:v>2.4234308054794496</c:v>
                </c:pt>
                <c:pt idx="21">
                  <c:v>2.4221743342465727</c:v>
                </c:pt>
                <c:pt idx="22">
                  <c:v>2.4184049205479425</c:v>
                </c:pt>
                <c:pt idx="23">
                  <c:v>2.4171484493150657</c:v>
                </c:pt>
                <c:pt idx="24">
                  <c:v>2.4158919780821888</c:v>
                </c:pt>
                <c:pt idx="25">
                  <c:v>2.4146355068493119</c:v>
                </c:pt>
                <c:pt idx="26">
                  <c:v>2.4133790356164351</c:v>
                </c:pt>
                <c:pt idx="27">
                  <c:v>2.4096096219178049</c:v>
                </c:pt>
                <c:pt idx="28">
                  <c:v>2.4083531506849281</c:v>
                </c:pt>
                <c:pt idx="29">
                  <c:v>2.4070966794520512</c:v>
                </c:pt>
                <c:pt idx="30">
                  <c:v>2.4058402082191743</c:v>
                </c:pt>
                <c:pt idx="31">
                  <c:v>2.4045837369862975</c:v>
                </c:pt>
                <c:pt idx="32">
                  <c:v>2.4008143232876673</c:v>
                </c:pt>
                <c:pt idx="33">
                  <c:v>2.3995578520547904</c:v>
                </c:pt>
                <c:pt idx="34">
                  <c:v>2.3983013808219136</c:v>
                </c:pt>
                <c:pt idx="35">
                  <c:v>2.3970449095890367</c:v>
                </c:pt>
                <c:pt idx="36">
                  <c:v>2.3957884383561598</c:v>
                </c:pt>
                <c:pt idx="37">
                  <c:v>2.3920190246575297</c:v>
                </c:pt>
                <c:pt idx="38">
                  <c:v>2.3907625534246528</c:v>
                </c:pt>
                <c:pt idx="39">
                  <c:v>2.389506082191776</c:v>
                </c:pt>
                <c:pt idx="40">
                  <c:v>2.3882496109588991</c:v>
                </c:pt>
                <c:pt idx="41">
                  <c:v>2.3869931397260222</c:v>
                </c:pt>
                <c:pt idx="42">
                  <c:v>2.3832237260273921</c:v>
                </c:pt>
                <c:pt idx="43">
                  <c:v>2.3819672547945152</c:v>
                </c:pt>
                <c:pt idx="44">
                  <c:v>2.3807107835616383</c:v>
                </c:pt>
                <c:pt idx="45">
                  <c:v>2.3794543123287615</c:v>
                </c:pt>
                <c:pt idx="46">
                  <c:v>2.3781978410958846</c:v>
                </c:pt>
                <c:pt idx="47">
                  <c:v>2.3744284273972545</c:v>
                </c:pt>
                <c:pt idx="48">
                  <c:v>2.3731719561643776</c:v>
                </c:pt>
                <c:pt idx="49">
                  <c:v>2.3719154849315007</c:v>
                </c:pt>
                <c:pt idx="50">
                  <c:v>2.3706590136986239</c:v>
                </c:pt>
                <c:pt idx="51">
                  <c:v>2.369402542465747</c:v>
                </c:pt>
                <c:pt idx="52">
                  <c:v>2.3656331287671168</c:v>
                </c:pt>
                <c:pt idx="53">
                  <c:v>2.36437665753424</c:v>
                </c:pt>
                <c:pt idx="54">
                  <c:v>2.3631201863013631</c:v>
                </c:pt>
                <c:pt idx="55">
                  <c:v>2.3618637150684862</c:v>
                </c:pt>
                <c:pt idx="56">
                  <c:v>2.3606072438356094</c:v>
                </c:pt>
                <c:pt idx="57">
                  <c:v>2.3568378301369792</c:v>
                </c:pt>
                <c:pt idx="58">
                  <c:v>2.3555813589041024</c:v>
                </c:pt>
                <c:pt idx="59">
                  <c:v>2.3543248876712255</c:v>
                </c:pt>
                <c:pt idx="60">
                  <c:v>2.3530684164383486</c:v>
                </c:pt>
                <c:pt idx="61">
                  <c:v>2.3518119452054718</c:v>
                </c:pt>
                <c:pt idx="62">
                  <c:v>2.3480425315068416</c:v>
                </c:pt>
                <c:pt idx="63">
                  <c:v>2.3467860602739647</c:v>
                </c:pt>
                <c:pt idx="64">
                  <c:v>2.3455295890410879</c:v>
                </c:pt>
                <c:pt idx="65">
                  <c:v>2.344273117808211</c:v>
                </c:pt>
                <c:pt idx="66">
                  <c:v>2.3430166465753341</c:v>
                </c:pt>
                <c:pt idx="67">
                  <c:v>2.339247232876704</c:v>
                </c:pt>
                <c:pt idx="68">
                  <c:v>2.3379907616438271</c:v>
                </c:pt>
                <c:pt idx="69">
                  <c:v>2.3367342904109503</c:v>
                </c:pt>
                <c:pt idx="70">
                  <c:v>2.3354778191780734</c:v>
                </c:pt>
                <c:pt idx="71">
                  <c:v>2.3342213479451965</c:v>
                </c:pt>
                <c:pt idx="72">
                  <c:v>2.3304519342465664</c:v>
                </c:pt>
                <c:pt idx="73">
                  <c:v>2.3291954630136895</c:v>
                </c:pt>
                <c:pt idx="74">
                  <c:v>2.3279389917808126</c:v>
                </c:pt>
                <c:pt idx="75">
                  <c:v>2.3266825205479358</c:v>
                </c:pt>
                <c:pt idx="76">
                  <c:v>2.3254260493150589</c:v>
                </c:pt>
                <c:pt idx="77">
                  <c:v>2.3216566356164288</c:v>
                </c:pt>
                <c:pt idx="78">
                  <c:v>2.3204001643835519</c:v>
                </c:pt>
                <c:pt idx="79">
                  <c:v>2.319143693150675</c:v>
                </c:pt>
                <c:pt idx="80">
                  <c:v>2.3178872219177982</c:v>
                </c:pt>
                <c:pt idx="81">
                  <c:v>2.3166307506849213</c:v>
                </c:pt>
                <c:pt idx="82">
                  <c:v>2.3128613369862911</c:v>
                </c:pt>
                <c:pt idx="83">
                  <c:v>2.3116048657534143</c:v>
                </c:pt>
                <c:pt idx="84">
                  <c:v>2.3103483945205374</c:v>
                </c:pt>
                <c:pt idx="85">
                  <c:v>2.3090919232876606</c:v>
                </c:pt>
                <c:pt idx="86">
                  <c:v>2.3078354520547837</c:v>
                </c:pt>
                <c:pt idx="87">
                  <c:v>2.3040660383561535</c:v>
                </c:pt>
                <c:pt idx="88">
                  <c:v>2.3028095671232767</c:v>
                </c:pt>
                <c:pt idx="89">
                  <c:v>2.3015530958903998</c:v>
                </c:pt>
                <c:pt idx="90">
                  <c:v>2.3002966246575229</c:v>
                </c:pt>
                <c:pt idx="91">
                  <c:v>2.2990401534246461</c:v>
                </c:pt>
                <c:pt idx="92">
                  <c:v>2.2952707397260159</c:v>
                </c:pt>
                <c:pt idx="93">
                  <c:v>2.2940142684931391</c:v>
                </c:pt>
                <c:pt idx="94">
                  <c:v>2.2927577972602622</c:v>
                </c:pt>
                <c:pt idx="95">
                  <c:v>2.2915013260273853</c:v>
                </c:pt>
                <c:pt idx="96">
                  <c:v>2.2902448547945085</c:v>
                </c:pt>
                <c:pt idx="97">
                  <c:v>2.2864754410958783</c:v>
                </c:pt>
                <c:pt idx="98">
                  <c:v>2.2852189698630014</c:v>
                </c:pt>
                <c:pt idx="99">
                  <c:v>2.2839624986301246</c:v>
                </c:pt>
                <c:pt idx="100">
                  <c:v>2.2827060273972477</c:v>
                </c:pt>
                <c:pt idx="101">
                  <c:v>2.2814495561643708</c:v>
                </c:pt>
                <c:pt idx="102">
                  <c:v>2.2776801424657407</c:v>
                </c:pt>
                <c:pt idx="103">
                  <c:v>2.2764236712328638</c:v>
                </c:pt>
                <c:pt idx="104">
                  <c:v>2.275167199999987</c:v>
                </c:pt>
                <c:pt idx="105">
                  <c:v>2.2739107287671101</c:v>
                </c:pt>
                <c:pt idx="106">
                  <c:v>2.2726542575342332</c:v>
                </c:pt>
                <c:pt idx="107">
                  <c:v>2.2688848438356031</c:v>
                </c:pt>
                <c:pt idx="108">
                  <c:v>2.2676283726027262</c:v>
                </c:pt>
                <c:pt idx="109">
                  <c:v>2.2663719013698493</c:v>
                </c:pt>
                <c:pt idx="110">
                  <c:v>2.2651154301369725</c:v>
                </c:pt>
                <c:pt idx="111">
                  <c:v>2.2638589589040956</c:v>
                </c:pt>
                <c:pt idx="112">
                  <c:v>2.2600895452054655</c:v>
                </c:pt>
                <c:pt idx="113">
                  <c:v>2.2588330739725886</c:v>
                </c:pt>
                <c:pt idx="114">
                  <c:v>2.2575766027397117</c:v>
                </c:pt>
                <c:pt idx="115">
                  <c:v>2.2563201315068349</c:v>
                </c:pt>
                <c:pt idx="116">
                  <c:v>2.255063660273958</c:v>
                </c:pt>
                <c:pt idx="117">
                  <c:v>2.2512942465753278</c:v>
                </c:pt>
                <c:pt idx="118">
                  <c:v>2.250037775342451</c:v>
                </c:pt>
                <c:pt idx="119">
                  <c:v>2.2487813041095741</c:v>
                </c:pt>
                <c:pt idx="120">
                  <c:v>2.2475248328766972</c:v>
                </c:pt>
                <c:pt idx="121">
                  <c:v>2.2462683616438204</c:v>
                </c:pt>
                <c:pt idx="122">
                  <c:v>2.2424989479451902</c:v>
                </c:pt>
                <c:pt idx="123">
                  <c:v>2.2412424767123134</c:v>
                </c:pt>
                <c:pt idx="124">
                  <c:v>2.2399860054794365</c:v>
                </c:pt>
                <c:pt idx="125">
                  <c:v>2.2387295342465596</c:v>
                </c:pt>
                <c:pt idx="126">
                  <c:v>2.2374730630136828</c:v>
                </c:pt>
                <c:pt idx="127">
                  <c:v>2.2337036493150526</c:v>
                </c:pt>
                <c:pt idx="128">
                  <c:v>2.2324471780821757</c:v>
                </c:pt>
                <c:pt idx="129">
                  <c:v>2.2311907068492989</c:v>
                </c:pt>
                <c:pt idx="130">
                  <c:v>2.229934235616422</c:v>
                </c:pt>
                <c:pt idx="131">
                  <c:v>2.2286777643835451</c:v>
                </c:pt>
                <c:pt idx="132">
                  <c:v>2.224908350684915</c:v>
                </c:pt>
                <c:pt idx="133">
                  <c:v>2.2236518794520381</c:v>
                </c:pt>
                <c:pt idx="134">
                  <c:v>2.2223954082191613</c:v>
                </c:pt>
                <c:pt idx="135">
                  <c:v>2.2211389369862844</c:v>
                </c:pt>
                <c:pt idx="136">
                  <c:v>2.2198824657534075</c:v>
                </c:pt>
                <c:pt idx="137">
                  <c:v>2.2161130520547774</c:v>
                </c:pt>
                <c:pt idx="138">
                  <c:v>2.2148565808219005</c:v>
                </c:pt>
                <c:pt idx="139">
                  <c:v>2.2136001095890236</c:v>
                </c:pt>
                <c:pt idx="140">
                  <c:v>2.2123436383561468</c:v>
                </c:pt>
                <c:pt idx="141">
                  <c:v>2.2110871671232699</c:v>
                </c:pt>
                <c:pt idx="142">
                  <c:v>2.2073177534246398</c:v>
                </c:pt>
                <c:pt idx="143">
                  <c:v>2.2060612821917629</c:v>
                </c:pt>
                <c:pt idx="144">
                  <c:v>2.204804810958886</c:v>
                </c:pt>
                <c:pt idx="145">
                  <c:v>2.2035483397260092</c:v>
                </c:pt>
                <c:pt idx="146">
                  <c:v>2.2022918684931323</c:v>
                </c:pt>
                <c:pt idx="147">
                  <c:v>2.1985224547945021</c:v>
                </c:pt>
                <c:pt idx="148">
                  <c:v>2.1972659835616253</c:v>
                </c:pt>
                <c:pt idx="149">
                  <c:v>2.1960095123287484</c:v>
                </c:pt>
                <c:pt idx="150">
                  <c:v>2.1947530410958715</c:v>
                </c:pt>
                <c:pt idx="151">
                  <c:v>2.1934965698629947</c:v>
                </c:pt>
                <c:pt idx="152">
                  <c:v>2.1897271561643645</c:v>
                </c:pt>
                <c:pt idx="153">
                  <c:v>2.1884706849314877</c:v>
                </c:pt>
                <c:pt idx="154">
                  <c:v>2.1872142136986108</c:v>
                </c:pt>
                <c:pt idx="155">
                  <c:v>2.1859577424657339</c:v>
                </c:pt>
                <c:pt idx="156">
                  <c:v>2.1847012712328571</c:v>
                </c:pt>
                <c:pt idx="157">
                  <c:v>2.1809318575342269</c:v>
                </c:pt>
                <c:pt idx="158">
                  <c:v>2.17967538630135</c:v>
                </c:pt>
                <c:pt idx="159">
                  <c:v>2.1784189150684732</c:v>
                </c:pt>
                <c:pt idx="160">
                  <c:v>2.1771624438355963</c:v>
                </c:pt>
                <c:pt idx="161">
                  <c:v>2.1759059726027195</c:v>
                </c:pt>
                <c:pt idx="162">
                  <c:v>2.1721365589040893</c:v>
                </c:pt>
                <c:pt idx="163">
                  <c:v>2.1708800876712124</c:v>
                </c:pt>
                <c:pt idx="164">
                  <c:v>2.1696236164383356</c:v>
                </c:pt>
                <c:pt idx="165">
                  <c:v>2.1683671452054587</c:v>
                </c:pt>
                <c:pt idx="166">
                  <c:v>2.1671106739725818</c:v>
                </c:pt>
                <c:pt idx="167">
                  <c:v>2.1633412602739517</c:v>
                </c:pt>
                <c:pt idx="168">
                  <c:v>2.1620847890410748</c:v>
                </c:pt>
                <c:pt idx="169">
                  <c:v>2.160828317808198</c:v>
                </c:pt>
                <c:pt idx="170">
                  <c:v>2.1595718465753211</c:v>
                </c:pt>
                <c:pt idx="171">
                  <c:v>2.1583153753424442</c:v>
                </c:pt>
                <c:pt idx="172">
                  <c:v>2.1545459616438141</c:v>
                </c:pt>
                <c:pt idx="173">
                  <c:v>2.1532894904109372</c:v>
                </c:pt>
                <c:pt idx="174">
                  <c:v>2.1520330191780603</c:v>
                </c:pt>
                <c:pt idx="175">
                  <c:v>2.1507765479451835</c:v>
                </c:pt>
                <c:pt idx="176">
                  <c:v>2.1495200767123066</c:v>
                </c:pt>
                <c:pt idx="177">
                  <c:v>2.1457506630136765</c:v>
                </c:pt>
                <c:pt idx="178">
                  <c:v>2.1444941917807996</c:v>
                </c:pt>
                <c:pt idx="179">
                  <c:v>2.1432377205479227</c:v>
                </c:pt>
                <c:pt idx="180">
                  <c:v>2.1419812493150459</c:v>
                </c:pt>
                <c:pt idx="181">
                  <c:v>2.140724778082169</c:v>
                </c:pt>
                <c:pt idx="182">
                  <c:v>2.1369553643835388</c:v>
                </c:pt>
                <c:pt idx="183">
                  <c:v>2.135698893150662</c:v>
                </c:pt>
                <c:pt idx="184">
                  <c:v>2.1344424219177851</c:v>
                </c:pt>
                <c:pt idx="185">
                  <c:v>2.1331859506849082</c:v>
                </c:pt>
                <c:pt idx="186">
                  <c:v>2.1319294794520314</c:v>
                </c:pt>
                <c:pt idx="187">
                  <c:v>2.1281600657534012</c:v>
                </c:pt>
                <c:pt idx="188">
                  <c:v>2.1269035945205244</c:v>
                </c:pt>
                <c:pt idx="189">
                  <c:v>2.1256471232876475</c:v>
                </c:pt>
                <c:pt idx="190">
                  <c:v>2.1243906520547706</c:v>
                </c:pt>
                <c:pt idx="191">
                  <c:v>2.1231341808218938</c:v>
                </c:pt>
                <c:pt idx="192">
                  <c:v>2.1193647671232636</c:v>
                </c:pt>
                <c:pt idx="193">
                  <c:v>2.1181082958903867</c:v>
                </c:pt>
                <c:pt idx="194">
                  <c:v>2.1168518246575099</c:v>
                </c:pt>
                <c:pt idx="195">
                  <c:v>2.115595353424633</c:v>
                </c:pt>
                <c:pt idx="196">
                  <c:v>2.1143388821917561</c:v>
                </c:pt>
                <c:pt idx="197">
                  <c:v>2.110569468493126</c:v>
                </c:pt>
                <c:pt idx="198">
                  <c:v>2.1093129972602491</c:v>
                </c:pt>
                <c:pt idx="199">
                  <c:v>2.1080565260273723</c:v>
                </c:pt>
                <c:pt idx="200">
                  <c:v>2.1068000547944954</c:v>
                </c:pt>
                <c:pt idx="201">
                  <c:v>2.1055435835616185</c:v>
                </c:pt>
                <c:pt idx="202">
                  <c:v>2.1017741698629884</c:v>
                </c:pt>
                <c:pt idx="203">
                  <c:v>2.1005176986301115</c:v>
                </c:pt>
                <c:pt idx="204">
                  <c:v>2.0992612273972346</c:v>
                </c:pt>
                <c:pt idx="205">
                  <c:v>2.0980047561643578</c:v>
                </c:pt>
                <c:pt idx="206">
                  <c:v>2.0967482849314809</c:v>
                </c:pt>
                <c:pt idx="207">
                  <c:v>2.0929788712328508</c:v>
                </c:pt>
                <c:pt idx="208">
                  <c:v>2.0917223999999739</c:v>
                </c:pt>
                <c:pt idx="209">
                  <c:v>2.090465928767097</c:v>
                </c:pt>
                <c:pt idx="210">
                  <c:v>2.0892094575342202</c:v>
                </c:pt>
                <c:pt idx="211">
                  <c:v>2.0879529863013433</c:v>
                </c:pt>
                <c:pt idx="212">
                  <c:v>2.0841835726027131</c:v>
                </c:pt>
                <c:pt idx="213">
                  <c:v>2.0829271013698363</c:v>
                </c:pt>
                <c:pt idx="214">
                  <c:v>2.0816706301369594</c:v>
                </c:pt>
                <c:pt idx="215">
                  <c:v>2.0804141589040825</c:v>
                </c:pt>
                <c:pt idx="216">
                  <c:v>2.0791576876712057</c:v>
                </c:pt>
                <c:pt idx="217">
                  <c:v>2.0753882739725755</c:v>
                </c:pt>
                <c:pt idx="218">
                  <c:v>2.0741318027396987</c:v>
                </c:pt>
                <c:pt idx="219">
                  <c:v>2.0728753315068218</c:v>
                </c:pt>
                <c:pt idx="220">
                  <c:v>2.0716188602739449</c:v>
                </c:pt>
                <c:pt idx="221">
                  <c:v>2.0703623890410681</c:v>
                </c:pt>
                <c:pt idx="222">
                  <c:v>2.0665929753424379</c:v>
                </c:pt>
                <c:pt idx="223">
                  <c:v>2.065336504109561</c:v>
                </c:pt>
                <c:pt idx="224">
                  <c:v>2.0640800328766842</c:v>
                </c:pt>
                <c:pt idx="225">
                  <c:v>2.0628235616438073</c:v>
                </c:pt>
                <c:pt idx="226">
                  <c:v>2.0615670904109304</c:v>
                </c:pt>
                <c:pt idx="227">
                  <c:v>2.0577976767123003</c:v>
                </c:pt>
                <c:pt idx="228">
                  <c:v>2.0565412054794234</c:v>
                </c:pt>
                <c:pt idx="229">
                  <c:v>2.0552847342465466</c:v>
                </c:pt>
                <c:pt idx="230">
                  <c:v>2.0540282630136697</c:v>
                </c:pt>
                <c:pt idx="231">
                  <c:v>2.0527717917807928</c:v>
                </c:pt>
                <c:pt idx="232">
                  <c:v>2.0490023780821627</c:v>
                </c:pt>
                <c:pt idx="233">
                  <c:v>2.0477459068492858</c:v>
                </c:pt>
                <c:pt idx="234">
                  <c:v>2.0464894356164089</c:v>
                </c:pt>
                <c:pt idx="235">
                  <c:v>2.0452329643835321</c:v>
                </c:pt>
                <c:pt idx="236">
                  <c:v>2.0439764931506552</c:v>
                </c:pt>
                <c:pt idx="237">
                  <c:v>2.0402070794520251</c:v>
                </c:pt>
                <c:pt idx="238">
                  <c:v>2.0389506082191482</c:v>
                </c:pt>
                <c:pt idx="239">
                  <c:v>2.0376941369862713</c:v>
                </c:pt>
                <c:pt idx="240">
                  <c:v>2.0364376657533945</c:v>
                </c:pt>
                <c:pt idx="241">
                  <c:v>2.0351811945205176</c:v>
                </c:pt>
                <c:pt idx="242">
                  <c:v>2.0314117808218874</c:v>
                </c:pt>
                <c:pt idx="243">
                  <c:v>2.0301553095890106</c:v>
                </c:pt>
                <c:pt idx="244">
                  <c:v>2.0288988383561337</c:v>
                </c:pt>
                <c:pt idx="245">
                  <c:v>2.0276423671232569</c:v>
                </c:pt>
                <c:pt idx="246">
                  <c:v>2.02638589589038</c:v>
                </c:pt>
                <c:pt idx="247">
                  <c:v>2.0226164821917498</c:v>
                </c:pt>
                <c:pt idx="248">
                  <c:v>2.021360010958873</c:v>
                </c:pt>
                <c:pt idx="249">
                  <c:v>2.0201035397259961</c:v>
                </c:pt>
                <c:pt idx="250">
                  <c:v>2.0188470684931192</c:v>
                </c:pt>
                <c:pt idx="251">
                  <c:v>2.0175905972602424</c:v>
                </c:pt>
                <c:pt idx="252">
                  <c:v>2.0138211835616122</c:v>
                </c:pt>
                <c:pt idx="253">
                  <c:v>2.0125647123287354</c:v>
                </c:pt>
                <c:pt idx="254">
                  <c:v>2.0113082410958585</c:v>
                </c:pt>
                <c:pt idx="255">
                  <c:v>2.0100517698629816</c:v>
                </c:pt>
                <c:pt idx="256">
                  <c:v>2.0087952986301048</c:v>
                </c:pt>
                <c:pt idx="257">
                  <c:v>2.0050258849314746</c:v>
                </c:pt>
                <c:pt idx="258">
                  <c:v>2.0037694136985977</c:v>
                </c:pt>
                <c:pt idx="259">
                  <c:v>2.0025129424657209</c:v>
                </c:pt>
                <c:pt idx="260">
                  <c:v>2.001256471232844</c:v>
                </c:pt>
                <c:pt idx="261">
                  <c:v>1.9999999999999674</c:v>
                </c:pt>
                <c:pt idx="262">
                  <c:v>1.9962305863013372</c:v>
                </c:pt>
                <c:pt idx="263">
                  <c:v>1.9949741150684606</c:v>
                </c:pt>
                <c:pt idx="264">
                  <c:v>1.9937176438355839</c:v>
                </c:pt>
                <c:pt idx="265">
                  <c:v>1.9924611726027073</c:v>
                </c:pt>
                <c:pt idx="266">
                  <c:v>1.9912047013698306</c:v>
                </c:pt>
                <c:pt idx="267">
                  <c:v>1.9874352876712005</c:v>
                </c:pt>
                <c:pt idx="268">
                  <c:v>1.9861788164383238</c:v>
                </c:pt>
                <c:pt idx="269">
                  <c:v>1.9849223452054472</c:v>
                </c:pt>
                <c:pt idx="270">
                  <c:v>1.9836658739725705</c:v>
                </c:pt>
                <c:pt idx="271">
                  <c:v>1.9824094027396939</c:v>
                </c:pt>
                <c:pt idx="272">
                  <c:v>1.9786399890410638</c:v>
                </c:pt>
                <c:pt idx="273">
                  <c:v>1.9773835178081871</c:v>
                </c:pt>
                <c:pt idx="274">
                  <c:v>1.9761270465753105</c:v>
                </c:pt>
                <c:pt idx="275">
                  <c:v>1.9748705753424338</c:v>
                </c:pt>
                <c:pt idx="276">
                  <c:v>1.9736141041095572</c:v>
                </c:pt>
                <c:pt idx="277">
                  <c:v>1.969844690410927</c:v>
                </c:pt>
                <c:pt idx="278">
                  <c:v>1.9685882191780504</c:v>
                </c:pt>
                <c:pt idx="279">
                  <c:v>1.9673317479451737</c:v>
                </c:pt>
                <c:pt idx="280">
                  <c:v>1.9660752767122971</c:v>
                </c:pt>
                <c:pt idx="281">
                  <c:v>1.9648188054794204</c:v>
                </c:pt>
                <c:pt idx="282">
                  <c:v>1.9610493917807903</c:v>
                </c:pt>
                <c:pt idx="283">
                  <c:v>1.9597929205479137</c:v>
                </c:pt>
                <c:pt idx="284">
                  <c:v>1.958536449315037</c:v>
                </c:pt>
                <c:pt idx="285">
                  <c:v>1.9572799780821604</c:v>
                </c:pt>
                <c:pt idx="286">
                  <c:v>1.9560235068492837</c:v>
                </c:pt>
                <c:pt idx="287">
                  <c:v>1.9522540931506536</c:v>
                </c:pt>
                <c:pt idx="288">
                  <c:v>1.9509976219177769</c:v>
                </c:pt>
                <c:pt idx="289">
                  <c:v>1.9497411506849003</c:v>
                </c:pt>
                <c:pt idx="290">
                  <c:v>1.9484846794520236</c:v>
                </c:pt>
                <c:pt idx="291">
                  <c:v>1.947228208219147</c:v>
                </c:pt>
                <c:pt idx="292">
                  <c:v>1.9434587945205168</c:v>
                </c:pt>
                <c:pt idx="293">
                  <c:v>1.9422023232876402</c:v>
                </c:pt>
                <c:pt idx="294">
                  <c:v>1.9409458520547636</c:v>
                </c:pt>
                <c:pt idx="295">
                  <c:v>1.9396893808218869</c:v>
                </c:pt>
                <c:pt idx="296">
                  <c:v>1.9384329095890103</c:v>
                </c:pt>
                <c:pt idx="297">
                  <c:v>1.9346634958903801</c:v>
                </c:pt>
                <c:pt idx="298">
                  <c:v>1.9334070246575035</c:v>
                </c:pt>
                <c:pt idx="299">
                  <c:v>1.9321505534246268</c:v>
                </c:pt>
                <c:pt idx="300">
                  <c:v>1.9308940821917502</c:v>
                </c:pt>
                <c:pt idx="301">
                  <c:v>1.9296376109588735</c:v>
                </c:pt>
                <c:pt idx="302">
                  <c:v>1.9258681972602434</c:v>
                </c:pt>
                <c:pt idx="303">
                  <c:v>1.9246117260273667</c:v>
                </c:pt>
                <c:pt idx="304">
                  <c:v>1.9233552547944901</c:v>
                </c:pt>
                <c:pt idx="305">
                  <c:v>1.9220987835616135</c:v>
                </c:pt>
                <c:pt idx="306">
                  <c:v>1.9208423123287368</c:v>
                </c:pt>
                <c:pt idx="307">
                  <c:v>1.9170728986301067</c:v>
                </c:pt>
                <c:pt idx="308">
                  <c:v>1.91581642739723</c:v>
                </c:pt>
                <c:pt idx="309">
                  <c:v>1.9145599561643534</c:v>
                </c:pt>
                <c:pt idx="310">
                  <c:v>1.9133034849314767</c:v>
                </c:pt>
                <c:pt idx="311">
                  <c:v>1.9120470136986001</c:v>
                </c:pt>
                <c:pt idx="312">
                  <c:v>1.9082775999999699</c:v>
                </c:pt>
                <c:pt idx="313">
                  <c:v>1.9070211287670933</c:v>
                </c:pt>
                <c:pt idx="314">
                  <c:v>1.9057646575342166</c:v>
                </c:pt>
                <c:pt idx="315">
                  <c:v>1.90450818630134</c:v>
                </c:pt>
                <c:pt idx="316">
                  <c:v>1.9032517150684634</c:v>
                </c:pt>
                <c:pt idx="317">
                  <c:v>1.8994823013698332</c:v>
                </c:pt>
                <c:pt idx="318">
                  <c:v>1.8982258301369566</c:v>
                </c:pt>
                <c:pt idx="319">
                  <c:v>1.8969693589040799</c:v>
                </c:pt>
                <c:pt idx="320">
                  <c:v>1.8957128876712033</c:v>
                </c:pt>
                <c:pt idx="321">
                  <c:v>1.8944564164383266</c:v>
                </c:pt>
                <c:pt idx="322">
                  <c:v>1.8906870027396965</c:v>
                </c:pt>
                <c:pt idx="323">
                  <c:v>1.8894305315068198</c:v>
                </c:pt>
                <c:pt idx="324">
                  <c:v>1.8881740602739432</c:v>
                </c:pt>
                <c:pt idx="325">
                  <c:v>1.8869175890410665</c:v>
                </c:pt>
                <c:pt idx="326">
                  <c:v>1.8856611178081899</c:v>
                </c:pt>
                <c:pt idx="327">
                  <c:v>1.8818917041095597</c:v>
                </c:pt>
                <c:pt idx="328">
                  <c:v>1.8806352328766831</c:v>
                </c:pt>
                <c:pt idx="329">
                  <c:v>1.8793787616438065</c:v>
                </c:pt>
                <c:pt idx="330">
                  <c:v>1.8781222904109298</c:v>
                </c:pt>
                <c:pt idx="331">
                  <c:v>1.8768658191780532</c:v>
                </c:pt>
                <c:pt idx="332">
                  <c:v>1.873096405479423</c:v>
                </c:pt>
                <c:pt idx="333">
                  <c:v>1.8718399342465464</c:v>
                </c:pt>
                <c:pt idx="334">
                  <c:v>1.8705834630136697</c:v>
                </c:pt>
                <c:pt idx="335">
                  <c:v>1.8693269917807931</c:v>
                </c:pt>
                <c:pt idx="336">
                  <c:v>1.8680705205479164</c:v>
                </c:pt>
                <c:pt idx="337">
                  <c:v>1.8643011068492863</c:v>
                </c:pt>
                <c:pt idx="338">
                  <c:v>1.8630446356164096</c:v>
                </c:pt>
                <c:pt idx="339">
                  <c:v>1.861788164383533</c:v>
                </c:pt>
                <c:pt idx="340">
                  <c:v>1.8605316931506564</c:v>
                </c:pt>
                <c:pt idx="341">
                  <c:v>1.8592752219177797</c:v>
                </c:pt>
                <c:pt idx="342">
                  <c:v>1.8555058082191496</c:v>
                </c:pt>
                <c:pt idx="343">
                  <c:v>1.8542493369862729</c:v>
                </c:pt>
                <c:pt idx="344">
                  <c:v>1.8529928657533963</c:v>
                </c:pt>
                <c:pt idx="345">
                  <c:v>1.8517363945205196</c:v>
                </c:pt>
                <c:pt idx="346">
                  <c:v>1.850479923287643</c:v>
                </c:pt>
                <c:pt idx="347">
                  <c:v>1.8467105095890128</c:v>
                </c:pt>
                <c:pt idx="348">
                  <c:v>1.8454540383561362</c:v>
                </c:pt>
                <c:pt idx="349">
                  <c:v>1.8441975671232596</c:v>
                </c:pt>
                <c:pt idx="350">
                  <c:v>1.8429410958903829</c:v>
                </c:pt>
                <c:pt idx="351">
                  <c:v>1.8416846246575063</c:v>
                </c:pt>
                <c:pt idx="352">
                  <c:v>1.8379152109588761</c:v>
                </c:pt>
                <c:pt idx="353">
                  <c:v>1.8366587397259995</c:v>
                </c:pt>
                <c:pt idx="354">
                  <c:v>1.8354022684931228</c:v>
                </c:pt>
                <c:pt idx="355">
                  <c:v>1.8341457972602462</c:v>
                </c:pt>
                <c:pt idx="356">
                  <c:v>1.8328893260273695</c:v>
                </c:pt>
                <c:pt idx="357">
                  <c:v>1.8291199123287394</c:v>
                </c:pt>
                <c:pt idx="358">
                  <c:v>1.8278634410958627</c:v>
                </c:pt>
                <c:pt idx="359">
                  <c:v>1.8266069698629861</c:v>
                </c:pt>
                <c:pt idx="360">
                  <c:v>1.8253504986301095</c:v>
                </c:pt>
                <c:pt idx="361">
                  <c:v>1.8240940273972328</c:v>
                </c:pt>
                <c:pt idx="362">
                  <c:v>1.8203246136986027</c:v>
                </c:pt>
                <c:pt idx="363">
                  <c:v>1.819068142465726</c:v>
                </c:pt>
                <c:pt idx="364">
                  <c:v>1.8178116712328494</c:v>
                </c:pt>
                <c:pt idx="365">
                  <c:v>1.8165551999999727</c:v>
                </c:pt>
                <c:pt idx="366">
                  <c:v>1.8152987287670961</c:v>
                </c:pt>
                <c:pt idx="367">
                  <c:v>1.8115293150684659</c:v>
                </c:pt>
                <c:pt idx="368">
                  <c:v>1.8102728438355893</c:v>
                </c:pt>
                <c:pt idx="369">
                  <c:v>1.8090163726027126</c:v>
                </c:pt>
                <c:pt idx="370">
                  <c:v>1.807759901369836</c:v>
                </c:pt>
                <c:pt idx="371">
                  <c:v>1.8065034301369594</c:v>
                </c:pt>
                <c:pt idx="372">
                  <c:v>1.8027340164383292</c:v>
                </c:pt>
                <c:pt idx="373">
                  <c:v>1.8014775452054526</c:v>
                </c:pt>
                <c:pt idx="374">
                  <c:v>1.8002210739725759</c:v>
                </c:pt>
                <c:pt idx="375">
                  <c:v>1.7989646027396993</c:v>
                </c:pt>
                <c:pt idx="376">
                  <c:v>1.7977081315068226</c:v>
                </c:pt>
                <c:pt idx="377">
                  <c:v>1.7939387178081925</c:v>
                </c:pt>
                <c:pt idx="378">
                  <c:v>1.7926822465753158</c:v>
                </c:pt>
                <c:pt idx="379">
                  <c:v>1.7914257753424392</c:v>
                </c:pt>
                <c:pt idx="380">
                  <c:v>1.7901693041095625</c:v>
                </c:pt>
                <c:pt idx="381">
                  <c:v>1.7889128328766859</c:v>
                </c:pt>
                <c:pt idx="382">
                  <c:v>1.7851434191780557</c:v>
                </c:pt>
                <c:pt idx="383">
                  <c:v>1.7838869479451791</c:v>
                </c:pt>
                <c:pt idx="384">
                  <c:v>1.7826304767123025</c:v>
                </c:pt>
                <c:pt idx="385">
                  <c:v>1.7813740054794258</c:v>
                </c:pt>
                <c:pt idx="386">
                  <c:v>1.7801175342465492</c:v>
                </c:pt>
                <c:pt idx="387">
                  <c:v>1.776348120547919</c:v>
                </c:pt>
                <c:pt idx="388">
                  <c:v>1.7750916493150424</c:v>
                </c:pt>
                <c:pt idx="389">
                  <c:v>1.7738351780821657</c:v>
                </c:pt>
                <c:pt idx="390">
                  <c:v>1.7725787068492891</c:v>
                </c:pt>
                <c:pt idx="391">
                  <c:v>1.7713222356164124</c:v>
                </c:pt>
                <c:pt idx="392">
                  <c:v>1.7675528219177823</c:v>
                </c:pt>
                <c:pt idx="393">
                  <c:v>1.7662963506849056</c:v>
                </c:pt>
                <c:pt idx="394">
                  <c:v>1.765039879452029</c:v>
                </c:pt>
                <c:pt idx="395">
                  <c:v>1.7637834082191524</c:v>
                </c:pt>
                <c:pt idx="396">
                  <c:v>1.7625269369862757</c:v>
                </c:pt>
                <c:pt idx="397">
                  <c:v>1.7587575232876456</c:v>
                </c:pt>
                <c:pt idx="398">
                  <c:v>1.7575010520547689</c:v>
                </c:pt>
                <c:pt idx="399">
                  <c:v>1.7562445808218923</c:v>
                </c:pt>
                <c:pt idx="400">
                  <c:v>1.7549881095890156</c:v>
                </c:pt>
                <c:pt idx="401">
                  <c:v>1.753731638356139</c:v>
                </c:pt>
                <c:pt idx="402">
                  <c:v>1.7499622246575088</c:v>
                </c:pt>
                <c:pt idx="403">
                  <c:v>1.7487057534246322</c:v>
                </c:pt>
                <c:pt idx="404">
                  <c:v>1.7474492821917555</c:v>
                </c:pt>
                <c:pt idx="405">
                  <c:v>1.7461928109588789</c:v>
                </c:pt>
                <c:pt idx="406">
                  <c:v>1.7449363397260023</c:v>
                </c:pt>
                <c:pt idx="407">
                  <c:v>1.7411669260273721</c:v>
                </c:pt>
                <c:pt idx="408">
                  <c:v>1.7399104547944955</c:v>
                </c:pt>
                <c:pt idx="409">
                  <c:v>1.7386539835616188</c:v>
                </c:pt>
                <c:pt idx="410">
                  <c:v>1.7373975123287422</c:v>
                </c:pt>
                <c:pt idx="411">
                  <c:v>1.7361410410958655</c:v>
                </c:pt>
                <c:pt idx="412">
                  <c:v>1.7323716273972354</c:v>
                </c:pt>
                <c:pt idx="413">
                  <c:v>1.7311151561643587</c:v>
                </c:pt>
                <c:pt idx="414">
                  <c:v>1.7298586849314821</c:v>
                </c:pt>
                <c:pt idx="415">
                  <c:v>1.7286022136986054</c:v>
                </c:pt>
                <c:pt idx="416">
                  <c:v>1.7273457424657288</c:v>
                </c:pt>
                <c:pt idx="417">
                  <c:v>1.7235763287670987</c:v>
                </c:pt>
                <c:pt idx="418">
                  <c:v>1.722319857534222</c:v>
                </c:pt>
                <c:pt idx="419">
                  <c:v>1.7210633863013454</c:v>
                </c:pt>
                <c:pt idx="420">
                  <c:v>1.7198069150684687</c:v>
                </c:pt>
                <c:pt idx="421">
                  <c:v>1.7185504438355921</c:v>
                </c:pt>
                <c:pt idx="422">
                  <c:v>1.7147810301369619</c:v>
                </c:pt>
                <c:pt idx="423">
                  <c:v>1.7135245589040853</c:v>
                </c:pt>
                <c:pt idx="424">
                  <c:v>1.7122680876712086</c:v>
                </c:pt>
                <c:pt idx="425">
                  <c:v>1.711011616438332</c:v>
                </c:pt>
                <c:pt idx="426">
                  <c:v>1.7097551452054554</c:v>
                </c:pt>
                <c:pt idx="427">
                  <c:v>1.7059857315068252</c:v>
                </c:pt>
                <c:pt idx="428">
                  <c:v>1.7047292602739486</c:v>
                </c:pt>
                <c:pt idx="429">
                  <c:v>1.7034727890410719</c:v>
                </c:pt>
                <c:pt idx="430">
                  <c:v>1.7022163178081953</c:v>
                </c:pt>
                <c:pt idx="431">
                  <c:v>1.7009598465753186</c:v>
                </c:pt>
                <c:pt idx="432">
                  <c:v>1.6971904328766885</c:v>
                </c:pt>
                <c:pt idx="433">
                  <c:v>1.6959339616438118</c:v>
                </c:pt>
                <c:pt idx="434">
                  <c:v>1.6946774904109352</c:v>
                </c:pt>
                <c:pt idx="435">
                  <c:v>1.6934210191780585</c:v>
                </c:pt>
                <c:pt idx="436">
                  <c:v>1.6921645479451819</c:v>
                </c:pt>
                <c:pt idx="437">
                  <c:v>1.6883951342465517</c:v>
                </c:pt>
                <c:pt idx="438">
                  <c:v>1.6871386630136751</c:v>
                </c:pt>
                <c:pt idx="439">
                  <c:v>1.6858821917807985</c:v>
                </c:pt>
                <c:pt idx="440">
                  <c:v>1.6846257205479218</c:v>
                </c:pt>
                <c:pt idx="441">
                  <c:v>1.6833692493150452</c:v>
                </c:pt>
                <c:pt idx="442">
                  <c:v>1.679599835616415</c:v>
                </c:pt>
                <c:pt idx="443">
                  <c:v>1.6783433643835384</c:v>
                </c:pt>
                <c:pt idx="444">
                  <c:v>1.6770868931506617</c:v>
                </c:pt>
                <c:pt idx="445">
                  <c:v>1.6758304219177851</c:v>
                </c:pt>
                <c:pt idx="446">
                  <c:v>1.6745739506849084</c:v>
                </c:pt>
                <c:pt idx="447">
                  <c:v>1.6708045369862783</c:v>
                </c:pt>
                <c:pt idx="448">
                  <c:v>1.6695480657534016</c:v>
                </c:pt>
                <c:pt idx="449">
                  <c:v>1.668291594520525</c:v>
                </c:pt>
                <c:pt idx="450">
                  <c:v>1.6670351232876484</c:v>
                </c:pt>
                <c:pt idx="451">
                  <c:v>1.6657786520547717</c:v>
                </c:pt>
                <c:pt idx="452">
                  <c:v>1.6620092383561416</c:v>
                </c:pt>
                <c:pt idx="453">
                  <c:v>1.6607527671232649</c:v>
                </c:pt>
                <c:pt idx="454">
                  <c:v>1.6594962958903883</c:v>
                </c:pt>
                <c:pt idx="455">
                  <c:v>1.6582398246575116</c:v>
                </c:pt>
                <c:pt idx="456">
                  <c:v>1.656983353424635</c:v>
                </c:pt>
                <c:pt idx="457">
                  <c:v>1.6532139397260048</c:v>
                </c:pt>
                <c:pt idx="458">
                  <c:v>1.6519574684931282</c:v>
                </c:pt>
                <c:pt idx="459">
                  <c:v>1.6507009972602515</c:v>
                </c:pt>
                <c:pt idx="460">
                  <c:v>1.6494445260273749</c:v>
                </c:pt>
                <c:pt idx="461">
                  <c:v>1.6481880547944983</c:v>
                </c:pt>
                <c:pt idx="462">
                  <c:v>1.6444186410958681</c:v>
                </c:pt>
                <c:pt idx="463">
                  <c:v>1.6431621698629915</c:v>
                </c:pt>
                <c:pt idx="464">
                  <c:v>1.6419056986301148</c:v>
                </c:pt>
                <c:pt idx="465">
                  <c:v>1.6406492273972382</c:v>
                </c:pt>
                <c:pt idx="466">
                  <c:v>1.6393927561643615</c:v>
                </c:pt>
                <c:pt idx="467">
                  <c:v>1.6356233424657314</c:v>
                </c:pt>
                <c:pt idx="468">
                  <c:v>1.6343668712328547</c:v>
                </c:pt>
                <c:pt idx="469">
                  <c:v>1.6331103999999781</c:v>
                </c:pt>
                <c:pt idx="470">
                  <c:v>1.6318539287671014</c:v>
                </c:pt>
                <c:pt idx="471">
                  <c:v>1.6305974575342248</c:v>
                </c:pt>
                <c:pt idx="472">
                  <c:v>1.6268280438355947</c:v>
                </c:pt>
                <c:pt idx="473">
                  <c:v>1.625571572602718</c:v>
                </c:pt>
                <c:pt idx="474">
                  <c:v>1.6243151013698414</c:v>
                </c:pt>
                <c:pt idx="475">
                  <c:v>1.6230586301369647</c:v>
                </c:pt>
                <c:pt idx="476">
                  <c:v>1.6218021589040881</c:v>
                </c:pt>
                <c:pt idx="477">
                  <c:v>1.6180327452054579</c:v>
                </c:pt>
                <c:pt idx="478">
                  <c:v>1.6167762739725813</c:v>
                </c:pt>
                <c:pt idx="479">
                  <c:v>1.6155198027397046</c:v>
                </c:pt>
                <c:pt idx="480">
                  <c:v>1.614263331506828</c:v>
                </c:pt>
                <c:pt idx="481">
                  <c:v>1.6130068602739513</c:v>
                </c:pt>
                <c:pt idx="482">
                  <c:v>1.6092374465753212</c:v>
                </c:pt>
                <c:pt idx="483">
                  <c:v>1.6079809753424446</c:v>
                </c:pt>
                <c:pt idx="484">
                  <c:v>1.6067245041095679</c:v>
                </c:pt>
                <c:pt idx="485">
                  <c:v>1.6054680328766913</c:v>
                </c:pt>
                <c:pt idx="486">
                  <c:v>1.6042115616438146</c:v>
                </c:pt>
                <c:pt idx="487">
                  <c:v>1.6004421479451845</c:v>
                </c:pt>
                <c:pt idx="488">
                  <c:v>1.5991856767123078</c:v>
                </c:pt>
                <c:pt idx="489">
                  <c:v>1.5979292054794312</c:v>
                </c:pt>
                <c:pt idx="490">
                  <c:v>1.5966727342465545</c:v>
                </c:pt>
                <c:pt idx="491">
                  <c:v>1.5954162630136779</c:v>
                </c:pt>
                <c:pt idx="492">
                  <c:v>1.5916468493150477</c:v>
                </c:pt>
                <c:pt idx="493">
                  <c:v>1.5903903780821711</c:v>
                </c:pt>
                <c:pt idx="494">
                  <c:v>1.5891339068492945</c:v>
                </c:pt>
                <c:pt idx="495">
                  <c:v>1.5878774356164178</c:v>
                </c:pt>
                <c:pt idx="496">
                  <c:v>1.5866209643835412</c:v>
                </c:pt>
                <c:pt idx="497">
                  <c:v>1.582851550684911</c:v>
                </c:pt>
                <c:pt idx="498">
                  <c:v>1.5815950794520344</c:v>
                </c:pt>
                <c:pt idx="499">
                  <c:v>1.5803386082191577</c:v>
                </c:pt>
                <c:pt idx="500">
                  <c:v>1.5790821369862811</c:v>
                </c:pt>
                <c:pt idx="501">
                  <c:v>1.5778256657534044</c:v>
                </c:pt>
                <c:pt idx="502">
                  <c:v>1.5740562520547743</c:v>
                </c:pt>
                <c:pt idx="503">
                  <c:v>1.5727997808218976</c:v>
                </c:pt>
                <c:pt idx="504">
                  <c:v>1.571543309589021</c:v>
                </c:pt>
                <c:pt idx="505">
                  <c:v>1.5702868383561444</c:v>
                </c:pt>
                <c:pt idx="506">
                  <c:v>1.5690303671232677</c:v>
                </c:pt>
                <c:pt idx="507">
                  <c:v>1.5652609534246376</c:v>
                </c:pt>
                <c:pt idx="508">
                  <c:v>1.5640044821917609</c:v>
                </c:pt>
                <c:pt idx="509">
                  <c:v>1.5627480109588843</c:v>
                </c:pt>
                <c:pt idx="510">
                  <c:v>1.5614915397260076</c:v>
                </c:pt>
                <c:pt idx="511">
                  <c:v>1.560235068493131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0F-4990-AFA6-B733FC03C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107582"/>
        <c:axId val="1602211991"/>
      </c:lineChart>
      <c:dateAx>
        <c:axId val="1137107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602211991"/>
        <c:crosses val="autoZero"/>
        <c:auto val="1"/>
        <c:lblOffset val="100"/>
        <c:baseTimeUnit val="days"/>
      </c:dateAx>
      <c:valAx>
        <c:axId val="160221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1371075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775-4125-A644-3E19567A5F2C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9775-4125-A644-3E19567A5F2C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9775-4125-A644-3E19567A5F2C}"/>
              </c:ext>
            </c:extLst>
          </c:dPt>
          <c:cat>
            <c:numRef>
              <c:f>Bond!$A$16:$A$527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Bond!$C$16:$C$527</c:f>
              <c:numCache>
                <c:formatCode>0.0</c:formatCode>
                <c:ptCount val="51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  <c:pt idx="262">
                  <c:v>25135.869565217396</c:v>
                </c:pt>
                <c:pt idx="263">
                  <c:v>25203.804347826092</c:v>
                </c:pt>
                <c:pt idx="264">
                  <c:v>25271.739130434788</c:v>
                </c:pt>
                <c:pt idx="265">
                  <c:v>25339.673913043483</c:v>
                </c:pt>
                <c:pt idx="266">
                  <c:v>25543.478260869571</c:v>
                </c:pt>
                <c:pt idx="267">
                  <c:v>25611.413043478267</c:v>
                </c:pt>
                <c:pt idx="268">
                  <c:v>25679.347826086963</c:v>
                </c:pt>
                <c:pt idx="269">
                  <c:v>25747.282608695659</c:v>
                </c:pt>
                <c:pt idx="270">
                  <c:v>25815.217391304355</c:v>
                </c:pt>
                <c:pt idx="271">
                  <c:v>26019.021739130443</c:v>
                </c:pt>
                <c:pt idx="272">
                  <c:v>26086.956521739139</c:v>
                </c:pt>
                <c:pt idx="273">
                  <c:v>26154.891304347835</c:v>
                </c:pt>
                <c:pt idx="274">
                  <c:v>26222.826086956531</c:v>
                </c:pt>
                <c:pt idx="275">
                  <c:v>26290.760869565227</c:v>
                </c:pt>
                <c:pt idx="276">
                  <c:v>26494.565217391315</c:v>
                </c:pt>
                <c:pt idx="277">
                  <c:v>26562.500000000011</c:v>
                </c:pt>
                <c:pt idx="278">
                  <c:v>26630.434782608707</c:v>
                </c:pt>
                <c:pt idx="279">
                  <c:v>26698.369565217403</c:v>
                </c:pt>
                <c:pt idx="280">
                  <c:v>26766.304347826099</c:v>
                </c:pt>
                <c:pt idx="281">
                  <c:v>26970.108695652187</c:v>
                </c:pt>
                <c:pt idx="282">
                  <c:v>27038.043478260883</c:v>
                </c:pt>
                <c:pt idx="283">
                  <c:v>27105.978260869579</c:v>
                </c:pt>
                <c:pt idx="284">
                  <c:v>27173.913043478275</c:v>
                </c:pt>
                <c:pt idx="285">
                  <c:v>27241.847826086971</c:v>
                </c:pt>
                <c:pt idx="286">
                  <c:v>27445.652173913059</c:v>
                </c:pt>
                <c:pt idx="287">
                  <c:v>27513.586956521754</c:v>
                </c:pt>
                <c:pt idx="288">
                  <c:v>27581.52173913045</c:v>
                </c:pt>
                <c:pt idx="289">
                  <c:v>27649.456521739146</c:v>
                </c:pt>
                <c:pt idx="290">
                  <c:v>27717.391304347842</c:v>
                </c:pt>
                <c:pt idx="291">
                  <c:v>27921.19565217393</c:v>
                </c:pt>
                <c:pt idx="292">
                  <c:v>27989.130434782626</c:v>
                </c:pt>
                <c:pt idx="293">
                  <c:v>28057.065217391322</c:v>
                </c:pt>
                <c:pt idx="294">
                  <c:v>28125.000000000018</c:v>
                </c:pt>
                <c:pt idx="295">
                  <c:v>28192.934782608714</c:v>
                </c:pt>
                <c:pt idx="296">
                  <c:v>28396.739130434802</c:v>
                </c:pt>
                <c:pt idx="297">
                  <c:v>28464.673913043498</c:v>
                </c:pt>
                <c:pt idx="298">
                  <c:v>28532.608695652194</c:v>
                </c:pt>
                <c:pt idx="299">
                  <c:v>28600.54347826089</c:v>
                </c:pt>
                <c:pt idx="300">
                  <c:v>28668.478260869586</c:v>
                </c:pt>
                <c:pt idx="301">
                  <c:v>28872.282608695674</c:v>
                </c:pt>
                <c:pt idx="302">
                  <c:v>28940.21739130437</c:v>
                </c:pt>
                <c:pt idx="303">
                  <c:v>29008.152173913066</c:v>
                </c:pt>
                <c:pt idx="304">
                  <c:v>29076.086956521762</c:v>
                </c:pt>
                <c:pt idx="305">
                  <c:v>29144.021739130458</c:v>
                </c:pt>
                <c:pt idx="306">
                  <c:v>29347.826086956546</c:v>
                </c:pt>
                <c:pt idx="307">
                  <c:v>29415.760869565242</c:v>
                </c:pt>
                <c:pt idx="308">
                  <c:v>29483.695652173938</c:v>
                </c:pt>
                <c:pt idx="309">
                  <c:v>29551.630434782634</c:v>
                </c:pt>
                <c:pt idx="310">
                  <c:v>29619.565217391329</c:v>
                </c:pt>
                <c:pt idx="311">
                  <c:v>29823.369565217414</c:v>
                </c:pt>
                <c:pt idx="312">
                  <c:v>29891.30434782611</c:v>
                </c:pt>
                <c:pt idx="313">
                  <c:v>29959.239130434806</c:v>
                </c:pt>
                <c:pt idx="314">
                  <c:v>30027.173913043502</c:v>
                </c:pt>
                <c:pt idx="315">
                  <c:v>30095.108695652198</c:v>
                </c:pt>
                <c:pt idx="316">
                  <c:v>30298.913043478286</c:v>
                </c:pt>
                <c:pt idx="317">
                  <c:v>30366.847826086982</c:v>
                </c:pt>
                <c:pt idx="318">
                  <c:v>30434.782608695674</c:v>
                </c:pt>
                <c:pt idx="319">
                  <c:v>30502.71739130437</c:v>
                </c:pt>
                <c:pt idx="320">
                  <c:v>30570.652173913066</c:v>
                </c:pt>
                <c:pt idx="321">
                  <c:v>30774.45652173915</c:v>
                </c:pt>
                <c:pt idx="322">
                  <c:v>30842.391304347846</c:v>
                </c:pt>
                <c:pt idx="323">
                  <c:v>30910.326086956542</c:v>
                </c:pt>
                <c:pt idx="324">
                  <c:v>30978.260869565238</c:v>
                </c:pt>
                <c:pt idx="325">
                  <c:v>31046.195652173934</c:v>
                </c:pt>
                <c:pt idx="326">
                  <c:v>31250.000000000022</c:v>
                </c:pt>
                <c:pt idx="327">
                  <c:v>31317.934782608718</c:v>
                </c:pt>
                <c:pt idx="328">
                  <c:v>31385.869565217414</c:v>
                </c:pt>
                <c:pt idx="329">
                  <c:v>31453.80434782611</c:v>
                </c:pt>
                <c:pt idx="330">
                  <c:v>31521.739130434806</c:v>
                </c:pt>
                <c:pt idx="331">
                  <c:v>31725.543478260894</c:v>
                </c:pt>
                <c:pt idx="332">
                  <c:v>31793.47826086959</c:v>
                </c:pt>
                <c:pt idx="333">
                  <c:v>31861.413043478286</c:v>
                </c:pt>
                <c:pt idx="334">
                  <c:v>31929.347826086982</c:v>
                </c:pt>
                <c:pt idx="335">
                  <c:v>31997.282608695674</c:v>
                </c:pt>
                <c:pt idx="336">
                  <c:v>32201.086956521762</c:v>
                </c:pt>
                <c:pt idx="337">
                  <c:v>32269.021739130458</c:v>
                </c:pt>
                <c:pt idx="338">
                  <c:v>32336.956521739154</c:v>
                </c:pt>
                <c:pt idx="339">
                  <c:v>32404.891304347846</c:v>
                </c:pt>
                <c:pt idx="340">
                  <c:v>32472.826086956542</c:v>
                </c:pt>
                <c:pt idx="341">
                  <c:v>32676.63043478263</c:v>
                </c:pt>
                <c:pt idx="342">
                  <c:v>32744.565217391326</c:v>
                </c:pt>
                <c:pt idx="343">
                  <c:v>32812.500000000022</c:v>
                </c:pt>
                <c:pt idx="344">
                  <c:v>32880.434782608718</c:v>
                </c:pt>
                <c:pt idx="345">
                  <c:v>32948.369565217414</c:v>
                </c:pt>
                <c:pt idx="346">
                  <c:v>33152.173913043502</c:v>
                </c:pt>
                <c:pt idx="347">
                  <c:v>33220.108695652198</c:v>
                </c:pt>
                <c:pt idx="348">
                  <c:v>33288.043478260894</c:v>
                </c:pt>
                <c:pt idx="349">
                  <c:v>33355.97826086959</c:v>
                </c:pt>
                <c:pt idx="350">
                  <c:v>33423.913043478286</c:v>
                </c:pt>
                <c:pt idx="351">
                  <c:v>33627.717391304373</c:v>
                </c:pt>
                <c:pt idx="352">
                  <c:v>33695.652173913069</c:v>
                </c:pt>
                <c:pt idx="353">
                  <c:v>33763.586956521765</c:v>
                </c:pt>
                <c:pt idx="354">
                  <c:v>33831.521739130461</c:v>
                </c:pt>
                <c:pt idx="355">
                  <c:v>33899.456521739157</c:v>
                </c:pt>
                <c:pt idx="356">
                  <c:v>34103.260869565245</c:v>
                </c:pt>
                <c:pt idx="357">
                  <c:v>34171.195652173941</c:v>
                </c:pt>
                <c:pt idx="358">
                  <c:v>34239.130434782637</c:v>
                </c:pt>
                <c:pt idx="359">
                  <c:v>34307.065217391333</c:v>
                </c:pt>
                <c:pt idx="360">
                  <c:v>34375.000000000029</c:v>
                </c:pt>
                <c:pt idx="361">
                  <c:v>34578.804347826117</c:v>
                </c:pt>
                <c:pt idx="362">
                  <c:v>34646.739130434813</c:v>
                </c:pt>
                <c:pt idx="363">
                  <c:v>34714.673913043509</c:v>
                </c:pt>
                <c:pt idx="364">
                  <c:v>34782.608695652205</c:v>
                </c:pt>
                <c:pt idx="365">
                  <c:v>34850.543478260901</c:v>
                </c:pt>
                <c:pt idx="366">
                  <c:v>35054.347826086989</c:v>
                </c:pt>
                <c:pt idx="367">
                  <c:v>35122.282608695685</c:v>
                </c:pt>
                <c:pt idx="368">
                  <c:v>35190.217391304381</c:v>
                </c:pt>
                <c:pt idx="369">
                  <c:v>35258.152173913077</c:v>
                </c:pt>
                <c:pt idx="370">
                  <c:v>35326.086956521773</c:v>
                </c:pt>
                <c:pt idx="371">
                  <c:v>35529.891304347861</c:v>
                </c:pt>
                <c:pt idx="372">
                  <c:v>35597.826086956557</c:v>
                </c:pt>
                <c:pt idx="373">
                  <c:v>35665.760869565253</c:v>
                </c:pt>
                <c:pt idx="374">
                  <c:v>35733.695652173948</c:v>
                </c:pt>
                <c:pt idx="375">
                  <c:v>35801.630434782644</c:v>
                </c:pt>
                <c:pt idx="376">
                  <c:v>36005.434782608732</c:v>
                </c:pt>
                <c:pt idx="377">
                  <c:v>36073.369565217428</c:v>
                </c:pt>
                <c:pt idx="378">
                  <c:v>36141.304347826124</c:v>
                </c:pt>
                <c:pt idx="379">
                  <c:v>36209.23913043482</c:v>
                </c:pt>
                <c:pt idx="380">
                  <c:v>36277.173913043516</c:v>
                </c:pt>
                <c:pt idx="381">
                  <c:v>36480.978260869604</c:v>
                </c:pt>
                <c:pt idx="382">
                  <c:v>36550.039034350266</c:v>
                </c:pt>
                <c:pt idx="383">
                  <c:v>36619.099807830928</c:v>
                </c:pt>
                <c:pt idx="384">
                  <c:v>36688.160581311589</c:v>
                </c:pt>
                <c:pt idx="385">
                  <c:v>36757.221354792251</c:v>
                </c:pt>
                <c:pt idx="386">
                  <c:v>36964.403675234244</c:v>
                </c:pt>
                <c:pt idx="387">
                  <c:v>37033.464448714905</c:v>
                </c:pt>
                <c:pt idx="388">
                  <c:v>37102.525222195567</c:v>
                </c:pt>
                <c:pt idx="389">
                  <c:v>37171.585995676229</c:v>
                </c:pt>
                <c:pt idx="390">
                  <c:v>37240.646769156891</c:v>
                </c:pt>
                <c:pt idx="391">
                  <c:v>37447.829089598883</c:v>
                </c:pt>
                <c:pt idx="392">
                  <c:v>37516.889863079545</c:v>
                </c:pt>
                <c:pt idx="393">
                  <c:v>37585.950636560206</c:v>
                </c:pt>
                <c:pt idx="394">
                  <c:v>37655.011410040868</c:v>
                </c:pt>
                <c:pt idx="395">
                  <c:v>37724.07218352153</c:v>
                </c:pt>
                <c:pt idx="396">
                  <c:v>37931.254503963522</c:v>
                </c:pt>
                <c:pt idx="397">
                  <c:v>38000.315277444184</c:v>
                </c:pt>
                <c:pt idx="398">
                  <c:v>38069.376050924846</c:v>
                </c:pt>
                <c:pt idx="399">
                  <c:v>38138.436824405508</c:v>
                </c:pt>
                <c:pt idx="400">
                  <c:v>38207.497597886169</c:v>
                </c:pt>
                <c:pt idx="401">
                  <c:v>38414.679918328162</c:v>
                </c:pt>
                <c:pt idx="402">
                  <c:v>38483.740691808824</c:v>
                </c:pt>
                <c:pt idx="403">
                  <c:v>38552.801465289485</c:v>
                </c:pt>
                <c:pt idx="404">
                  <c:v>38621.862238770147</c:v>
                </c:pt>
                <c:pt idx="405">
                  <c:v>38690.923012250809</c:v>
                </c:pt>
                <c:pt idx="406">
                  <c:v>38898.105332692801</c:v>
                </c:pt>
                <c:pt idx="407">
                  <c:v>38967.166106173463</c:v>
                </c:pt>
                <c:pt idx="408">
                  <c:v>39036.226879654125</c:v>
                </c:pt>
                <c:pt idx="409">
                  <c:v>39105.287653134787</c:v>
                </c:pt>
                <c:pt idx="410">
                  <c:v>39174.348426615448</c:v>
                </c:pt>
                <c:pt idx="411">
                  <c:v>39381.530747057433</c:v>
                </c:pt>
                <c:pt idx="412">
                  <c:v>39450.591520538095</c:v>
                </c:pt>
                <c:pt idx="413">
                  <c:v>39519.652294018757</c:v>
                </c:pt>
                <c:pt idx="414">
                  <c:v>39588.713067499419</c:v>
                </c:pt>
                <c:pt idx="415">
                  <c:v>39657.77384098008</c:v>
                </c:pt>
                <c:pt idx="416">
                  <c:v>39864.956161422066</c:v>
                </c:pt>
                <c:pt idx="417">
                  <c:v>39934.016934902727</c:v>
                </c:pt>
                <c:pt idx="418">
                  <c:v>40003.077708383389</c:v>
                </c:pt>
                <c:pt idx="419">
                  <c:v>40072.138481864051</c:v>
                </c:pt>
                <c:pt idx="420">
                  <c:v>40141.199255344713</c:v>
                </c:pt>
                <c:pt idx="421">
                  <c:v>40348.381575786705</c:v>
                </c:pt>
                <c:pt idx="422">
                  <c:v>40417.442349267367</c:v>
                </c:pt>
                <c:pt idx="423">
                  <c:v>40486.503122748029</c:v>
                </c:pt>
                <c:pt idx="424">
                  <c:v>40555.56389622869</c:v>
                </c:pt>
                <c:pt idx="425">
                  <c:v>40624.624669709352</c:v>
                </c:pt>
                <c:pt idx="426">
                  <c:v>40831.806990151345</c:v>
                </c:pt>
                <c:pt idx="427">
                  <c:v>40900.867763632006</c:v>
                </c:pt>
                <c:pt idx="428">
                  <c:v>40969.928537112668</c:v>
                </c:pt>
                <c:pt idx="429">
                  <c:v>41038.98931059333</c:v>
                </c:pt>
                <c:pt idx="430">
                  <c:v>41108.050084073991</c:v>
                </c:pt>
                <c:pt idx="431">
                  <c:v>41315.232404515984</c:v>
                </c:pt>
                <c:pt idx="432">
                  <c:v>41384.293177996646</c:v>
                </c:pt>
                <c:pt idx="433">
                  <c:v>41453.353951477307</c:v>
                </c:pt>
                <c:pt idx="434">
                  <c:v>41522.414724957969</c:v>
                </c:pt>
                <c:pt idx="435">
                  <c:v>41591.475498438631</c:v>
                </c:pt>
                <c:pt idx="436">
                  <c:v>41798.657818880623</c:v>
                </c:pt>
                <c:pt idx="437">
                  <c:v>41867.718592361285</c:v>
                </c:pt>
                <c:pt idx="438">
                  <c:v>41936.779365841947</c:v>
                </c:pt>
                <c:pt idx="439">
                  <c:v>42005.840139322609</c:v>
                </c:pt>
                <c:pt idx="440">
                  <c:v>42074.90091280327</c:v>
                </c:pt>
                <c:pt idx="441">
                  <c:v>42282.083233245256</c:v>
                </c:pt>
                <c:pt idx="442">
                  <c:v>42351.144006725917</c:v>
                </c:pt>
                <c:pt idx="443">
                  <c:v>42420.204780206579</c:v>
                </c:pt>
                <c:pt idx="444">
                  <c:v>42489.265553687241</c:v>
                </c:pt>
                <c:pt idx="445">
                  <c:v>42558.326327167902</c:v>
                </c:pt>
                <c:pt idx="446">
                  <c:v>42765.508647609895</c:v>
                </c:pt>
                <c:pt idx="447">
                  <c:v>42834.569421090557</c:v>
                </c:pt>
                <c:pt idx="448">
                  <c:v>42903.630194571218</c:v>
                </c:pt>
                <c:pt idx="449">
                  <c:v>42972.69096805188</c:v>
                </c:pt>
                <c:pt idx="450">
                  <c:v>43041.751741532542</c:v>
                </c:pt>
                <c:pt idx="451">
                  <c:v>43248.934061974527</c:v>
                </c:pt>
                <c:pt idx="452">
                  <c:v>43317.994835455189</c:v>
                </c:pt>
                <c:pt idx="453">
                  <c:v>43387.055608935851</c:v>
                </c:pt>
                <c:pt idx="454">
                  <c:v>43456.116382416512</c:v>
                </c:pt>
                <c:pt idx="455">
                  <c:v>43525.177155897174</c:v>
                </c:pt>
                <c:pt idx="456">
                  <c:v>43732.359476339159</c:v>
                </c:pt>
                <c:pt idx="457">
                  <c:v>43801.420249819821</c:v>
                </c:pt>
                <c:pt idx="458">
                  <c:v>43870.481023300483</c:v>
                </c:pt>
                <c:pt idx="459">
                  <c:v>43939.541796781145</c:v>
                </c:pt>
                <c:pt idx="460">
                  <c:v>44008.602570261806</c:v>
                </c:pt>
                <c:pt idx="461">
                  <c:v>44215.784890703799</c:v>
                </c:pt>
                <c:pt idx="462">
                  <c:v>44284.84566418446</c:v>
                </c:pt>
                <c:pt idx="463">
                  <c:v>44353.906437665122</c:v>
                </c:pt>
                <c:pt idx="464">
                  <c:v>44422.967211145784</c:v>
                </c:pt>
                <c:pt idx="465">
                  <c:v>44492.027984626446</c:v>
                </c:pt>
                <c:pt idx="466">
                  <c:v>44699.210305068431</c:v>
                </c:pt>
                <c:pt idx="467">
                  <c:v>44768.271078549093</c:v>
                </c:pt>
                <c:pt idx="468">
                  <c:v>44837.331852029754</c:v>
                </c:pt>
                <c:pt idx="469">
                  <c:v>44906.392625510416</c:v>
                </c:pt>
                <c:pt idx="470">
                  <c:v>44975.453398991078</c:v>
                </c:pt>
                <c:pt idx="471">
                  <c:v>45182.635719433063</c:v>
                </c:pt>
                <c:pt idx="472">
                  <c:v>45251.696492913725</c:v>
                </c:pt>
                <c:pt idx="473">
                  <c:v>45320.757266394387</c:v>
                </c:pt>
                <c:pt idx="474">
                  <c:v>45389.818039875048</c:v>
                </c:pt>
                <c:pt idx="475">
                  <c:v>45458.87881335571</c:v>
                </c:pt>
                <c:pt idx="476">
                  <c:v>45666.061133797702</c:v>
                </c:pt>
                <c:pt idx="477">
                  <c:v>45735.121907278364</c:v>
                </c:pt>
                <c:pt idx="478">
                  <c:v>45804.182680759026</c:v>
                </c:pt>
                <c:pt idx="479">
                  <c:v>45873.243454239688</c:v>
                </c:pt>
                <c:pt idx="480">
                  <c:v>45942.304227720349</c:v>
                </c:pt>
                <c:pt idx="481">
                  <c:v>46149.486548162342</c:v>
                </c:pt>
                <c:pt idx="482">
                  <c:v>46218.547321643004</c:v>
                </c:pt>
                <c:pt idx="483">
                  <c:v>46287.608095123665</c:v>
                </c:pt>
                <c:pt idx="484">
                  <c:v>46356.668868604327</c:v>
                </c:pt>
                <c:pt idx="485">
                  <c:v>46425.729642084989</c:v>
                </c:pt>
                <c:pt idx="486">
                  <c:v>46632.911962526981</c:v>
                </c:pt>
                <c:pt idx="487">
                  <c:v>46701.972736007643</c:v>
                </c:pt>
                <c:pt idx="488">
                  <c:v>46771.033509488305</c:v>
                </c:pt>
                <c:pt idx="489">
                  <c:v>46840.094282968967</c:v>
                </c:pt>
                <c:pt idx="490">
                  <c:v>46909.155056449628</c:v>
                </c:pt>
                <c:pt idx="491">
                  <c:v>47116.337376891621</c:v>
                </c:pt>
                <c:pt idx="492">
                  <c:v>47185.398150372283</c:v>
                </c:pt>
                <c:pt idx="493">
                  <c:v>47254.458923852944</c:v>
                </c:pt>
                <c:pt idx="494">
                  <c:v>47323.519697333606</c:v>
                </c:pt>
                <c:pt idx="495">
                  <c:v>47392.580470814268</c:v>
                </c:pt>
                <c:pt idx="496">
                  <c:v>47599.76279125626</c:v>
                </c:pt>
                <c:pt idx="497">
                  <c:v>47668.823564736922</c:v>
                </c:pt>
                <c:pt idx="498">
                  <c:v>47737.884338217584</c:v>
                </c:pt>
                <c:pt idx="499">
                  <c:v>47806.945111698245</c:v>
                </c:pt>
                <c:pt idx="500">
                  <c:v>47876.005885178907</c:v>
                </c:pt>
                <c:pt idx="501">
                  <c:v>48083.188205620892</c:v>
                </c:pt>
                <c:pt idx="502">
                  <c:v>48152.248979101554</c:v>
                </c:pt>
                <c:pt idx="503">
                  <c:v>48221.309752582216</c:v>
                </c:pt>
                <c:pt idx="504">
                  <c:v>48290.370526062878</c:v>
                </c:pt>
                <c:pt idx="505">
                  <c:v>48359.431299543539</c:v>
                </c:pt>
                <c:pt idx="506">
                  <c:v>48566.613619985532</c:v>
                </c:pt>
                <c:pt idx="507">
                  <c:v>48635.674393466194</c:v>
                </c:pt>
                <c:pt idx="508">
                  <c:v>48704.735166946855</c:v>
                </c:pt>
                <c:pt idx="509">
                  <c:v>48773.795940427517</c:v>
                </c:pt>
                <c:pt idx="510">
                  <c:v>48842.856713908179</c:v>
                </c:pt>
                <c:pt idx="511">
                  <c:v>48980.978260869502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75-4125-A644-3E19567A5F2C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Bond!$A$16:$A$527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Bond!$I$16:$I$527</c:f>
              <c:numCache>
                <c:formatCode>0.0</c:formatCode>
                <c:ptCount val="512"/>
                <c:pt idx="0">
                  <c:v>0</c:v>
                </c:pt>
                <c:pt idx="1">
                  <c:v>222.8234978305403</c:v>
                </c:pt>
                <c:pt idx="2">
                  <c:v>360.59390234649516</c:v>
                </c:pt>
                <c:pt idx="3">
                  <c:v>450.70875458737589</c:v>
                </c:pt>
                <c:pt idx="4">
                  <c:v>540.76301524061603</c:v>
                </c:pt>
                <c:pt idx="5">
                  <c:v>630.75666552756559</c:v>
                </c:pt>
                <c:pt idx="6">
                  <c:v>853.23022610019746</c:v>
                </c:pt>
                <c:pt idx="7">
                  <c:v>990.12478782543269</c:v>
                </c:pt>
                <c:pt idx="8">
                  <c:v>1079.8151049847356</c:v>
                </c:pt>
                <c:pt idx="9">
                  <c:v>1169.4446993340762</c:v>
                </c:pt>
                <c:pt idx="10">
                  <c:v>1259.0135521702637</c:v>
                </c:pt>
                <c:pt idx="11">
                  <c:v>1480.6641693657364</c:v>
                </c:pt>
                <c:pt idx="12">
                  <c:v>1616.6811746856151</c:v>
                </c:pt>
                <c:pt idx="13">
                  <c:v>1705.9460397765333</c:v>
                </c:pt>
                <c:pt idx="14">
                  <c:v>1795.1500513586955</c:v>
                </c:pt>
                <c:pt idx="15">
                  <c:v>1884.2931908025228</c:v>
                </c:pt>
                <c:pt idx="16">
                  <c:v>2105.1189121345215</c:v>
                </c:pt>
                <c:pt idx="17">
                  <c:v>2240.2566549974244</c:v>
                </c:pt>
                <c:pt idx="18">
                  <c:v>2329.0951546951464</c:v>
                </c:pt>
                <c:pt idx="19">
                  <c:v>2417.872670707568</c:v>
                </c:pt>
                <c:pt idx="20">
                  <c:v>2506.5891844814214</c:v>
                </c:pt>
                <c:pt idx="21">
                  <c:v>2726.5880645460379</c:v>
                </c:pt>
                <c:pt idx="22">
                  <c:v>2860.8448464920675</c:v>
                </c:pt>
                <c:pt idx="23">
                  <c:v>2949.2560711428723</c:v>
                </c:pt>
                <c:pt idx="24">
                  <c:v>3037.6061824600488</c:v>
                </c:pt>
                <c:pt idx="25">
                  <c:v>3125.8951619639424</c:v>
                </c:pt>
                <c:pt idx="26">
                  <c:v>3345.065262471363</c:v>
                </c:pt>
                <c:pt idx="27">
                  <c:v>3478.4393926628973</c:v>
                </c:pt>
                <c:pt idx="28">
                  <c:v>3566.4224363054705</c:v>
                </c:pt>
                <c:pt idx="29">
                  <c:v>3654.3442374926003</c:v>
                </c:pt>
                <c:pt idx="30">
                  <c:v>3742.2047778210854</c:v>
                </c:pt>
                <c:pt idx="31">
                  <c:v>3960.5441676262881</c:v>
                </c:pt>
                <c:pt idx="32">
                  <c:v>4093.0339628759784</c:v>
                </c:pt>
                <c:pt idx="33">
                  <c:v>4180.5879232505058</c:v>
                </c:pt>
                <c:pt idx="34">
                  <c:v>4268.0805125794031</c:v>
                </c:pt>
                <c:pt idx="35">
                  <c:v>4355.5117125349279</c:v>
                </c:pt>
                <c:pt idx="36">
                  <c:v>4573.0184676699409</c:v>
                </c:pt>
                <c:pt idx="37">
                  <c:v>4704.6222524701252</c:v>
                </c:pt>
                <c:pt idx="38">
                  <c:v>4791.7462310394703</c:v>
                </c:pt>
                <c:pt idx="39">
                  <c:v>4878.8087105040559</c:v>
                </c:pt>
                <c:pt idx="40">
                  <c:v>4965.8096726130225</c:v>
                </c:pt>
                <c:pt idx="41">
                  <c:v>5182.4818763162002</c:v>
                </c:pt>
                <c:pt idx="42">
                  <c:v>5313.1979828696003</c:v>
                </c:pt>
                <c:pt idx="43">
                  <c:v>5399.8910848271153</c:v>
                </c:pt>
                <c:pt idx="44">
                  <c:v>5486.5225601570601</c:v>
                </c:pt>
                <c:pt idx="45">
                  <c:v>5573.0923906846047</c:v>
                </c:pt>
                <c:pt idx="46">
                  <c:v>5788.9281334335919</c:v>
                </c:pt>
                <c:pt idx="47">
                  <c:v>5918.7549016791781</c:v>
                </c:pt>
                <c:pt idx="48">
                  <c:v>6005.0162359713049</c:v>
                </c:pt>
                <c:pt idx="49">
                  <c:v>6091.2158166483723</c:v>
                </c:pt>
                <c:pt idx="50">
                  <c:v>6177.3536256134284</c:v>
                </c:pt>
                <c:pt idx="51">
                  <c:v>6392.3510051537287</c:v>
                </c:pt>
                <c:pt idx="52">
                  <c:v>6521.2867827981217</c:v>
                </c:pt>
                <c:pt idx="53">
                  <c:v>6607.1154621322012</c:v>
                </c:pt>
                <c:pt idx="54">
                  <c:v>6692.8822614046003</c:v>
                </c:pt>
                <c:pt idx="55">
                  <c:v>6778.5871625939672</c:v>
                </c:pt>
                <c:pt idx="56">
                  <c:v>6992.7442839716277</c:v>
                </c:pt>
                <c:pt idx="57">
                  <c:v>7120.7874265161063</c:v>
                </c:pt>
                <c:pt idx="58">
                  <c:v>7206.1825673821268</c:v>
                </c:pt>
                <c:pt idx="59">
                  <c:v>7291.5157022787198</c:v>
                </c:pt>
                <c:pt idx="60">
                  <c:v>7376.7868132631202</c:v>
                </c:pt>
                <c:pt idx="61">
                  <c:v>7590.1017888545739</c:v>
                </c:pt>
                <c:pt idx="62">
                  <c:v>7717.2506596246239</c:v>
                </c:pt>
                <c:pt idx="63">
                  <c:v>7802.2113823024647</c:v>
                </c:pt>
                <c:pt idx="64">
                  <c:v>7887.1099736482638</c:v>
                </c:pt>
                <c:pt idx="65">
                  <c:v>7971.9464157964176</c:v>
                </c:pt>
                <c:pt idx="66">
                  <c:v>8184.4173653384623</c:v>
                </c:pt>
                <c:pt idx="67">
                  <c:v>8310.6703355123482</c:v>
                </c:pt>
                <c:pt idx="68">
                  <c:v>8395.1957640940982</c:v>
                </c:pt>
                <c:pt idx="69">
                  <c:v>8479.6589365247528</c:v>
                </c:pt>
                <c:pt idx="70">
                  <c:v>8564.0598350175733</c:v>
                </c:pt>
                <c:pt idx="71">
                  <c:v>8775.6848856389333</c:v>
                </c:pt>
                <c:pt idx="72">
                  <c:v>8901.0403342749851</c:v>
                </c:pt>
                <c:pt idx="73">
                  <c:v>8985.1295966728867</c:v>
                </c:pt>
                <c:pt idx="74">
                  <c:v>9069.1564786496074</c:v>
                </c:pt>
                <c:pt idx="75">
                  <c:v>9153.1209624964285</c:v>
                </c:pt>
                <c:pt idx="76">
                  <c:v>9363.8982487465855</c:v>
                </c:pt>
                <c:pt idx="77">
                  <c:v>9488.3545628124575</c:v>
                </c:pt>
                <c:pt idx="78">
                  <c:v>9572.0067907792472</c:v>
                </c:pt>
                <c:pt idx="79">
                  <c:v>9655.5965146031613</c:v>
                </c:pt>
                <c:pt idx="80">
                  <c:v>9739.1237166543524</c:v>
                </c:pt>
                <c:pt idx="81">
                  <c:v>9949.0513805356786</c:v>
                </c:pt>
                <c:pt idx="82">
                  <c:v>10072.6069549358</c:v>
                </c:pt>
                <c:pt idx="83">
                  <c:v>10155.821284074349</c:v>
                </c:pt>
                <c:pt idx="84">
                  <c:v>10238.972985900851</c:v>
                </c:pt>
                <c:pt idx="85">
                  <c:v>10322.062042863623</c:v>
                </c:pt>
                <c:pt idx="86">
                  <c:v>10531.138233859787</c:v>
                </c:pt>
                <c:pt idx="87">
                  <c:v>10653.79147146419</c:v>
                </c:pt>
                <c:pt idx="88">
                  <c:v>10736.56704124671</c:v>
                </c:pt>
                <c:pt idx="89">
                  <c:v>10819.27986109996</c:v>
                </c:pt>
                <c:pt idx="90">
                  <c:v>10901.929913552971</c:v>
                </c:pt>
                <c:pt idx="91">
                  <c:v>11110.152788659367</c:v>
                </c:pt>
                <c:pt idx="92">
                  <c:v>11231.902100331123</c:v>
                </c:pt>
                <c:pt idx="93">
                  <c:v>11314.238054108675</c:v>
                </c:pt>
                <c:pt idx="94">
                  <c:v>11396.511135897083</c:v>
                </c:pt>
                <c:pt idx="95">
                  <c:v>11478.721328304109</c:v>
                </c:pt>
                <c:pt idx="96">
                  <c:v>11686.089052058105</c:v>
                </c:pt>
                <c:pt idx="97">
                  <c:v>11806.932856680323</c:v>
                </c:pt>
                <c:pt idx="98">
                  <c:v>11888.828341702434</c:v>
                </c:pt>
                <c:pt idx="99">
                  <c:v>11970.660833231881</c:v>
                </c:pt>
                <c:pt idx="100">
                  <c:v>12052.430313956716</c:v>
                </c:pt>
                <c:pt idx="101">
                  <c:v>12258.941058467381</c:v>
                </c:pt>
                <c:pt idx="102">
                  <c:v>12378.877782972908</c:v>
                </c:pt>
                <c:pt idx="103">
                  <c:v>12460.33195039609</c:v>
                </c:pt>
                <c:pt idx="104">
                  <c:v>12541.723003384563</c:v>
                </c:pt>
                <c:pt idx="105">
                  <c:v>12623.050924705107</c:v>
                </c:pt>
                <c:pt idx="106">
                  <c:v>12828.702869683017</c:v>
                </c:pt>
                <c:pt idx="107">
                  <c:v>12947.730949079738</c:v>
                </c:pt>
                <c:pt idx="108">
                  <c:v>13028.742953988247</c:v>
                </c:pt>
                <c:pt idx="109">
                  <c:v>13109.691724079905</c:v>
                </c:pt>
                <c:pt idx="110">
                  <c:v>13190.57724220321</c:v>
                </c:pt>
                <c:pt idx="111">
                  <c:v>13395.368574988905</c:v>
                </c:pt>
                <c:pt idx="112">
                  <c:v>13513.486452389008</c:v>
                </c:pt>
                <c:pt idx="113">
                  <c:v>13594.055453803077</c:v>
                </c:pt>
                <c:pt idx="114">
                  <c:v>13674.561100583182</c:v>
                </c:pt>
                <c:pt idx="115">
                  <c:v>13755.003375658103</c:v>
                </c:pt>
                <c:pt idx="116">
                  <c:v>13958.932291253055</c:v>
                </c:pt>
                <c:pt idx="117">
                  <c:v>14076.138417899188</c:v>
                </c:pt>
                <c:pt idx="118">
                  <c:v>14156.263578793934</c:v>
                </c:pt>
                <c:pt idx="119">
                  <c:v>14236.325265802619</c:v>
                </c:pt>
                <c:pt idx="120">
                  <c:v>14316.323461935604</c:v>
                </c:pt>
                <c:pt idx="121">
                  <c:v>14544.824683824696</c:v>
                </c:pt>
                <c:pt idx="122">
                  <c:v>14661.48397315611</c:v>
                </c:pt>
                <c:pt idx="123">
                  <c:v>14741.25847239525</c:v>
                </c:pt>
                <c:pt idx="124">
                  <c:v>14820.970233501264</c:v>
                </c:pt>
                <c:pt idx="125">
                  <c:v>14900.619239708474</c:v>
                </c:pt>
                <c:pt idx="126">
                  <c:v>15102.830567056668</c:v>
                </c:pt>
                <c:pt idx="127">
                  <c:v>15218.587380642321</c:v>
                </c:pt>
                <c:pt idx="128">
                  <c:v>15297.922361276269</c:v>
                </c:pt>
                <c:pt idx="129">
                  <c:v>15377.194486660324</c:v>
                </c:pt>
                <c:pt idx="130">
                  <c:v>15456.403740109805</c:v>
                </c:pt>
                <c:pt idx="131">
                  <c:v>15657.758876536815</c:v>
                </c:pt>
                <c:pt idx="132">
                  <c:v>15772.611701263588</c:v>
                </c:pt>
                <c:pt idx="133">
                  <c:v>15851.506345167614</c:v>
                </c:pt>
                <c:pt idx="134">
                  <c:v>15930.338017269432</c:v>
                </c:pt>
                <c:pt idx="135">
                  <c:v>16009.106700964798</c:v>
                </c:pt>
                <c:pt idx="136">
                  <c:v>16209.603889123076</c:v>
                </c:pt>
                <c:pt idx="137">
                  <c:v>16323.551219996654</c:v>
                </c:pt>
                <c:pt idx="138">
                  <c:v>16402.004712998489</c:v>
                </c:pt>
                <c:pt idx="139">
                  <c:v>16480.395118210541</c:v>
                </c:pt>
                <c:pt idx="140">
                  <c:v>16558.722419109708</c:v>
                </c:pt>
                <c:pt idx="141">
                  <c:v>16758.359909345327</c:v>
                </c:pt>
                <c:pt idx="142">
                  <c:v>16871.40024951634</c:v>
                </c:pt>
                <c:pt idx="143">
                  <c:v>16949.41178140599</c:v>
                </c:pt>
                <c:pt idx="144">
                  <c:v>17027.360110086996</c:v>
                </c:pt>
                <c:pt idx="145">
                  <c:v>17105.245219116696</c:v>
                </c:pt>
                <c:pt idx="146">
                  <c:v>17304.021269495759</c:v>
                </c:pt>
                <c:pt idx="147">
                  <c:v>17416.153130286377</c:v>
                </c:pt>
                <c:pt idx="148">
                  <c:v>17493.721894834729</c:v>
                </c:pt>
                <c:pt idx="149">
                  <c:v>17571.227341323589</c:v>
                </c:pt>
                <c:pt idx="150">
                  <c:v>17648.669453392147</c:v>
                </c:pt>
                <c:pt idx="151">
                  <c:v>17846.58232973166</c:v>
                </c:pt>
                <c:pt idx="152">
                  <c:v>17957.804230661575</c:v>
                </c:pt>
                <c:pt idx="153">
                  <c:v>18034.929425628645</c:v>
                </c:pt>
                <c:pt idx="154">
                  <c:v>18111.991188257791</c:v>
                </c:pt>
                <c:pt idx="155">
                  <c:v>18188.989502269484</c:v>
                </c:pt>
                <c:pt idx="156">
                  <c:v>18386.037478164333</c:v>
                </c:pt>
                <c:pt idx="157">
                  <c:v>18496.347946977334</c:v>
                </c:pt>
                <c:pt idx="158">
                  <c:v>18573.028774130609</c:v>
                </c:pt>
                <c:pt idx="159">
                  <c:v>18649.646055239795</c:v>
                </c:pt>
                <c:pt idx="160">
                  <c:v>18726.199774108209</c:v>
                </c:pt>
                <c:pt idx="161">
                  <c:v>18922.381130959719</c:v>
                </c:pt>
                <c:pt idx="162">
                  <c:v>19031.778703649583</c:v>
                </c:pt>
                <c:pt idx="163">
                  <c:v>19108.014368773089</c:v>
                </c:pt>
                <c:pt idx="164">
                  <c:v>19184.186374723024</c:v>
                </c:pt>
                <c:pt idx="165">
                  <c:v>19260.294705383985</c:v>
                </c:pt>
                <c:pt idx="166">
                  <c:v>19455.607732427514</c:v>
                </c:pt>
                <c:pt idx="167">
                  <c:v>19564.090953263978</c:v>
                </c:pt>
                <c:pt idx="168">
                  <c:v>19639.880666177218</c:v>
                </c:pt>
                <c:pt idx="169">
                  <c:v>19715.606607362504</c:v>
                </c:pt>
                <c:pt idx="170">
                  <c:v>19791.268760788862</c:v>
                </c:pt>
                <c:pt idx="171">
                  <c:v>19985.711755122189</c:v>
                </c:pt>
                <c:pt idx="172">
                  <c:v>20093.279176676275</c:v>
                </c:pt>
                <c:pt idx="173">
                  <c:v>20168.622151241441</c:v>
                </c:pt>
                <c:pt idx="174">
                  <c:v>20243.901242105363</c:v>
                </c:pt>
                <c:pt idx="175">
                  <c:v>20319.116433318486</c:v>
                </c:pt>
                <c:pt idx="176">
                  <c:v>20512.687699929844</c:v>
                </c:pt>
                <c:pt idx="177">
                  <c:v>20619.337883100405</c:v>
                </c:pt>
                <c:pt idx="178">
                  <c:v>20694.233337241156</c:v>
                </c:pt>
                <c:pt idx="179">
                  <c:v>20769.064796287166</c:v>
                </c:pt>
                <c:pt idx="180">
                  <c:v>20843.832244372315</c:v>
                </c:pt>
                <c:pt idx="181">
                  <c:v>21036.53009616736</c:v>
                </c:pt>
                <c:pt idx="182">
                  <c:v>21142.261610205976</c:v>
                </c:pt>
                <c:pt idx="183">
                  <c:v>21216.70876591681</c:v>
                </c:pt>
                <c:pt idx="184">
                  <c:v>21291.091815722772</c:v>
                </c:pt>
                <c:pt idx="185">
                  <c:v>21365.41074384101</c:v>
                </c:pt>
                <c:pt idx="186">
                  <c:v>21557.233501671544</c:v>
                </c:pt>
                <c:pt idx="187">
                  <c:v>21662.044924208079</c:v>
                </c:pt>
                <c:pt idx="188">
                  <c:v>21736.043007570683</c:v>
                </c:pt>
                <c:pt idx="189">
                  <c:v>21809.976874802345</c:v>
                </c:pt>
                <c:pt idx="190">
                  <c:v>21883.846510204487</c:v>
                </c:pt>
                <c:pt idx="191">
                  <c:v>22074.792502894605</c:v>
                </c:pt>
                <c:pt idx="192">
                  <c:v>22178.682419962937</c:v>
                </c:pt>
                <c:pt idx="193">
                  <c:v>22252.230661155834</c:v>
                </c:pt>
                <c:pt idx="194">
                  <c:v>22325.714576579634</c:v>
                </c:pt>
                <c:pt idx="195">
                  <c:v>22399.134150618731</c:v>
                </c:pt>
                <c:pt idx="196">
                  <c:v>22589.201714993658</c:v>
                </c:pt>
                <c:pt idx="197">
                  <c:v>22692.16872105571</c:v>
                </c:pt>
                <c:pt idx="198">
                  <c:v>22765.266354372194</c:v>
                </c:pt>
                <c:pt idx="199">
                  <c:v>22838.299552868179</c:v>
                </c:pt>
                <c:pt idx="200">
                  <c:v>22911.268301013326</c:v>
                </c:pt>
                <c:pt idx="201">
                  <c:v>23100.455781925011</c:v>
                </c:pt>
                <c:pt idx="202">
                  <c:v>23202.498479897862</c:v>
                </c:pt>
                <c:pt idx="203">
                  <c:v>23275.144743753066</c:v>
                </c:pt>
                <c:pt idx="204">
                  <c:v>23347.726464328545</c:v>
                </c:pt>
                <c:pt idx="205">
                  <c:v>23420.243626177515</c:v>
                </c:pt>
                <c:pt idx="206">
                  <c:v>23608.549376533607</c:v>
                </c:pt>
                <c:pt idx="207">
                  <c:v>23709.666377811976</c:v>
                </c:pt>
                <c:pt idx="208">
                  <c:v>23781.860514762244</c:v>
                </c:pt>
                <c:pt idx="209">
                  <c:v>23853.990000563859</c:v>
                </c:pt>
                <c:pt idx="210">
                  <c:v>23926.05481985617</c:v>
                </c:pt>
                <c:pt idx="211">
                  <c:v>24113.477200645044</c:v>
                </c:pt>
                <c:pt idx="212">
                  <c:v>24213.667125128708</c:v>
                </c:pt>
                <c:pt idx="213">
                  <c:v>24285.408381878362</c:v>
                </c:pt>
                <c:pt idx="214">
                  <c:v>24357.084880206028</c:v>
                </c:pt>
                <c:pt idx="215">
                  <c:v>24428.69660483575</c:v>
                </c:pt>
                <c:pt idx="216">
                  <c:v>24615.233985155483</c:v>
                </c:pt>
                <c:pt idx="217">
                  <c:v>24714.495461270999</c:v>
                </c:pt>
                <c:pt idx="218">
                  <c:v>24785.783088690998</c:v>
                </c:pt>
                <c:pt idx="219">
                  <c:v>24857.005851010821</c:v>
                </c:pt>
                <c:pt idx="220">
                  <c:v>24928.163733039495</c:v>
                </c:pt>
                <c:pt idx="221">
                  <c:v>25113.814490122604</c:v>
                </c:pt>
                <c:pt idx="222">
                  <c:v>25212.14615485063</c:v>
                </c:pt>
                <c:pt idx="223">
                  <c:v>25282.979407986084</c:v>
                </c:pt>
                <c:pt idx="224">
                  <c:v>25353.747689941454</c:v>
                </c:pt>
                <c:pt idx="225">
                  <c:v>25424.450985611176</c:v>
                </c:pt>
                <c:pt idx="226">
                  <c:v>25609.213504853033</c:v>
                </c:pt>
                <c:pt idx="227">
                  <c:v>25706.61400375118</c:v>
                </c:pt>
                <c:pt idx="228">
                  <c:v>25776.992141838695</c:v>
                </c:pt>
                <c:pt idx="229">
                  <c:v>25847.305203265198</c:v>
                </c:pt>
                <c:pt idx="230">
                  <c:v>25917.553173010965</c:v>
                </c:pt>
                <c:pt idx="231">
                  <c:v>26101.425847995379</c:v>
                </c:pt>
                <c:pt idx="232">
                  <c:v>26197.893835222803</c:v>
                </c:pt>
                <c:pt idx="233">
                  <c:v>26267.816121699274</c:v>
                </c:pt>
                <c:pt idx="234">
                  <c:v>26337.673226635798</c:v>
                </c:pt>
                <c:pt idx="235">
                  <c:v>26407.46513509818</c:v>
                </c:pt>
                <c:pt idx="236">
                  <c:v>26590.446367623685</c:v>
                </c:pt>
                <c:pt idx="237">
                  <c:v>26685.980505965377</c:v>
                </c:pt>
                <c:pt idx="238">
                  <c:v>26755.446208484365</c:v>
                </c:pt>
                <c:pt idx="239">
                  <c:v>26824.846625186707</c:v>
                </c:pt>
                <c:pt idx="240">
                  <c:v>26894.181741224616</c:v>
                </c:pt>
                <c:pt idx="241">
                  <c:v>27076.269941331622</c:v>
                </c:pt>
                <c:pt idx="242">
                  <c:v>27170.868902222461</c:v>
                </c:pt>
                <c:pt idx="243">
                  <c:v>27239.877292662968</c:v>
                </c:pt>
                <c:pt idx="244">
                  <c:v>27308.820293615376</c:v>
                </c:pt>
                <c:pt idx="245">
                  <c:v>27377.697890318865</c:v>
                </c:pt>
                <c:pt idx="246">
                  <c:v>27558.891476314649</c:v>
                </c:pt>
                <c:pt idx="247">
                  <c:v>27652.553939863377</c:v>
                </c:pt>
                <c:pt idx="248">
                  <c:v>27721.104294345212</c:v>
                </c:pt>
                <c:pt idx="249">
                  <c:v>27789.58915627444</c:v>
                </c:pt>
                <c:pt idx="250">
                  <c:v>27858.008510976782</c:v>
                </c:pt>
                <c:pt idx="251">
                  <c:v>28060.83774665176</c:v>
                </c:pt>
                <c:pt idx="252">
                  <c:v>28152.323130270415</c:v>
                </c:pt>
                <c:pt idx="253">
                  <c:v>28219.036694300405</c:v>
                </c:pt>
                <c:pt idx="254">
                  <c:v>28285.685506138449</c:v>
                </c:pt>
                <c:pt idx="255">
                  <c:v>28352.269551334804</c:v>
                </c:pt>
                <c:pt idx="256">
                  <c:v>28527.399414162046</c:v>
                </c:pt>
                <c:pt idx="257">
                  <c:v>28617.957777155389</c:v>
                </c:pt>
                <c:pt idx="258">
                  <c:v>28684.217772839333</c:v>
                </c:pt>
                <c:pt idx="259">
                  <c:v>28750.412915445915</c:v>
                </c:pt>
                <c:pt idx="260">
                  <c:v>28816.543190612083</c:v>
                </c:pt>
                <c:pt idx="261">
                  <c:v>28990.785270358356</c:v>
                </c:pt>
                <c:pt idx="262">
                  <c:v>29080.415330047959</c:v>
                </c:pt>
                <c:pt idx="263">
                  <c:v>29146.221053000827</c:v>
                </c:pt>
                <c:pt idx="264">
                  <c:v>29211.961822595589</c:v>
                </c:pt>
                <c:pt idx="265">
                  <c:v>29277.637624555169</c:v>
                </c:pt>
                <c:pt idx="266">
                  <c:v>29450.990388589453</c:v>
                </c:pt>
                <c:pt idx="267">
                  <c:v>29539.690870946761</c:v>
                </c:pt>
                <c:pt idx="268">
                  <c:v>29605.04162101679</c:v>
                </c:pt>
                <c:pt idx="269">
                  <c:v>29670.327318052787</c:v>
                </c:pt>
                <c:pt idx="270">
                  <c:v>29735.547947864783</c:v>
                </c:pt>
                <c:pt idx="271">
                  <c:v>29908.009871840568</c:v>
                </c:pt>
                <c:pt idx="272">
                  <c:v>29995.779511509892</c:v>
                </c:pt>
                <c:pt idx="273">
                  <c:v>30060.674592787698</c:v>
                </c:pt>
                <c:pt idx="274">
                  <c:v>30125.504521963619</c:v>
                </c:pt>
                <c:pt idx="275">
                  <c:v>30190.269284934097</c:v>
                </c:pt>
                <c:pt idx="276">
                  <c:v>30361.838852813809</c:v>
                </c:pt>
                <c:pt idx="277">
                  <c:v>30448.67639313652</c:v>
                </c:pt>
                <c:pt idx="278">
                  <c:v>30513.115113970136</c:v>
                </c:pt>
                <c:pt idx="279">
                  <c:v>30577.488584241961</c:v>
                </c:pt>
                <c:pt idx="280">
                  <c:v>30641.796789935546</c:v>
                </c:pt>
                <c:pt idx="281">
                  <c:v>30812.472494016278</c:v>
                </c:pt>
                <c:pt idx="282">
                  <c:v>30898.376687052099</c:v>
                </c:pt>
                <c:pt idx="283">
                  <c:v>30962.358360055947</c:v>
                </c:pt>
                <c:pt idx="284">
                  <c:v>31026.274684648735</c:v>
                </c:pt>
                <c:pt idx="285">
                  <c:v>31090.125646902412</c:v>
                </c:pt>
                <c:pt idx="286">
                  <c:v>31259.905987840084</c:v>
                </c:pt>
                <c:pt idx="287">
                  <c:v>31344.875594392113</c:v>
                </c:pt>
                <c:pt idx="288">
                  <c:v>31408.399536459779</c:v>
                </c:pt>
                <c:pt idx="289">
                  <c:v>31471.858032880467</c:v>
                </c:pt>
                <c:pt idx="290">
                  <c:v>31535.251069812803</c:v>
                </c:pt>
                <c:pt idx="291">
                  <c:v>31704.134556648023</c:v>
                </c:pt>
                <c:pt idx="292">
                  <c:v>31788.168346281484</c:v>
                </c:pt>
                <c:pt idx="293">
                  <c:v>31851.233878599101</c:v>
                </c:pt>
                <c:pt idx="294">
                  <c:v>31914.233868646723</c:v>
                </c:pt>
                <c:pt idx="295">
                  <c:v>31977.168302671511</c:v>
                </c:pt>
                <c:pt idx="296">
                  <c:v>32145.153452853454</c:v>
                </c:pt>
                <c:pt idx="297">
                  <c:v>32228.250203921987</c:v>
                </c:pt>
                <c:pt idx="298">
                  <c:v>32290.856651977727</c:v>
                </c:pt>
                <c:pt idx="299">
                  <c:v>32353.397461756645</c:v>
                </c:pt>
                <c:pt idx="300">
                  <c:v>32415.872619593865</c:v>
                </c:pt>
                <c:pt idx="301">
                  <c:v>32582.957959005133</c:v>
                </c:pt>
                <c:pt idx="302">
                  <c:v>32665.116458669698</c:v>
                </c:pt>
                <c:pt idx="303">
                  <c:v>32727.263152266438</c:v>
                </c:pt>
                <c:pt idx="304">
                  <c:v>32789.344112197272</c:v>
                </c:pt>
                <c:pt idx="305">
                  <c:v>32851.359324885147</c:v>
                </c:pt>
                <c:pt idx="306">
                  <c:v>33017.543387865357</c:v>
                </c:pt>
                <c:pt idx="307">
                  <c:v>33098.762432119256</c:v>
                </c:pt>
                <c:pt idx="308">
                  <c:v>33160.448705386785</c:v>
                </c:pt>
                <c:pt idx="309">
                  <c:v>33222.069150217787</c:v>
                </c:pt>
                <c:pt idx="310">
                  <c:v>33283.623753124019</c:v>
                </c:pt>
                <c:pt idx="311">
                  <c:v>33448.905082495265</c:v>
                </c:pt>
                <c:pt idx="312">
                  <c:v>33529.183476183294</c:v>
                </c:pt>
                <c:pt idx="313">
                  <c:v>33590.408667588854</c:v>
                </c:pt>
                <c:pt idx="314">
                  <c:v>33651.567936407562</c:v>
                </c:pt>
                <c:pt idx="315">
                  <c:v>33712.661269240569</c:v>
                </c:pt>
                <c:pt idx="316">
                  <c:v>33877.038416331125</c:v>
                </c:pt>
                <c:pt idx="317">
                  <c:v>33956.37497317433</c:v>
                </c:pt>
                <c:pt idx="318">
                  <c:v>34017.138425534104</c:v>
                </c:pt>
                <c:pt idx="319">
                  <c:v>34077.835861779982</c:v>
                </c:pt>
                <c:pt idx="320">
                  <c:v>34138.467268601235</c:v>
                </c:pt>
                <c:pt idx="321">
                  <c:v>34301.938793268302</c:v>
                </c:pt>
                <c:pt idx="322">
                  <c:v>34380.332335882747</c:v>
                </c:pt>
                <c:pt idx="323">
                  <c:v>34440.633396374367</c:v>
                </c:pt>
                <c:pt idx="324">
                  <c:v>34500.86834784806</c:v>
                </c:pt>
                <c:pt idx="325">
                  <c:v>34561.037177082624</c:v>
                </c:pt>
                <c:pt idx="326">
                  <c:v>34723.601647738338</c:v>
                </c:pt>
                <c:pt idx="327">
                  <c:v>34801.051007659225</c:v>
                </c:pt>
                <c:pt idx="328">
                  <c:v>34860.889027831872</c:v>
                </c:pt>
                <c:pt idx="329">
                  <c:v>34920.660846707979</c:v>
                </c:pt>
                <c:pt idx="330">
                  <c:v>34980.366451156435</c:v>
                </c:pt>
                <c:pt idx="331">
                  <c:v>35142.022444789625</c:v>
                </c:pt>
                <c:pt idx="332">
                  <c:v>35218.526462490787</c:v>
                </c:pt>
                <c:pt idx="333">
                  <c:v>35277.90079827654</c:v>
                </c:pt>
                <c:pt idx="334">
                  <c:v>35337.208841114843</c:v>
                </c:pt>
                <c:pt idx="335">
                  <c:v>35396.450577963966</c:v>
                </c:pt>
                <c:pt idx="336">
                  <c:v>35557.196680165827</c:v>
                </c:pt>
                <c:pt idx="337">
                  <c:v>35632.754205082041</c:v>
                </c:pt>
                <c:pt idx="338">
                  <c:v>35691.664216808138</c:v>
                </c:pt>
                <c:pt idx="339">
                  <c:v>35750.507844564112</c:v>
                </c:pt>
                <c:pt idx="340">
                  <c:v>35809.285075398358</c:v>
                </c:pt>
                <c:pt idx="341">
                  <c:v>35969.119880383121</c:v>
                </c:pt>
                <c:pt idx="342">
                  <c:v>36043.729770931277</c:v>
                </c:pt>
                <c:pt idx="343">
                  <c:v>36102.174823329871</c:v>
                </c:pt>
                <c:pt idx="344">
                  <c:v>36160.553401366233</c:v>
                </c:pt>
                <c:pt idx="345">
                  <c:v>36218.865492178833</c:v>
                </c:pt>
                <c:pt idx="346">
                  <c:v>36377.787602810575</c:v>
                </c:pt>
                <c:pt idx="347">
                  <c:v>36451.448726409566</c:v>
                </c:pt>
                <c:pt idx="348">
                  <c:v>36509.428188630118</c:v>
                </c:pt>
                <c:pt idx="349">
                  <c:v>36567.341086728135</c:v>
                </c:pt>
                <c:pt idx="350">
                  <c:v>36625.187407931895</c:v>
                </c:pt>
                <c:pt idx="351">
                  <c:v>36783.195435743895</c:v>
                </c:pt>
                <c:pt idx="352">
                  <c:v>36855.906668837219</c:v>
                </c:pt>
                <c:pt idx="353">
                  <c:v>36913.419914456303</c:v>
                </c:pt>
                <c:pt idx="354">
                  <c:v>36970.866506825783</c:v>
                </c:pt>
                <c:pt idx="355">
                  <c:v>37028.246433264889</c:v>
                </c:pt>
                <c:pt idx="356">
                  <c:v>37185.338998486171</c:v>
                </c:pt>
                <c:pt idx="357">
                  <c:v>37257.099226561113</c:v>
                </c:pt>
                <c:pt idx="358">
                  <c:v>37314.145633593922</c:v>
                </c:pt>
                <c:pt idx="359">
                  <c:v>37371.125298884996</c:v>
                </c:pt>
                <c:pt idx="360">
                  <c:v>37428.038209844803</c:v>
                </c:pt>
                <c:pt idx="361">
                  <c:v>37584.213941420639</c:v>
                </c:pt>
                <c:pt idx="362">
                  <c:v>37655.022059030023</c:v>
                </c:pt>
                <c:pt idx="363">
                  <c:v>37711.60100994102</c:v>
                </c:pt>
                <c:pt idx="364">
                  <c:v>37768.113131255224</c:v>
                </c:pt>
                <c:pt idx="365">
                  <c:v>37824.558410473626</c:v>
                </c:pt>
                <c:pt idx="366">
                  <c:v>37979.815946089664</c:v>
                </c:pt>
                <c:pt idx="367">
                  <c:v>38049.670856870594</c:v>
                </c:pt>
                <c:pt idx="368">
                  <c:v>38105.781738585312</c:v>
                </c:pt>
                <c:pt idx="369">
                  <c:v>38161.825703485127</c:v>
                </c:pt>
                <c:pt idx="370">
                  <c:v>38217.802739163089</c:v>
                </c:pt>
                <c:pt idx="371">
                  <c:v>38372.140725267389</c:v>
                </c:pt>
                <c:pt idx="372">
                  <c:v>38441.04134196385</c:v>
                </c:pt>
                <c:pt idx="373">
                  <c:v>38496.683545877575</c:v>
                </c:pt>
                <c:pt idx="374">
                  <c:v>38552.258746398889</c:v>
                </c:pt>
                <c:pt idx="375">
                  <c:v>38607.766931211809</c:v>
                </c:pt>
                <c:pt idx="376">
                  <c:v>38761.18402303716</c:v>
                </c:pt>
                <c:pt idx="377">
                  <c:v>38829.129267518649</c:v>
                </c:pt>
                <c:pt idx="378">
                  <c:v>38884.30218950862</c:v>
                </c:pt>
                <c:pt idx="379">
                  <c:v>38939.408022169155</c:v>
                </c:pt>
                <c:pt idx="380">
                  <c:v>38994.446753276367</c:v>
                </c:pt>
                <c:pt idx="381">
                  <c:v>39223.644204220916</c:v>
                </c:pt>
                <c:pt idx="382">
                  <c:v>39291.331865989137</c:v>
                </c:pt>
                <c:pt idx="383">
                  <c:v>39346.45887434754</c:v>
                </c:pt>
                <c:pt idx="384">
                  <c:v>39401.522570150315</c:v>
                </c:pt>
                <c:pt idx="385">
                  <c:v>39456.522931392814</c:v>
                </c:pt>
                <c:pt idx="386">
                  <c:v>39609.12314565308</c:v>
                </c:pt>
                <c:pt idx="387">
                  <c:v>39675.890591410251</c:v>
                </c:pt>
                <c:pt idx="388">
                  <c:v>39730.573950527432</c:v>
                </c:pt>
                <c:pt idx="389">
                  <c:v>39785.193843505738</c:v>
                </c:pt>
                <c:pt idx="390">
                  <c:v>39839.750248490309</c:v>
                </c:pt>
                <c:pt idx="391">
                  <c:v>39991.495215007089</c:v>
                </c:pt>
                <c:pt idx="392">
                  <c:v>40057.340552160385</c:v>
                </c:pt>
                <c:pt idx="393">
                  <c:v>40111.579190117263</c:v>
                </c:pt>
                <c:pt idx="394">
                  <c:v>40165.754209407889</c:v>
                </c:pt>
                <c:pt idx="395">
                  <c:v>40219.86558832974</c:v>
                </c:pt>
                <c:pt idx="396">
                  <c:v>40370.752915306475</c:v>
                </c:pt>
                <c:pt idx="397">
                  <c:v>40435.674267030729</c:v>
                </c:pt>
                <c:pt idx="398">
                  <c:v>40489.467119325709</c:v>
                </c:pt>
                <c:pt idx="399">
                  <c:v>40543.196201491744</c:v>
                </c:pt>
                <c:pt idx="400">
                  <c:v>40596.861491978496</c:v>
                </c:pt>
                <c:pt idx="401">
                  <c:v>40746.88880155763</c:v>
                </c:pt>
                <c:pt idx="402">
                  <c:v>40810.884306890264</c:v>
                </c:pt>
                <c:pt idx="403">
                  <c:v>40864.230316491412</c:v>
                </c:pt>
                <c:pt idx="404">
                  <c:v>40917.512405571411</c:v>
                </c:pt>
                <c:pt idx="405">
                  <c:v>40970.730552733556</c:v>
                </c:pt>
                <c:pt idx="406">
                  <c:v>41119.895481105108</c:v>
                </c:pt>
                <c:pt idx="407">
                  <c:v>41182.963295039626</c:v>
                </c:pt>
                <c:pt idx="408">
                  <c:v>41235.861412432969</c:v>
                </c:pt>
                <c:pt idx="409">
                  <c:v>41288.695459991293</c:v>
                </c:pt>
                <c:pt idx="410">
                  <c:v>41341.465416472354</c:v>
                </c:pt>
                <c:pt idx="411">
                  <c:v>41489.765613978212</c:v>
                </c:pt>
                <c:pt idx="412">
                  <c:v>41551.903907558852</c:v>
                </c:pt>
                <c:pt idx="413">
                  <c:v>41604.353090798839</c:v>
                </c:pt>
                <c:pt idx="414">
                  <c:v>41656.73805597522</c:v>
                </c:pt>
                <c:pt idx="415">
                  <c:v>41709.058782001346</c:v>
                </c:pt>
                <c:pt idx="416">
                  <c:v>41856.491913241589</c:v>
                </c:pt>
                <c:pt idx="417">
                  <c:v>41917.698873654837</c:v>
                </c:pt>
                <c:pt idx="418">
                  <c:v>41969.698088414079</c:v>
                </c:pt>
                <c:pt idx="419">
                  <c:v>42021.632937973212</c:v>
                </c:pt>
                <c:pt idx="420">
                  <c:v>42073.503401402362</c:v>
                </c:pt>
                <c:pt idx="421">
                  <c:v>42220.067145339417</c:v>
                </c:pt>
                <c:pt idx="422">
                  <c:v>42280.340976008098</c:v>
                </c:pt>
                <c:pt idx="423">
                  <c:v>42331.889195625947</c:v>
                </c:pt>
                <c:pt idx="424">
                  <c:v>42383.372904006406</c:v>
                </c:pt>
                <c:pt idx="425">
                  <c:v>42434.792080377483</c:v>
                </c:pt>
                <c:pt idx="426">
                  <c:v>42580.484130441117</c:v>
                </c:pt>
                <c:pt idx="427">
                  <c:v>42639.823051114334</c:v>
                </c:pt>
                <c:pt idx="428">
                  <c:v>42690.919256646215</c:v>
                </c:pt>
                <c:pt idx="429">
                  <c:v>42741.950806009751</c:v>
                </c:pt>
                <c:pt idx="430">
                  <c:v>42792.917678592086</c:v>
                </c:pt>
                <c:pt idx="431">
                  <c:v>42937.735742782606</c:v>
                </c:pt>
                <c:pt idx="432">
                  <c:v>42996.137989627692</c:v>
                </c:pt>
                <c:pt idx="433">
                  <c:v>43046.781169893278</c:v>
                </c:pt>
                <c:pt idx="434">
                  <c:v>43097.35955017354</c:v>
                </c:pt>
                <c:pt idx="435">
                  <c:v>43147.873110013934</c:v>
                </c:pt>
                <c:pt idx="436">
                  <c:v>43291.814911006775</c:v>
                </c:pt>
                <c:pt idx="437">
                  <c:v>43349.278736699089</c:v>
                </c:pt>
                <c:pt idx="438">
                  <c:v>43399.467888331601</c:v>
                </c:pt>
                <c:pt idx="439">
                  <c:v>43449.592097280918</c:v>
                </c:pt>
                <c:pt idx="440">
                  <c:v>43499.651343253798</c:v>
                </c:pt>
                <c:pt idx="441">
                  <c:v>43642.714618501253</c:v>
                </c:pt>
                <c:pt idx="442">
                  <c:v>43699.238292314876</c:v>
                </c:pt>
                <c:pt idx="443">
                  <c:v>43748.972419807986</c:v>
                </c:pt>
                <c:pt idx="444">
                  <c:v>43798.641463047526</c:v>
                </c:pt>
                <c:pt idx="445">
                  <c:v>43848.245401901251</c:v>
                </c:pt>
                <c:pt idx="446">
                  <c:v>43990.427903734548</c:v>
                </c:pt>
                <c:pt idx="447">
                  <c:v>44046.009711630642</c:v>
                </c:pt>
                <c:pt idx="448">
                  <c:v>44095.287827387081</c:v>
                </c:pt>
                <c:pt idx="449">
                  <c:v>44144.500718452873</c:v>
                </c:pt>
                <c:pt idx="450">
                  <c:v>44193.648364858513</c:v>
                </c:pt>
                <c:pt idx="451">
                  <c:v>44334.947860590495</c:v>
                </c:pt>
                <c:pt idx="452">
                  <c:v>44389.586105305716</c:v>
                </c:pt>
                <c:pt idx="453">
                  <c:v>44438.407229684439</c:v>
                </c:pt>
                <c:pt idx="454">
                  <c:v>44487.162990075594</c:v>
                </c:pt>
                <c:pt idx="455">
                  <c:v>44535.853366673786</c:v>
                </c:pt>
                <c:pt idx="456">
                  <c:v>44676.26763869945</c:v>
                </c:pt>
                <c:pt idx="457">
                  <c:v>44729.960639834055</c:v>
                </c:pt>
                <c:pt idx="458">
                  <c:v>44778.323801196857</c:v>
                </c:pt>
                <c:pt idx="459">
                  <c:v>44826.621460422684</c:v>
                </c:pt>
                <c:pt idx="460">
                  <c:v>44874.853597870577</c:v>
                </c:pt>
                <c:pt idx="461">
                  <c:v>45014.380443767928</c:v>
                </c:pt>
                <c:pt idx="462">
                  <c:v>45067.126537873024</c:v>
                </c:pt>
                <c:pt idx="463">
                  <c:v>45115.030772631588</c:v>
                </c:pt>
                <c:pt idx="464">
                  <c:v>45162.869368258122</c:v>
                </c:pt>
                <c:pt idx="465">
                  <c:v>45210.64230527608</c:v>
                </c:pt>
                <c:pt idx="466">
                  <c:v>45349.279537906179</c:v>
                </c:pt>
                <c:pt idx="467">
                  <c:v>45401.07707857011</c:v>
                </c:pt>
                <c:pt idx="468">
                  <c:v>45448.521431233181</c:v>
                </c:pt>
                <c:pt idx="469">
                  <c:v>45495.900008928911</c:v>
                </c:pt>
                <c:pt idx="470">
                  <c:v>45543.212792347585</c:v>
                </c:pt>
                <c:pt idx="471">
                  <c:v>45680.958239953477</c:v>
                </c:pt>
                <c:pt idx="472">
                  <c:v>45731.805597886691</c:v>
                </c:pt>
                <c:pt idx="473">
                  <c:v>45778.789121105823</c:v>
                </c:pt>
                <c:pt idx="474">
                  <c:v>45825.70673468944</c:v>
                </c:pt>
                <c:pt idx="475">
                  <c:v>45872.558419494962</c:v>
                </c:pt>
                <c:pt idx="476">
                  <c:v>46009.409925801709</c:v>
                </c:pt>
                <c:pt idx="477">
                  <c:v>46059.30548892243</c:v>
                </c:pt>
                <c:pt idx="478">
                  <c:v>46105.827243537336</c:v>
                </c:pt>
                <c:pt idx="479">
                  <c:v>46152.28295502223</c:v>
                </c:pt>
                <c:pt idx="480">
                  <c:v>46198.672604402513</c:v>
                </c:pt>
                <c:pt idx="481">
                  <c:v>46334.628028714091</c:v>
                </c:pt>
                <c:pt idx="482">
                  <c:v>46383.570202233022</c:v>
                </c:pt>
                <c:pt idx="483">
                  <c:v>46429.629257317749</c:v>
                </c:pt>
                <c:pt idx="484">
                  <c:v>46475.622136957907</c:v>
                </c:pt>
                <c:pt idx="485">
                  <c:v>46521.548822347984</c:v>
                </c:pt>
                <c:pt idx="486">
                  <c:v>46656.606039646227</c:v>
                </c:pt>
                <c:pt idx="487">
                  <c:v>46704.59324614911</c:v>
                </c:pt>
                <c:pt idx="488">
                  <c:v>46750.188679056962</c:v>
                </c:pt>
                <c:pt idx="489">
                  <c:v>46795.717805392131</c:v>
                </c:pt>
                <c:pt idx="490">
                  <c:v>46841.180606519221</c:v>
                </c:pt>
                <c:pt idx="491">
                  <c:v>46975.337507559583</c:v>
                </c:pt>
                <c:pt idx="492">
                  <c:v>47022.36818709092</c:v>
                </c:pt>
                <c:pt idx="493">
                  <c:v>47067.499083499759</c:v>
                </c:pt>
                <c:pt idx="494">
                  <c:v>47112.563543400538</c:v>
                </c:pt>
                <c:pt idx="495">
                  <c:v>47157.561548328231</c:v>
                </c:pt>
                <c:pt idx="496">
                  <c:v>47290.816039737132</c:v>
                </c:pt>
                <c:pt idx="497">
                  <c:v>47336.888649882152</c:v>
                </c:pt>
                <c:pt idx="498">
                  <c:v>47381.554103838054</c:v>
                </c:pt>
                <c:pt idx="499">
                  <c:v>47426.152992549338</c:v>
                </c:pt>
                <c:pt idx="500">
                  <c:v>47470.685297723641</c:v>
                </c:pt>
                <c:pt idx="501">
                  <c:v>47603.035302093951</c:v>
                </c:pt>
                <c:pt idx="502">
                  <c:v>47648.148318059495</c:v>
                </c:pt>
                <c:pt idx="503">
                  <c:v>47692.347432021226</c:v>
                </c:pt>
                <c:pt idx="504">
                  <c:v>47736.479853207988</c:v>
                </c:pt>
                <c:pt idx="505">
                  <c:v>47780.54556349924</c:v>
                </c:pt>
                <c:pt idx="506">
                  <c:v>47911.989019485816</c:v>
                </c:pt>
                <c:pt idx="507">
                  <c:v>47956.140934181327</c:v>
                </c:pt>
                <c:pt idx="508">
                  <c:v>47999.872819065087</c:v>
                </c:pt>
                <c:pt idx="509">
                  <c:v>48043.537884854159</c:v>
                </c:pt>
                <c:pt idx="510">
                  <c:v>48087.136113602515</c:v>
                </c:pt>
                <c:pt idx="511">
                  <c:v>48199.728260869502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75-4125-A644-3E19567A5F2C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Bond!$A$16:$A$527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Bond!$H$16:$H$527</c:f>
              <c:numCache>
                <c:formatCode>_(* #,##0.000_);_(* \(#,##0.000\);_(* "-"??_);_(@_)</c:formatCode>
                <c:ptCount val="512"/>
                <c:pt idx="0" formatCode="0.0000">
                  <c:v>0</c:v>
                </c:pt>
                <c:pt idx="1">
                  <c:v>19.019150004453422</c:v>
                </c:pt>
                <c:pt idx="2">
                  <c:v>88.85477191171276</c:v>
                </c:pt>
                <c:pt idx="3">
                  <c:v>111.03484154389774</c:v>
                </c:pt>
                <c:pt idx="4">
                  <c:v>133.15431958844215</c:v>
                </c:pt>
                <c:pt idx="5">
                  <c:v>155.2131872666962</c:v>
                </c:pt>
                <c:pt idx="6">
                  <c:v>173.88240001324107</c:v>
                </c:pt>
                <c:pt idx="7">
                  <c:v>242.84217912978079</c:v>
                </c:pt>
                <c:pt idx="8">
                  <c:v>264.59771368038787</c:v>
                </c:pt>
                <c:pt idx="9">
                  <c:v>286.29252542103245</c:v>
                </c:pt>
                <c:pt idx="10">
                  <c:v>307.92659564852443</c:v>
                </c:pt>
                <c:pt idx="11">
                  <c:v>325.77286501791036</c:v>
                </c:pt>
                <c:pt idx="12">
                  <c:v>393.85508772909367</c:v>
                </c:pt>
                <c:pt idx="13">
                  <c:v>415.18517021131629</c:v>
                </c:pt>
                <c:pt idx="14">
                  <c:v>436.45439918478246</c:v>
                </c:pt>
                <c:pt idx="15">
                  <c:v>457.66275601991424</c:v>
                </c:pt>
                <c:pt idx="16">
                  <c:v>474.68412952582645</c:v>
                </c:pt>
                <c:pt idx="17">
                  <c:v>541.88708978003319</c:v>
                </c:pt>
                <c:pt idx="18">
                  <c:v>562.79080686906013</c:v>
                </c:pt>
                <c:pt idx="19">
                  <c:v>583.63354027278547</c:v>
                </c:pt>
                <c:pt idx="20">
                  <c:v>604.4152714379436</c:v>
                </c:pt>
                <c:pt idx="21">
                  <c:v>620.60980367647289</c:v>
                </c:pt>
                <c:pt idx="22">
                  <c:v>686.93180301380607</c:v>
                </c:pt>
                <c:pt idx="23">
                  <c:v>707.40824505591604</c:v>
                </c:pt>
                <c:pt idx="24">
                  <c:v>727.82357376439677</c:v>
                </c:pt>
                <c:pt idx="25">
                  <c:v>748.17777065959501</c:v>
                </c:pt>
                <c:pt idx="26">
                  <c:v>763.54352334092823</c:v>
                </c:pt>
                <c:pt idx="27">
                  <c:v>828.98287092376677</c:v>
                </c:pt>
                <c:pt idx="28">
                  <c:v>849.03113195764479</c:v>
                </c:pt>
                <c:pt idx="29">
                  <c:v>869.01815053607834</c:v>
                </c:pt>
                <c:pt idx="30">
                  <c:v>888.94390825586811</c:v>
                </c:pt>
                <c:pt idx="31">
                  <c:v>903.47895023498381</c:v>
                </c:pt>
                <c:pt idx="32">
                  <c:v>968.0339628759782</c:v>
                </c:pt>
                <c:pt idx="33">
                  <c:v>987.65314064181109</c:v>
                </c:pt>
                <c:pt idx="34">
                  <c:v>1007.2109473620117</c:v>
                </c:pt>
                <c:pt idx="35">
                  <c:v>1026.7073647088409</c:v>
                </c:pt>
                <c:pt idx="36">
                  <c:v>1040.4097720177674</c:v>
                </c:pt>
                <c:pt idx="37">
                  <c:v>1104.0787742092562</c:v>
                </c:pt>
                <c:pt idx="38">
                  <c:v>1123.2679701699055</c:v>
                </c:pt>
                <c:pt idx="39">
                  <c:v>1142.3956670257951</c:v>
                </c:pt>
                <c:pt idx="40">
                  <c:v>1161.4618465260662</c:v>
                </c:pt>
                <c:pt idx="41">
                  <c:v>1174.3297024031563</c:v>
                </c:pt>
                <c:pt idx="42">
                  <c:v>1237.1110263478613</c:v>
                </c:pt>
                <c:pt idx="43">
                  <c:v>1255.8693456966807</c:v>
                </c:pt>
                <c:pt idx="44">
                  <c:v>1274.5660384179303</c:v>
                </c:pt>
                <c:pt idx="45">
                  <c:v>1293.2010863367793</c:v>
                </c:pt>
                <c:pt idx="46">
                  <c:v>1305.2324812596794</c:v>
                </c:pt>
                <c:pt idx="47">
                  <c:v>1367.1244668965699</c:v>
                </c:pt>
                <c:pt idx="48">
                  <c:v>1385.4510185799995</c:v>
                </c:pt>
                <c:pt idx="49">
                  <c:v>1403.7158166483721</c:v>
                </c:pt>
                <c:pt idx="50">
                  <c:v>1421.9188430047327</c:v>
                </c:pt>
                <c:pt idx="51">
                  <c:v>1433.1118747189464</c:v>
                </c:pt>
                <c:pt idx="52">
                  <c:v>1494.1128697546446</c:v>
                </c:pt>
                <c:pt idx="53">
                  <c:v>1512.0067664800272</c:v>
                </c:pt>
                <c:pt idx="54">
                  <c:v>1529.8387831437312</c:v>
                </c:pt>
                <c:pt idx="55">
                  <c:v>1547.6089017244021</c:v>
                </c:pt>
                <c:pt idx="56">
                  <c:v>1557.9616752759764</c:v>
                </c:pt>
                <c:pt idx="57">
                  <c:v>1618.0700352117583</c:v>
                </c:pt>
                <c:pt idx="58">
                  <c:v>1635.5303934690826</c:v>
                </c:pt>
                <c:pt idx="59">
                  <c:v>1652.9287457569808</c:v>
                </c:pt>
                <c:pt idx="60">
                  <c:v>1670.2650741326863</c:v>
                </c:pt>
                <c:pt idx="61">
                  <c:v>1679.7757018980517</c:v>
                </c:pt>
                <c:pt idx="62">
                  <c:v>1738.9897900594065</c:v>
                </c:pt>
                <c:pt idx="63">
                  <c:v>1756.0157301285528</c:v>
                </c:pt>
                <c:pt idx="64">
                  <c:v>1772.9795388656555</c:v>
                </c:pt>
                <c:pt idx="65">
                  <c:v>1789.8811984051122</c:v>
                </c:pt>
                <c:pt idx="66">
                  <c:v>1798.5478001210708</c:v>
                </c:pt>
                <c:pt idx="67">
                  <c:v>1856.8659876862625</c:v>
                </c:pt>
                <c:pt idx="68">
                  <c:v>1873.4566336593159</c:v>
                </c:pt>
                <c:pt idx="69">
                  <c:v>1889.9850234812732</c:v>
                </c:pt>
                <c:pt idx="70">
                  <c:v>1906.4511393654016</c:v>
                </c:pt>
                <c:pt idx="71">
                  <c:v>1914.271842160673</c:v>
                </c:pt>
                <c:pt idx="72">
                  <c:v>1971.6925081880277</c:v>
                </c:pt>
                <c:pt idx="73">
                  <c:v>1987.8469879772354</c:v>
                </c:pt>
                <c:pt idx="74">
                  <c:v>2003.9390873452589</c:v>
                </c:pt>
                <c:pt idx="75">
                  <c:v>2019.9687885833839</c:v>
                </c:pt>
                <c:pt idx="76">
                  <c:v>2026.9417270074541</c:v>
                </c:pt>
                <c:pt idx="77">
                  <c:v>2083.4632584646329</c:v>
                </c:pt>
                <c:pt idx="78">
                  <c:v>2099.1807038227253</c:v>
                </c:pt>
                <c:pt idx="79">
                  <c:v>2114.8356450379424</c:v>
                </c:pt>
                <c:pt idx="80">
                  <c:v>2130.4280644804408</c:v>
                </c:pt>
                <c:pt idx="81">
                  <c:v>2136.5513805356786</c:v>
                </c:pt>
                <c:pt idx="82">
                  <c:v>2192.1721723271048</c:v>
                </c:pt>
                <c:pt idx="83">
                  <c:v>2207.4517188569585</c:v>
                </c:pt>
                <c:pt idx="84">
                  <c:v>2222.6686380747651</c:v>
                </c:pt>
                <c:pt idx="85">
                  <c:v>2237.8229124288396</c:v>
                </c:pt>
                <c:pt idx="86">
                  <c:v>2243.0947555989178</c:v>
                </c:pt>
                <c:pt idx="87">
                  <c:v>2297.8132105946261</c:v>
                </c:pt>
                <c:pt idx="88">
                  <c:v>2312.6539977684502</c:v>
                </c:pt>
                <c:pt idx="89">
                  <c:v>2327.4320350130038</c:v>
                </c:pt>
                <c:pt idx="90">
                  <c:v>2342.1473048573207</c:v>
                </c:pt>
                <c:pt idx="91">
                  <c:v>2346.5658321376281</c:v>
                </c:pt>
                <c:pt idx="92">
                  <c:v>2400.3803612006891</c:v>
                </c:pt>
                <c:pt idx="93">
                  <c:v>2414.7815323695454</c:v>
                </c:pt>
                <c:pt idx="94">
                  <c:v>2429.1198315492579</c:v>
                </c:pt>
                <c:pt idx="95">
                  <c:v>2443.3952413475881</c:v>
                </c:pt>
                <c:pt idx="96">
                  <c:v>2446.9586172754989</c:v>
                </c:pt>
                <c:pt idx="97">
                  <c:v>2499.867639289022</c:v>
                </c:pt>
                <c:pt idx="98">
                  <c:v>2513.8283417024354</c:v>
                </c:pt>
                <c:pt idx="99">
                  <c:v>2527.7260506231869</c:v>
                </c:pt>
                <c:pt idx="100">
                  <c:v>2541.5607487393286</c:v>
                </c:pt>
                <c:pt idx="101">
                  <c:v>2544.2671454239021</c:v>
                </c:pt>
                <c:pt idx="102">
                  <c:v>2596.2690873207348</c:v>
                </c:pt>
                <c:pt idx="103">
                  <c:v>2609.7884721352216</c:v>
                </c:pt>
                <c:pt idx="104">
                  <c:v>2623.2447425149985</c:v>
                </c:pt>
                <c:pt idx="105">
                  <c:v>2636.6378812268463</c:v>
                </c:pt>
                <c:pt idx="106">
                  <c:v>2638.4854783786695</c:v>
                </c:pt>
                <c:pt idx="107">
                  <c:v>2689.5787751666944</c:v>
                </c:pt>
                <c:pt idx="108">
                  <c:v>2702.6559974665079</c:v>
                </c:pt>
                <c:pt idx="109">
                  <c:v>2715.6699849494717</c:v>
                </c:pt>
                <c:pt idx="110">
                  <c:v>2728.6207204640791</c:v>
                </c:pt>
                <c:pt idx="111">
                  <c:v>2729.6077054236889</c:v>
                </c:pt>
                <c:pt idx="112">
                  <c:v>2779.7908002150962</c:v>
                </c:pt>
                <c:pt idx="113">
                  <c:v>2792.4250190204702</c:v>
                </c:pt>
                <c:pt idx="114">
                  <c:v>2804.9958831918789</c:v>
                </c:pt>
                <c:pt idx="115">
                  <c:v>2817.5033756581061</c:v>
                </c:pt>
                <c:pt idx="116">
                  <c:v>2817.62794342697</c:v>
                </c:pt>
                <c:pt idx="117">
                  <c:v>2866.8992874644064</c:v>
                </c:pt>
                <c:pt idx="118">
                  <c:v>2879.0896657504559</c:v>
                </c:pt>
                <c:pt idx="119">
                  <c:v>2891.2165701504478</c:v>
                </c:pt>
                <c:pt idx="120">
                  <c:v>2903.2799836747358</c:v>
                </c:pt>
                <c:pt idx="121">
                  <c:v>2926.4837855924952</c:v>
                </c:pt>
                <c:pt idx="122">
                  <c:v>2974.4617562425901</c:v>
                </c:pt>
                <c:pt idx="123">
                  <c:v>2985.5549368004117</c:v>
                </c:pt>
                <c:pt idx="124">
                  <c:v>2996.5853792251091</c:v>
                </c:pt>
                <c:pt idx="125">
                  <c:v>3007.5530667510006</c:v>
                </c:pt>
                <c:pt idx="126">
                  <c:v>3003.7204380552394</c:v>
                </c:pt>
                <c:pt idx="127">
                  <c:v>3050.7959329595737</c:v>
                </c:pt>
                <c:pt idx="128">
                  <c:v>3061.4495949122042</c:v>
                </c:pt>
                <c:pt idx="129">
                  <c:v>3072.0404016149419</c:v>
                </c:pt>
                <c:pt idx="130">
                  <c:v>3082.5683363831049</c:v>
                </c:pt>
                <c:pt idx="131">
                  <c:v>3077.8795167661597</c:v>
                </c:pt>
                <c:pt idx="132">
                  <c:v>3124.0510228116136</c:v>
                </c:pt>
                <c:pt idx="133">
                  <c:v>3134.2643480343213</c:v>
                </c:pt>
                <c:pt idx="134">
                  <c:v>3144.4147014548203</c:v>
                </c:pt>
                <c:pt idx="135">
                  <c:v>3154.502066468865</c:v>
                </c:pt>
                <c:pt idx="136">
                  <c:v>3148.9552985831892</c:v>
                </c:pt>
                <c:pt idx="137">
                  <c:v>3194.2213107754469</c:v>
                </c:pt>
                <c:pt idx="138">
                  <c:v>3203.9934850959635</c:v>
                </c:pt>
                <c:pt idx="139">
                  <c:v>3213.7025716266971</c:v>
                </c:pt>
                <c:pt idx="140">
                  <c:v>3223.3485538445448</c:v>
                </c:pt>
                <c:pt idx="141">
                  <c:v>3216.9420880362054</c:v>
                </c:pt>
                <c:pt idx="142">
                  <c:v>3261.3011095259026</c:v>
                </c:pt>
                <c:pt idx="143">
                  <c:v>3270.6313227342321</c:v>
                </c:pt>
                <c:pt idx="144">
                  <c:v>3279.8983327339215</c:v>
                </c:pt>
                <c:pt idx="145">
                  <c:v>3289.1021230823017</c:v>
                </c:pt>
                <c:pt idx="146">
                  <c:v>3281.8342174174118</c:v>
                </c:pt>
                <c:pt idx="147">
                  <c:v>3325.2847595267099</c:v>
                </c:pt>
                <c:pt idx="148">
                  <c:v>3334.1722053937415</c:v>
                </c:pt>
                <c:pt idx="149">
                  <c:v>3342.9963332012849</c:v>
                </c:pt>
                <c:pt idx="150">
                  <c:v>3351.757126588524</c:v>
                </c:pt>
                <c:pt idx="151">
                  <c:v>3343.6260468840828</c:v>
                </c:pt>
                <c:pt idx="152">
                  <c:v>3386.1666291326746</c:v>
                </c:pt>
                <c:pt idx="153">
                  <c:v>3394.6105054184272</c:v>
                </c:pt>
                <c:pt idx="154">
                  <c:v>3402.9909493662558</c:v>
                </c:pt>
                <c:pt idx="155">
                  <c:v>3411.3079446966312</c:v>
                </c:pt>
                <c:pt idx="156">
                  <c:v>3402.3119645475217</c:v>
                </c:pt>
                <c:pt idx="157">
                  <c:v>3443.9411146792054</c:v>
                </c:pt>
                <c:pt idx="158">
                  <c:v>3451.9406231511593</c:v>
                </c:pt>
                <c:pt idx="159">
                  <c:v>3459.8765855790248</c:v>
                </c:pt>
                <c:pt idx="160">
                  <c:v>3467.7489857661212</c:v>
                </c:pt>
                <c:pt idx="161">
                  <c:v>3457.8863865736762</c:v>
                </c:pt>
                <c:pt idx="162">
                  <c:v>3498.6026405822199</c:v>
                </c:pt>
                <c:pt idx="163">
                  <c:v>3506.1569870244111</c:v>
                </c:pt>
                <c:pt idx="164">
                  <c:v>3513.6476742930258</c:v>
                </c:pt>
                <c:pt idx="165">
                  <c:v>3521.0746862726692</c:v>
                </c:pt>
                <c:pt idx="166">
                  <c:v>3510.3437572722387</c:v>
                </c:pt>
                <c:pt idx="167">
                  <c:v>3550.1456594273859</c:v>
                </c:pt>
                <c:pt idx="168">
                  <c:v>3557.2540536593069</c:v>
                </c:pt>
                <c:pt idx="169">
                  <c:v>3564.2986761632756</c:v>
                </c:pt>
                <c:pt idx="170">
                  <c:v>3571.2795109083117</c:v>
                </c:pt>
                <c:pt idx="171">
                  <c:v>3559.6785491976848</c:v>
                </c:pt>
                <c:pt idx="172">
                  <c:v>3598.5646520704508</c:v>
                </c:pt>
                <c:pt idx="173">
                  <c:v>3605.2263079542968</c:v>
                </c:pt>
                <c:pt idx="174">
                  <c:v>3611.8240801368984</c:v>
                </c:pt>
                <c:pt idx="175">
                  <c:v>3618.3579526687031</c:v>
                </c:pt>
                <c:pt idx="176">
                  <c:v>3605.885263236104</c:v>
                </c:pt>
                <c:pt idx="177">
                  <c:v>3643.8541277253476</c:v>
                </c:pt>
                <c:pt idx="178">
                  <c:v>3650.0682631847781</c:v>
                </c:pt>
                <c:pt idx="179">
                  <c:v>3656.2184035494738</c:v>
                </c:pt>
                <c:pt idx="180">
                  <c:v>3662.3045329532997</c:v>
                </c:pt>
                <c:pt idx="181">
                  <c:v>3648.9584287043899</c:v>
                </c:pt>
                <c:pt idx="182">
                  <c:v>3686.0086240616856</c:v>
                </c:pt>
                <c:pt idx="183">
                  <c:v>3691.7744610911996</c:v>
                </c:pt>
                <c:pt idx="184">
                  <c:v>3697.476192215845</c:v>
                </c:pt>
                <c:pt idx="185">
                  <c:v>3703.1138016527625</c:v>
                </c:pt>
                <c:pt idx="186">
                  <c:v>3688.8926034393426</c:v>
                </c:pt>
                <c:pt idx="187">
                  <c:v>3725.0227072945563</c:v>
                </c:pt>
                <c:pt idx="188">
                  <c:v>3730.3394719758385</c:v>
                </c:pt>
                <c:pt idx="189">
                  <c:v>3735.5920205261837</c:v>
                </c:pt>
                <c:pt idx="190">
                  <c:v>3740.7803372470025</c:v>
                </c:pt>
                <c:pt idx="191">
                  <c:v>3725.6823738931644</c:v>
                </c:pt>
                <c:pt idx="192">
                  <c:v>3760.89097228018</c:v>
                </c:pt>
                <c:pt idx="193">
                  <c:v>3765.7578947917618</c:v>
                </c:pt>
                <c:pt idx="194">
                  <c:v>3770.5604915342406</c:v>
                </c:pt>
                <c:pt idx="195">
                  <c:v>3775.2987468920196</c:v>
                </c:pt>
                <c:pt idx="196">
                  <c:v>3759.3223552229915</c:v>
                </c:pt>
                <c:pt idx="197">
                  <c:v>3793.6080426037224</c:v>
                </c:pt>
                <c:pt idx="198">
                  <c:v>3798.0243572388877</c:v>
                </c:pt>
                <c:pt idx="199">
                  <c:v>3802.376237053551</c:v>
                </c:pt>
                <c:pt idx="200">
                  <c:v>3806.6636665173801</c:v>
                </c:pt>
                <c:pt idx="201">
                  <c:v>3789.8071913851081</c:v>
                </c:pt>
                <c:pt idx="202">
                  <c:v>3823.1685706766425</c:v>
                </c:pt>
                <c:pt idx="203">
                  <c:v>3827.1335158505335</c:v>
                </c:pt>
                <c:pt idx="204">
                  <c:v>3831.0339177446904</c:v>
                </c:pt>
                <c:pt idx="205">
                  <c:v>3834.8697609123406</c:v>
                </c:pt>
                <c:pt idx="206">
                  <c:v>3817.1315552244778</c:v>
                </c:pt>
                <c:pt idx="207">
                  <c:v>3849.5672378215318</c:v>
                </c:pt>
                <c:pt idx="208">
                  <c:v>3853.0800560904768</c:v>
                </c:pt>
                <c:pt idx="209">
                  <c:v>3856.5282232107734</c:v>
                </c:pt>
                <c:pt idx="210">
                  <c:v>3859.9117238217673</c:v>
                </c:pt>
                <c:pt idx="211">
                  <c:v>3841.2901485666848</c:v>
                </c:pt>
                <c:pt idx="212">
                  <c:v>3872.7987543690292</c:v>
                </c:pt>
                <c:pt idx="213">
                  <c:v>3875.8586924373612</c:v>
                </c:pt>
                <c:pt idx="214">
                  <c:v>3878.8538720837096</c:v>
                </c:pt>
                <c:pt idx="215">
                  <c:v>3881.7842780321143</c:v>
                </c:pt>
                <c:pt idx="216">
                  <c:v>3862.2777023078925</c:v>
                </c:pt>
                <c:pt idx="217">
                  <c:v>3892.8578597420938</c:v>
                </c:pt>
                <c:pt idx="218">
                  <c:v>3895.4641684807707</c:v>
                </c:pt>
                <c:pt idx="219">
                  <c:v>3898.0056121192774</c:v>
                </c:pt>
                <c:pt idx="220">
                  <c:v>3900.4821754666355</c:v>
                </c:pt>
                <c:pt idx="221">
                  <c:v>3880.0889765057887</c:v>
                </c:pt>
                <c:pt idx="222">
                  <c:v>3909.739322552497</c:v>
                </c:pt>
                <c:pt idx="223">
                  <c:v>3911.89125700663</c:v>
                </c:pt>
                <c:pt idx="224">
                  <c:v>3913.9782202806832</c:v>
                </c:pt>
                <c:pt idx="225">
                  <c:v>3916.0001972690848</c:v>
                </c:pt>
                <c:pt idx="226">
                  <c:v>3894.7187604669866</c:v>
                </c:pt>
                <c:pt idx="227">
                  <c:v>3923.4379406838111</c:v>
                </c:pt>
                <c:pt idx="228">
                  <c:v>3925.1347600900031</c:v>
                </c:pt>
                <c:pt idx="229">
                  <c:v>3926.766502835193</c:v>
                </c:pt>
                <c:pt idx="230">
                  <c:v>3928.333153899644</c:v>
                </c:pt>
                <c:pt idx="231">
                  <c:v>3906.1618728401018</c:v>
                </c:pt>
                <c:pt idx="232">
                  <c:v>3933.9485413862008</c:v>
                </c:pt>
                <c:pt idx="233">
                  <c:v>3935.1895091813558</c:v>
                </c:pt>
                <c:pt idx="234">
                  <c:v>3936.3652954365593</c:v>
                </c:pt>
                <c:pt idx="235">
                  <c:v>3937.4758852176228</c:v>
                </c:pt>
                <c:pt idx="236">
                  <c:v>3914.4131616991731</c:v>
                </c:pt>
                <c:pt idx="237">
                  <c:v>3941.2659813595501</c:v>
                </c:pt>
                <c:pt idx="238">
                  <c:v>3942.0503651972185</c:v>
                </c:pt>
                <c:pt idx="239">
                  <c:v>3942.7694632182411</c:v>
                </c:pt>
                <c:pt idx="240">
                  <c:v>3943.4232605748321</c:v>
                </c:pt>
                <c:pt idx="241">
                  <c:v>3919.4675046378793</c:v>
                </c:pt>
                <c:pt idx="242">
                  <c:v>3945.3851468473999</c:v>
                </c:pt>
                <c:pt idx="243">
                  <c:v>3945.7122186065872</c:v>
                </c:pt>
                <c:pt idx="244">
                  <c:v>3945.9739008776751</c:v>
                </c:pt>
                <c:pt idx="245">
                  <c:v>3946.1701788998485</c:v>
                </c:pt>
                <c:pt idx="246">
                  <c:v>3921.3198088516779</c:v>
                </c:pt>
                <c:pt idx="247">
                  <c:v>3946.3009537190887</c:v>
                </c:pt>
                <c:pt idx="248">
                  <c:v>3946.1699895196034</c:v>
                </c:pt>
                <c:pt idx="249">
                  <c:v>3945.9735327675107</c:v>
                </c:pt>
                <c:pt idx="250">
                  <c:v>3945.7115687885394</c:v>
                </c:pt>
                <c:pt idx="251">
                  <c:v>3943.989920564803</c:v>
                </c:pt>
                <c:pt idx="252">
                  <c:v>3967.5405215747619</c:v>
                </c:pt>
                <c:pt idx="253">
                  <c:v>3966.3193029960553</c:v>
                </c:pt>
                <c:pt idx="254">
                  <c:v>3965.0333322254028</c:v>
                </c:pt>
                <c:pt idx="255">
                  <c:v>3963.682594813065</c:v>
                </c:pt>
                <c:pt idx="256">
                  <c:v>3935.0081098142196</c:v>
                </c:pt>
                <c:pt idx="257">
                  <c:v>3957.6316901988666</c:v>
                </c:pt>
                <c:pt idx="258">
                  <c:v>3955.9569032741142</c:v>
                </c:pt>
                <c:pt idx="259">
                  <c:v>3954.2172632719994</c:v>
                </c:pt>
                <c:pt idx="260">
                  <c:v>3952.4127558294708</c:v>
                </c:pt>
                <c:pt idx="261">
                  <c:v>3922.8504877496562</c:v>
                </c:pt>
                <c:pt idx="262">
                  <c:v>3944.5457648305646</c:v>
                </c:pt>
                <c:pt idx="263">
                  <c:v>3942.4167051747359</c:v>
                </c:pt>
                <c:pt idx="264">
                  <c:v>3940.2226921608021</c:v>
                </c:pt>
                <c:pt idx="265">
                  <c:v>3937.9637115116848</c:v>
                </c:pt>
                <c:pt idx="266">
                  <c:v>3907.5121277198832</c:v>
                </c:pt>
                <c:pt idx="267">
                  <c:v>3928.2778274684915</c:v>
                </c:pt>
                <c:pt idx="268">
                  <c:v>3925.6937949298276</c:v>
                </c:pt>
                <c:pt idx="269">
                  <c:v>3923.0447093571288</c:v>
                </c:pt>
                <c:pt idx="270">
                  <c:v>3920.3305565604296</c:v>
                </c:pt>
                <c:pt idx="271">
                  <c:v>3888.9881327101252</c:v>
                </c:pt>
                <c:pt idx="272">
                  <c:v>3908.8229897707552</c:v>
                </c:pt>
                <c:pt idx="273">
                  <c:v>3905.783288439864</c:v>
                </c:pt>
                <c:pt idx="274">
                  <c:v>3902.6784350070898</c:v>
                </c:pt>
                <c:pt idx="275">
                  <c:v>3899.5084153688713</c:v>
                </c:pt>
                <c:pt idx="276">
                  <c:v>3867.2736354224926</c:v>
                </c:pt>
                <c:pt idx="277">
                  <c:v>3886.176393136509</c:v>
                </c:pt>
                <c:pt idx="278">
                  <c:v>3882.6803313614278</c:v>
                </c:pt>
                <c:pt idx="279">
                  <c:v>3879.119019024557</c:v>
                </c:pt>
                <c:pt idx="280">
                  <c:v>3875.4924421094474</c:v>
                </c:pt>
                <c:pt idx="281">
                  <c:v>3842.3637983640901</c:v>
                </c:pt>
                <c:pt idx="282">
                  <c:v>3860.3332087912177</c:v>
                </c:pt>
                <c:pt idx="283">
                  <c:v>3856.3800991863668</c:v>
                </c:pt>
                <c:pt idx="284">
                  <c:v>3852.3616411704611</c:v>
                </c:pt>
                <c:pt idx="285">
                  <c:v>3848.27782081544</c:v>
                </c:pt>
                <c:pt idx="286">
                  <c:v>3814.2538139270246</c:v>
                </c:pt>
                <c:pt idx="287">
                  <c:v>3831.2886378703579</c:v>
                </c:pt>
                <c:pt idx="288">
                  <c:v>3826.8777973293309</c:v>
                </c:pt>
                <c:pt idx="289">
                  <c:v>3822.4015111413228</c:v>
                </c:pt>
                <c:pt idx="290">
                  <c:v>3817.8597654649593</c:v>
                </c:pt>
                <c:pt idx="291">
                  <c:v>3782.9389044740938</c:v>
                </c:pt>
                <c:pt idx="292">
                  <c:v>3799.0379114988568</c:v>
                </c:pt>
                <c:pt idx="293">
                  <c:v>3794.1686612077774</c:v>
                </c:pt>
                <c:pt idx="294">
                  <c:v>3789.2338686467042</c:v>
                </c:pt>
                <c:pt idx="295">
                  <c:v>3784.2335200627986</c:v>
                </c:pt>
                <c:pt idx="296">
                  <c:v>3748.4143224186537</c:v>
                </c:pt>
                <c:pt idx="297">
                  <c:v>3763.57629087849</c:v>
                </c:pt>
                <c:pt idx="298">
                  <c:v>3758.2479563255333</c:v>
                </c:pt>
                <c:pt idx="299">
                  <c:v>3752.8539834957542</c:v>
                </c:pt>
                <c:pt idx="300">
                  <c:v>3747.3943587242788</c:v>
                </c:pt>
                <c:pt idx="301">
                  <c:v>3710.6753503094578</c:v>
                </c:pt>
                <c:pt idx="302">
                  <c:v>3724.8990673653279</c:v>
                </c:pt>
                <c:pt idx="303">
                  <c:v>3719.1109783533702</c:v>
                </c:pt>
                <c:pt idx="304">
                  <c:v>3713.257155675507</c:v>
                </c:pt>
                <c:pt idx="305">
                  <c:v>3707.3375857546862</c:v>
                </c:pt>
                <c:pt idx="306">
                  <c:v>3669.7173009088147</c:v>
                </c:pt>
                <c:pt idx="307">
                  <c:v>3683.0015625540113</c:v>
                </c:pt>
                <c:pt idx="308">
                  <c:v>3676.7530532128494</c:v>
                </c:pt>
                <c:pt idx="309">
                  <c:v>3670.4387154351534</c:v>
                </c:pt>
                <c:pt idx="310">
                  <c:v>3664.0585357326927</c:v>
                </c:pt>
                <c:pt idx="311">
                  <c:v>3625.5355172778536</c:v>
                </c:pt>
                <c:pt idx="312">
                  <c:v>3637.8791283571841</c:v>
                </c:pt>
                <c:pt idx="313">
                  <c:v>3631.1695371540509</c:v>
                </c:pt>
                <c:pt idx="314">
                  <c:v>3624.3940233640619</c:v>
                </c:pt>
                <c:pt idx="315">
                  <c:v>3617.5525735883693</c:v>
                </c:pt>
                <c:pt idx="316">
                  <c:v>3578.1253728528386</c:v>
                </c:pt>
                <c:pt idx="317">
                  <c:v>3589.5271470873522</c:v>
                </c:pt>
                <c:pt idx="318">
                  <c:v>3582.3558168384293</c:v>
                </c:pt>
                <c:pt idx="319">
                  <c:v>3575.1184704756156</c:v>
                </c:pt>
                <c:pt idx="320">
                  <c:v>3567.8150946881715</c:v>
                </c:pt>
                <c:pt idx="321">
                  <c:v>3527.4822715291521</c:v>
                </c:pt>
                <c:pt idx="322">
                  <c:v>3537.9410315348996</c:v>
                </c:pt>
                <c:pt idx="323">
                  <c:v>3530.3073094178217</c:v>
                </c:pt>
                <c:pt idx="324">
                  <c:v>3522.6074782828218</c:v>
                </c:pt>
                <c:pt idx="325">
                  <c:v>3514.8415249086893</c:v>
                </c:pt>
                <c:pt idx="326">
                  <c:v>3473.60164773832</c:v>
                </c:pt>
                <c:pt idx="327">
                  <c:v>3483.1162250505085</c:v>
                </c:pt>
                <c:pt idx="328">
                  <c:v>3475.0194626144548</c:v>
                </c:pt>
                <c:pt idx="329">
                  <c:v>3466.8564988818671</c:v>
                </c:pt>
                <c:pt idx="330">
                  <c:v>3458.6273207216318</c:v>
                </c:pt>
                <c:pt idx="331">
                  <c:v>3416.4789665287285</c:v>
                </c:pt>
                <c:pt idx="332">
                  <c:v>3425.0482016211945</c:v>
                </c:pt>
                <c:pt idx="333">
                  <c:v>3416.4877547982546</c:v>
                </c:pt>
                <c:pt idx="334">
                  <c:v>3407.8610150278623</c:v>
                </c:pt>
                <c:pt idx="335">
                  <c:v>3399.167969268291</c:v>
                </c:pt>
                <c:pt idx="336">
                  <c:v>3356.1097236440673</c:v>
                </c:pt>
                <c:pt idx="337">
                  <c:v>3363.7324659515853</c:v>
                </c:pt>
                <c:pt idx="338">
                  <c:v>3354.7076950689811</c:v>
                </c:pt>
                <c:pt idx="339">
                  <c:v>3345.6165402162696</c:v>
                </c:pt>
                <c:pt idx="340">
                  <c:v>3336.4589884418197</c:v>
                </c:pt>
                <c:pt idx="341">
                  <c:v>3292.4894456004949</c:v>
                </c:pt>
                <c:pt idx="342">
                  <c:v>3299.1645535399525</c:v>
                </c:pt>
                <c:pt idx="343">
                  <c:v>3289.6748233298467</c:v>
                </c:pt>
                <c:pt idx="344">
                  <c:v>3280.1186187575131</c:v>
                </c:pt>
                <c:pt idx="345">
                  <c:v>3270.4959269614164</c:v>
                </c:pt>
                <c:pt idx="346">
                  <c:v>3225.6136897670726</c:v>
                </c:pt>
                <c:pt idx="347">
                  <c:v>3231.3400307573656</c:v>
                </c:pt>
                <c:pt idx="348">
                  <c:v>3221.3847103692219</c:v>
                </c:pt>
                <c:pt idx="349">
                  <c:v>3211.3628258585436</c:v>
                </c:pt>
                <c:pt idx="350">
                  <c:v>3201.2743644536099</c:v>
                </c:pt>
                <c:pt idx="351">
                  <c:v>3155.4780444395192</c:v>
                </c:pt>
                <c:pt idx="352">
                  <c:v>3160.254494924146</c:v>
                </c:pt>
                <c:pt idx="353">
                  <c:v>3149.8329579345354</c:v>
                </c:pt>
                <c:pt idx="354">
                  <c:v>3139.3447676953201</c:v>
                </c:pt>
                <c:pt idx="355">
                  <c:v>3128.7899115257292</c:v>
                </c:pt>
                <c:pt idx="356">
                  <c:v>3082.0781289209262</c:v>
                </c:pt>
                <c:pt idx="357">
                  <c:v>3085.9035743871746</c:v>
                </c:pt>
                <c:pt idx="358">
                  <c:v>3075.0151988112862</c:v>
                </c:pt>
                <c:pt idx="359">
                  <c:v>3064.0600814936647</c:v>
                </c:pt>
                <c:pt idx="360">
                  <c:v>3053.0382098447717</c:v>
                </c:pt>
                <c:pt idx="361">
                  <c:v>3005.4095935945211</c:v>
                </c:pt>
                <c:pt idx="362">
                  <c:v>3008.2829285952071</c:v>
                </c:pt>
                <c:pt idx="363">
                  <c:v>2996.9270968975079</c:v>
                </c:pt>
                <c:pt idx="364">
                  <c:v>2985.5044356030189</c:v>
                </c:pt>
                <c:pt idx="365">
                  <c:v>2974.0149322127254</c:v>
                </c:pt>
                <c:pt idx="366">
                  <c:v>2925.4681200026766</c:v>
                </c:pt>
                <c:pt idx="367">
                  <c:v>2927.3882481749069</c:v>
                </c:pt>
                <c:pt idx="368">
                  <c:v>2915.5643472809343</c:v>
                </c:pt>
                <c:pt idx="369">
                  <c:v>2903.6735295720464</c:v>
                </c:pt>
                <c:pt idx="370">
                  <c:v>2891.7157826413131</c:v>
                </c:pt>
                <c:pt idx="371">
                  <c:v>2842.2494209195297</c:v>
                </c:pt>
                <c:pt idx="372">
                  <c:v>2843.2152550072947</c:v>
                </c:pt>
                <c:pt idx="373">
                  <c:v>2830.9226763123261</c:v>
                </c:pt>
                <c:pt idx="374">
                  <c:v>2818.5630942249422</c:v>
                </c:pt>
                <c:pt idx="375">
                  <c:v>2806.1364964291611</c:v>
                </c:pt>
                <c:pt idx="376">
                  <c:v>2755.7492404284289</c:v>
                </c:pt>
                <c:pt idx="377">
                  <c:v>2755.759702301219</c:v>
                </c:pt>
                <c:pt idx="378">
                  <c:v>2742.9978416824952</c:v>
                </c:pt>
                <c:pt idx="379">
                  <c:v>2730.1688917343372</c:v>
                </c:pt>
                <c:pt idx="380">
                  <c:v>2717.2728402328516</c:v>
                </c:pt>
                <c:pt idx="381">
                  <c:v>2742.6659433513123</c:v>
                </c:pt>
                <c:pt idx="382">
                  <c:v>2741.2928316388729</c:v>
                </c:pt>
                <c:pt idx="383">
                  <c:v>2727.3590665166125</c:v>
                </c:pt>
                <c:pt idx="384">
                  <c:v>2713.361988838727</c:v>
                </c:pt>
                <c:pt idx="385">
                  <c:v>2699.3015766005615</c:v>
                </c:pt>
                <c:pt idx="386">
                  <c:v>2644.719470418835</c:v>
                </c:pt>
                <c:pt idx="387">
                  <c:v>2642.4261426953426</c:v>
                </c:pt>
                <c:pt idx="388">
                  <c:v>2628.0487283318625</c:v>
                </c:pt>
                <c:pt idx="389">
                  <c:v>2613.607847829513</c:v>
                </c:pt>
                <c:pt idx="390">
                  <c:v>2599.103479333422</c:v>
                </c:pt>
                <c:pt idx="391">
                  <c:v>2543.6661254082082</c:v>
                </c:pt>
                <c:pt idx="392">
                  <c:v>2540.450689080842</c:v>
                </c:pt>
                <c:pt idx="393">
                  <c:v>2525.6285535570555</c:v>
                </c:pt>
                <c:pt idx="394">
                  <c:v>2510.7427993670226</c:v>
                </c:pt>
                <c:pt idx="395">
                  <c:v>2495.7934048082111</c:v>
                </c:pt>
                <c:pt idx="396">
                  <c:v>2439.4984113429532</c:v>
                </c:pt>
                <c:pt idx="397">
                  <c:v>2435.3589895865471</c:v>
                </c:pt>
                <c:pt idx="398">
                  <c:v>2420.0910684008645</c:v>
                </c:pt>
                <c:pt idx="399">
                  <c:v>2404.7593770862363</c:v>
                </c:pt>
                <c:pt idx="400">
                  <c:v>2389.363894092327</c:v>
                </c:pt>
                <c:pt idx="401">
                  <c:v>2332.2088832294698</c:v>
                </c:pt>
                <c:pt idx="402">
                  <c:v>2327.1436150814393</c:v>
                </c:pt>
                <c:pt idx="403">
                  <c:v>2311.4288512019243</c:v>
                </c:pt>
                <c:pt idx="404">
                  <c:v>2295.6501668012661</c:v>
                </c:pt>
                <c:pt idx="405">
                  <c:v>2279.80754048275</c:v>
                </c:pt>
                <c:pt idx="406">
                  <c:v>2221.7901484123104</c:v>
                </c:pt>
                <c:pt idx="407">
                  <c:v>2215.7971888661618</c:v>
                </c:pt>
                <c:pt idx="408">
                  <c:v>2199.6345327788445</c:v>
                </c:pt>
                <c:pt idx="409">
                  <c:v>2183.4078068565077</c:v>
                </c:pt>
                <c:pt idx="410">
                  <c:v>2167.1169898569074</c:v>
                </c:pt>
                <c:pt idx="411">
                  <c:v>2108.2348669207818</c:v>
                </c:pt>
                <c:pt idx="412">
                  <c:v>2101.3123870207551</c:v>
                </c:pt>
                <c:pt idx="413">
                  <c:v>2084.7007967800832</c:v>
                </c:pt>
                <c:pt idx="414">
                  <c:v>2068.0249884757986</c:v>
                </c:pt>
                <c:pt idx="415">
                  <c:v>2051.2849410212652</c:v>
                </c:pt>
                <c:pt idx="416">
                  <c:v>1991.5357518195265</c:v>
                </c:pt>
                <c:pt idx="417">
                  <c:v>1983.6819387521132</c:v>
                </c:pt>
                <c:pt idx="418">
                  <c:v>1966.6203800306903</c:v>
                </c:pt>
                <c:pt idx="419">
                  <c:v>1949.4944561091643</c:v>
                </c:pt>
                <c:pt idx="420">
                  <c:v>1932.3041460576462</c:v>
                </c:pt>
                <c:pt idx="421">
                  <c:v>1871.6855695527101</c:v>
                </c:pt>
                <c:pt idx="422">
                  <c:v>1862.8986267407299</c:v>
                </c:pt>
                <c:pt idx="423">
                  <c:v>1845.3860728779148</c:v>
                </c:pt>
                <c:pt idx="424">
                  <c:v>1827.8090077777167</c:v>
                </c:pt>
                <c:pt idx="425">
                  <c:v>1810.1674106681285</c:v>
                </c:pt>
                <c:pt idx="426">
                  <c:v>1748.6771402897714</c:v>
                </c:pt>
                <c:pt idx="427">
                  <c:v>1738.9552874823266</c:v>
                </c:pt>
                <c:pt idx="428">
                  <c:v>1720.9907195335461</c:v>
                </c:pt>
                <c:pt idx="429">
                  <c:v>1702.9614954164174</c:v>
                </c:pt>
                <c:pt idx="430">
                  <c:v>1684.8675945180958</c:v>
                </c:pt>
                <c:pt idx="431">
                  <c:v>1622.5033382666254</c:v>
                </c:pt>
                <c:pt idx="432">
                  <c:v>1611.8448116310446</c:v>
                </c:pt>
                <c:pt idx="433">
                  <c:v>1593.4272184159681</c:v>
                </c:pt>
                <c:pt idx="434">
                  <c:v>1574.9448252155673</c:v>
                </c:pt>
                <c:pt idx="435">
                  <c:v>1556.3976115753064</c:v>
                </c:pt>
                <c:pt idx="436">
                  <c:v>1493.1570921261539</c:v>
                </c:pt>
                <c:pt idx="437">
                  <c:v>1481.5601443378057</c:v>
                </c:pt>
                <c:pt idx="438">
                  <c:v>1462.6885224896569</c:v>
                </c:pt>
                <c:pt idx="439">
                  <c:v>1443.7519579583125</c:v>
                </c:pt>
                <c:pt idx="440">
                  <c:v>1424.7504304505301</c:v>
                </c:pt>
                <c:pt idx="441">
                  <c:v>1360.6313852559992</c:v>
                </c:pt>
                <c:pt idx="442">
                  <c:v>1348.0942855889566</c:v>
                </c:pt>
                <c:pt idx="443">
                  <c:v>1328.7676396014094</c:v>
                </c:pt>
                <c:pt idx="444">
                  <c:v>1309.3759093602841</c:v>
                </c:pt>
                <c:pt idx="445">
                  <c:v>1289.9190747333478</c:v>
                </c:pt>
                <c:pt idx="446">
                  <c:v>1224.9192561246502</c:v>
                </c:pt>
                <c:pt idx="447">
                  <c:v>1211.4402905400823</c:v>
                </c:pt>
                <c:pt idx="448">
                  <c:v>1191.6576328158612</c:v>
                </c:pt>
                <c:pt idx="449">
                  <c:v>1171.8097504009961</c:v>
                </c:pt>
                <c:pt idx="450">
                  <c:v>1151.8966233259675</c:v>
                </c:pt>
                <c:pt idx="451">
                  <c:v>1086.0137986159657</c:v>
                </c:pt>
                <c:pt idx="452">
                  <c:v>1071.5912698505292</c:v>
                </c:pt>
                <c:pt idx="453">
                  <c:v>1051.3516207485907</c:v>
                </c:pt>
                <c:pt idx="454">
                  <c:v>1031.0466076590785</c:v>
                </c:pt>
                <c:pt idx="455">
                  <c:v>1010.6762107766087</c:v>
                </c:pt>
                <c:pt idx="456">
                  <c:v>943.90816236028741</c:v>
                </c:pt>
                <c:pt idx="457">
                  <c:v>928.54039001423416</c:v>
                </c:pt>
                <c:pt idx="458">
                  <c:v>907.84277789637713</c:v>
                </c:pt>
                <c:pt idx="459">
                  <c:v>887.07966364154345</c:v>
                </c:pt>
                <c:pt idx="460">
                  <c:v>866.25102760876882</c:v>
                </c:pt>
                <c:pt idx="461">
                  <c:v>798.59555306413199</c:v>
                </c:pt>
                <c:pt idx="462">
                  <c:v>782.28087368856325</c:v>
                </c:pt>
                <c:pt idx="463">
                  <c:v>761.12433496646759</c:v>
                </c:pt>
                <c:pt idx="464">
                  <c:v>739.90215711233986</c:v>
                </c:pt>
                <c:pt idx="465">
                  <c:v>718.61432064963537</c:v>
                </c:pt>
                <c:pt idx="466">
                  <c:v>650.06923283775109</c:v>
                </c:pt>
                <c:pt idx="467">
                  <c:v>632.80600002102005</c:v>
                </c:pt>
                <c:pt idx="468">
                  <c:v>611.18957920342609</c:v>
                </c:pt>
                <c:pt idx="469">
                  <c:v>589.50738341849274</c:v>
                </c:pt>
                <c:pt idx="470">
                  <c:v>567.7593933565106</c:v>
                </c:pt>
                <c:pt idx="471">
                  <c:v>498.32252052041781</c:v>
                </c:pt>
                <c:pt idx="472">
                  <c:v>480.10910497296777</c:v>
                </c:pt>
                <c:pt idx="473">
                  <c:v>458.03185471143593</c:v>
                </c:pt>
                <c:pt idx="474">
                  <c:v>435.88869481439474</c:v>
                </c:pt>
                <c:pt idx="475">
                  <c:v>413.67960613925447</c:v>
                </c:pt>
                <c:pt idx="476">
                  <c:v>343.34879200400792</c:v>
                </c:pt>
                <c:pt idx="477">
                  <c:v>324.18358164406413</c:v>
                </c:pt>
                <c:pt idx="478">
                  <c:v>301.64456277830709</c:v>
                </c:pt>
                <c:pt idx="479">
                  <c:v>279.03950078254525</c:v>
                </c:pt>
                <c:pt idx="480">
                  <c:v>256.36837668216117</c:v>
                </c:pt>
                <c:pt idx="481">
                  <c:v>185.14148055174925</c:v>
                </c:pt>
                <c:pt idx="482">
                  <c:v>165.02288059001555</c:v>
                </c:pt>
                <c:pt idx="483">
                  <c:v>142.02116219408367</c:v>
                </c:pt>
                <c:pt idx="484">
                  <c:v>118.95326835357879</c:v>
                </c:pt>
                <c:pt idx="485">
                  <c:v>95.819180262992631</c:v>
                </c:pt>
                <c:pt idx="486">
                  <c:v>23.694077119245094</c:v>
                </c:pt>
                <c:pt idx="487">
                  <c:v>2.6205101414689125</c:v>
                </c:pt>
                <c:pt idx="488">
                  <c:v>-20.844830431343553</c:v>
                </c:pt>
                <c:pt idx="489">
                  <c:v>-44.37647757683294</c:v>
                </c:pt>
                <c:pt idx="490">
                  <c:v>-67.97444993040358</c:v>
                </c:pt>
                <c:pt idx="491">
                  <c:v>-140.99986933203468</c:v>
                </c:pt>
                <c:pt idx="492">
                  <c:v>-163.02996328136032</c:v>
                </c:pt>
                <c:pt idx="493">
                  <c:v>-186.95984035318247</c:v>
                </c:pt>
                <c:pt idx="494">
                  <c:v>-210.95615393306841</c:v>
                </c:pt>
                <c:pt idx="495">
                  <c:v>-235.0189224860344</c:v>
                </c:pt>
                <c:pt idx="496">
                  <c:v>-308.9467515191302</c:v>
                </c:pt>
                <c:pt idx="497">
                  <c:v>-331.93491485477011</c:v>
                </c:pt>
                <c:pt idx="498">
                  <c:v>-356.33023437952716</c:v>
                </c:pt>
                <c:pt idx="499">
                  <c:v>-380.7921191489072</c:v>
                </c:pt>
                <c:pt idx="500">
                  <c:v>-405.32058745526456</c:v>
                </c:pt>
                <c:pt idx="501">
                  <c:v>-480.15290352694251</c:v>
                </c:pt>
                <c:pt idx="502">
                  <c:v>-504.10066104205953</c:v>
                </c:pt>
                <c:pt idx="503">
                  <c:v>-528.96232056099279</c:v>
                </c:pt>
                <c:pt idx="504">
                  <c:v>-553.89067285489091</c:v>
                </c:pt>
                <c:pt idx="505">
                  <c:v>-578.88573604429894</c:v>
                </c:pt>
                <c:pt idx="506">
                  <c:v>-654.62460049971583</c:v>
                </c:pt>
                <c:pt idx="507">
                  <c:v>-679.53345928486897</c:v>
                </c:pt>
                <c:pt idx="508">
                  <c:v>-704.86234788177171</c:v>
                </c:pt>
                <c:pt idx="509">
                  <c:v>-730.25805557335843</c:v>
                </c:pt>
                <c:pt idx="510">
                  <c:v>-755.7206003056649</c:v>
                </c:pt>
                <c:pt idx="511">
                  <c:v>-781.25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75-4125-A644-3E19567A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928818"/>
        <c:axId val="680073890"/>
      </c:lineChart>
      <c:dateAx>
        <c:axId val="929928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680073890"/>
        <c:crosses val="autoZero"/>
        <c:auto val="1"/>
        <c:lblOffset val="100"/>
        <c:baseTimeUnit val="days"/>
      </c:dateAx>
      <c:valAx>
        <c:axId val="680073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92992881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DC4-4126-B4E7-451A120FB6E7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3DC4-4126-B4E7-451A120FB6E7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3DC4-4126-B4E7-451A120FB6E7}"/>
              </c:ext>
            </c:extLst>
          </c:dPt>
          <c:cat>
            <c:numRef>
              <c:f>'Bond (2)'!$A$16:$A$277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(2)'!$E$16:$E$277</c:f>
              <c:numCache>
                <c:formatCode>0.00</c:formatCode>
                <c:ptCount val="26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2.458612</c:v>
                </c:pt>
                <c:pt idx="194">
                  <c:v>2.458612</c:v>
                </c:pt>
                <c:pt idx="195">
                  <c:v>2.458612</c:v>
                </c:pt>
                <c:pt idx="196">
                  <c:v>2.458612</c:v>
                </c:pt>
                <c:pt idx="197">
                  <c:v>2.458612</c:v>
                </c:pt>
                <c:pt idx="198">
                  <c:v>2.458612</c:v>
                </c:pt>
                <c:pt idx="199">
                  <c:v>2.458612</c:v>
                </c:pt>
                <c:pt idx="200">
                  <c:v>2.458612</c:v>
                </c:pt>
                <c:pt idx="201">
                  <c:v>2.458612</c:v>
                </c:pt>
                <c:pt idx="202">
                  <c:v>2.458612</c:v>
                </c:pt>
                <c:pt idx="203">
                  <c:v>2.458612</c:v>
                </c:pt>
                <c:pt idx="204">
                  <c:v>2.458612</c:v>
                </c:pt>
                <c:pt idx="205">
                  <c:v>2.458612</c:v>
                </c:pt>
                <c:pt idx="206">
                  <c:v>2.458612</c:v>
                </c:pt>
                <c:pt idx="207">
                  <c:v>2.458612</c:v>
                </c:pt>
                <c:pt idx="208">
                  <c:v>2.458612</c:v>
                </c:pt>
                <c:pt idx="209">
                  <c:v>2.458612</c:v>
                </c:pt>
                <c:pt idx="210">
                  <c:v>2.458612</c:v>
                </c:pt>
                <c:pt idx="211">
                  <c:v>2.458612</c:v>
                </c:pt>
                <c:pt idx="212">
                  <c:v>2.458612</c:v>
                </c:pt>
                <c:pt idx="213">
                  <c:v>2.458612</c:v>
                </c:pt>
                <c:pt idx="214">
                  <c:v>2.458612</c:v>
                </c:pt>
                <c:pt idx="215">
                  <c:v>2.458612</c:v>
                </c:pt>
                <c:pt idx="216">
                  <c:v>2.458612</c:v>
                </c:pt>
                <c:pt idx="217">
                  <c:v>2.458612</c:v>
                </c:pt>
                <c:pt idx="218">
                  <c:v>2.458612</c:v>
                </c:pt>
                <c:pt idx="219">
                  <c:v>2.458612</c:v>
                </c:pt>
                <c:pt idx="220">
                  <c:v>2.458612</c:v>
                </c:pt>
                <c:pt idx="221">
                  <c:v>2.458612</c:v>
                </c:pt>
                <c:pt idx="222">
                  <c:v>2.458612</c:v>
                </c:pt>
                <c:pt idx="223">
                  <c:v>2.458612</c:v>
                </c:pt>
                <c:pt idx="224">
                  <c:v>2.458612</c:v>
                </c:pt>
                <c:pt idx="225">
                  <c:v>2.458612</c:v>
                </c:pt>
                <c:pt idx="226">
                  <c:v>2.458612</c:v>
                </c:pt>
                <c:pt idx="227">
                  <c:v>2.458612</c:v>
                </c:pt>
                <c:pt idx="228">
                  <c:v>2.458612</c:v>
                </c:pt>
                <c:pt idx="229">
                  <c:v>2.458612</c:v>
                </c:pt>
                <c:pt idx="230">
                  <c:v>2.458612</c:v>
                </c:pt>
                <c:pt idx="231">
                  <c:v>2.458612</c:v>
                </c:pt>
                <c:pt idx="232">
                  <c:v>2.458612</c:v>
                </c:pt>
                <c:pt idx="233">
                  <c:v>2.458612</c:v>
                </c:pt>
                <c:pt idx="234">
                  <c:v>2.458612</c:v>
                </c:pt>
                <c:pt idx="235">
                  <c:v>2.458612</c:v>
                </c:pt>
                <c:pt idx="236">
                  <c:v>2.458612</c:v>
                </c:pt>
                <c:pt idx="237">
                  <c:v>2.458612</c:v>
                </c:pt>
                <c:pt idx="238">
                  <c:v>2.458612</c:v>
                </c:pt>
                <c:pt idx="239">
                  <c:v>2.458612</c:v>
                </c:pt>
                <c:pt idx="240">
                  <c:v>2.458612</c:v>
                </c:pt>
                <c:pt idx="241">
                  <c:v>2.458612</c:v>
                </c:pt>
                <c:pt idx="242">
                  <c:v>2.458612</c:v>
                </c:pt>
                <c:pt idx="243">
                  <c:v>2.458612</c:v>
                </c:pt>
                <c:pt idx="244">
                  <c:v>2.458612</c:v>
                </c:pt>
                <c:pt idx="245">
                  <c:v>2.458612</c:v>
                </c:pt>
                <c:pt idx="246">
                  <c:v>2.458612</c:v>
                </c:pt>
                <c:pt idx="247">
                  <c:v>2.458612</c:v>
                </c:pt>
                <c:pt idx="248">
                  <c:v>2.458612</c:v>
                </c:pt>
                <c:pt idx="249">
                  <c:v>2.458612</c:v>
                </c:pt>
                <c:pt idx="250">
                  <c:v>2.458612</c:v>
                </c:pt>
                <c:pt idx="251">
                  <c:v>2.458612</c:v>
                </c:pt>
                <c:pt idx="252">
                  <c:v>2.458612</c:v>
                </c:pt>
                <c:pt idx="253">
                  <c:v>2.458612</c:v>
                </c:pt>
                <c:pt idx="254">
                  <c:v>2.458612</c:v>
                </c:pt>
                <c:pt idx="255">
                  <c:v>2.458612</c:v>
                </c:pt>
                <c:pt idx="256">
                  <c:v>2.458612</c:v>
                </c:pt>
                <c:pt idx="257">
                  <c:v>2.458612</c:v>
                </c:pt>
                <c:pt idx="258">
                  <c:v>2.458612</c:v>
                </c:pt>
                <c:pt idx="259">
                  <c:v>2.458612</c:v>
                </c:pt>
                <c:pt idx="260">
                  <c:v>2.458612</c:v>
                </c:pt>
                <c:pt idx="261">
                  <c:v>2.458612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4-4126-B4E7-451A120F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97707"/>
        <c:axId val="867877014"/>
      </c:lineChart>
      <c:dateAx>
        <c:axId val="195697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867877014"/>
        <c:crosses val="autoZero"/>
        <c:auto val="1"/>
        <c:lblOffset val="100"/>
        <c:baseTimeUnit val="days"/>
      </c:dateAx>
      <c:valAx>
        <c:axId val="867877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9569770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AE6-4236-876A-0099480854C7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5AE6-4236-876A-0099480854C7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5AE6-4236-876A-0099480854C7}"/>
              </c:ext>
            </c:extLst>
          </c:dPt>
          <c:cat>
            <c:numRef>
              <c:f>'Bond (2)'!$A$16:$A$277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(2)'!$C$16:$C$277</c:f>
              <c:numCache>
                <c:formatCode>0.0</c:formatCode>
                <c:ptCount val="26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E6-4236-876A-0099480854C7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4-5AE6-4236-876A-0099480854C7}"/>
              </c:ext>
            </c:extLst>
          </c:dPt>
          <c:cat>
            <c:numRef>
              <c:f>'Bond (2)'!$A$16:$A$277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(2)'!$I$16:$I$277</c:f>
              <c:numCache>
                <c:formatCode>0.0</c:formatCode>
                <c:ptCount val="26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18179.583650793575</c:v>
                </c:pt>
                <c:pt idx="194">
                  <c:v>18247.214261193483</c:v>
                </c:pt>
                <c:pt idx="195">
                  <c:v>18314.849514208712</c:v>
                </c:pt>
                <c:pt idx="196">
                  <c:v>18517.783132100871</c:v>
                </c:pt>
                <c:pt idx="197">
                  <c:v>18585.436958730785</c:v>
                </c:pt>
                <c:pt idx="198">
                  <c:v>18653.095429552144</c:v>
                </c:pt>
                <c:pt idx="199">
                  <c:v>18720.75854488058</c:v>
                </c:pt>
                <c:pt idx="200">
                  <c:v>18788.426305031142</c:v>
                </c:pt>
                <c:pt idx="201">
                  <c:v>18991.457457568122</c:v>
                </c:pt>
                <c:pt idx="202">
                  <c:v>19059.143800160433</c:v>
                </c:pt>
                <c:pt idx="203">
                  <c:v>19126.834789151424</c:v>
                </c:pt>
                <c:pt idx="204">
                  <c:v>19194.530424856723</c:v>
                </c:pt>
                <c:pt idx="205">
                  <c:v>19262.23070759152</c:v>
                </c:pt>
                <c:pt idx="206">
                  <c:v>19465.359441128559</c:v>
                </c:pt>
                <c:pt idx="207">
                  <c:v>19533.078315136441</c:v>
                </c:pt>
                <c:pt idx="208">
                  <c:v>19600.801837751518</c:v>
                </c:pt>
                <c:pt idx="209">
                  <c:v>19668.530009289261</c:v>
                </c:pt>
                <c:pt idx="210">
                  <c:v>19736.262830065152</c:v>
                </c:pt>
                <c:pt idx="211">
                  <c:v>19939.489190978245</c:v>
                </c:pt>
                <c:pt idx="212">
                  <c:v>20007.240611863395</c:v>
                </c:pt>
                <c:pt idx="213">
                  <c:v>20074.996683564528</c:v>
                </c:pt>
                <c:pt idx="214">
                  <c:v>20142.757406397832</c:v>
                </c:pt>
                <c:pt idx="215">
                  <c:v>20210.522780678926</c:v>
                </c:pt>
                <c:pt idx="216">
                  <c:v>20413.846815366651</c:v>
                </c:pt>
                <c:pt idx="217">
                  <c:v>20481.630798596725</c:v>
                </c:pt>
                <c:pt idx="218">
                  <c:v>20549.419434853568</c:v>
                </c:pt>
                <c:pt idx="219">
                  <c:v>20617.212724452795</c:v>
                </c:pt>
                <c:pt idx="220">
                  <c:v>20685.010667710598</c:v>
                </c:pt>
                <c:pt idx="221">
                  <c:v>20888.432422593567</c:v>
                </c:pt>
                <c:pt idx="222">
                  <c:v>20956.248983644473</c:v>
                </c:pt>
                <c:pt idx="223">
                  <c:v>21024.070199933212</c:v>
                </c:pt>
                <c:pt idx="224">
                  <c:v>21091.896071776402</c:v>
                </c:pt>
                <c:pt idx="225">
                  <c:v>21159.726599489521</c:v>
                </c:pt>
                <c:pt idx="226">
                  <c:v>21363.246121010507</c:v>
                </c:pt>
                <c:pt idx="227">
                  <c:v>21431.095275365118</c:v>
                </c:pt>
                <c:pt idx="228">
                  <c:v>21498.949087170335</c:v>
                </c:pt>
                <c:pt idx="229">
                  <c:v>21566.807556742198</c:v>
                </c:pt>
                <c:pt idx="230">
                  <c:v>21634.6706843969</c:v>
                </c:pt>
                <c:pt idx="231">
                  <c:v>21838.28801902086</c:v>
                </c:pt>
                <c:pt idx="232">
                  <c:v>21906.169782169429</c:v>
                </c:pt>
                <c:pt idx="233">
                  <c:v>21974.05620498208</c:v>
                </c:pt>
                <c:pt idx="234">
                  <c:v>22041.947287775012</c:v>
                </c:pt>
                <c:pt idx="235">
                  <c:v>22109.843030864839</c:v>
                </c:pt>
                <c:pt idx="236">
                  <c:v>22313.558225078454</c:v>
                </c:pt>
                <c:pt idx="237">
                  <c:v>22381.472612518908</c:v>
                </c:pt>
                <c:pt idx="238">
                  <c:v>22449.391661837788</c:v>
                </c:pt>
                <c:pt idx="239">
                  <c:v>22517.315373352132</c:v>
                </c:pt>
                <c:pt idx="240">
                  <c:v>22585.243747377848</c:v>
                </c:pt>
                <c:pt idx="241">
                  <c:v>22789.056847689841</c:v>
                </c:pt>
                <c:pt idx="242">
                  <c:v>22857.003874927224</c:v>
                </c:pt>
                <c:pt idx="243">
                  <c:v>22924.955566258646</c:v>
                </c:pt>
                <c:pt idx="244">
                  <c:v>22992.911922001149</c:v>
                </c:pt>
                <c:pt idx="245">
                  <c:v>23060.8729424712</c:v>
                </c:pt>
                <c:pt idx="246">
                  <c:v>23264.783995412454</c:v>
                </c:pt>
                <c:pt idx="247">
                  <c:v>23332.76367795933</c:v>
                </c:pt>
                <c:pt idx="248">
                  <c:v>23400.748026817</c:v>
                </c:pt>
                <c:pt idx="249">
                  <c:v>23468.737042302073</c:v>
                </c:pt>
                <c:pt idx="250">
                  <c:v>23536.730724731879</c:v>
                </c:pt>
                <c:pt idx="251">
                  <c:v>23738.901564181066</c:v>
                </c:pt>
                <c:pt idx="252">
                  <c:v>23805.30942124781</c:v>
                </c:pt>
                <c:pt idx="253">
                  <c:v>23871.721888604301</c:v>
                </c:pt>
                <c:pt idx="254">
                  <c:v>23938.138966563183</c:v>
                </c:pt>
                <c:pt idx="255">
                  <c:v>24004.560655438232</c:v>
                </c:pt>
                <c:pt idx="256">
                  <c:v>24203.853390686319</c:v>
                </c:pt>
                <c:pt idx="257">
                  <c:v>24270.293526353831</c:v>
                </c:pt>
                <c:pt idx="258">
                  <c:v>24336.738274501982</c:v>
                </c:pt>
                <c:pt idx="259">
                  <c:v>24403.187635444123</c:v>
                </c:pt>
                <c:pt idx="260">
                  <c:v>24469.641609493312</c:v>
                </c:pt>
                <c:pt idx="261">
                  <c:v>24669.031213414411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E6-4236-876A-0099480854C7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(2)'!$A$16:$A$277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(2)'!$H$16:$H$277</c:f>
              <c:numCache>
                <c:formatCode>_(* #,##0.000_);_(* \(#,##0.000\);_(* "-"??_);_(@_)</c:formatCode>
                <c:ptCount val="26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-306.88911557049892</c:v>
                </c:pt>
                <c:pt idx="194">
                  <c:v>-307.93982385191043</c:v>
                </c:pt>
                <c:pt idx="195">
                  <c:v>-308.98588951799866</c:v>
                </c:pt>
                <c:pt idx="196">
                  <c:v>-312.09622766979805</c:v>
                </c:pt>
                <c:pt idx="197">
                  <c:v>-313.12371972120445</c:v>
                </c:pt>
                <c:pt idx="198">
                  <c:v>-314.14656758116166</c:v>
                </c:pt>
                <c:pt idx="199">
                  <c:v>-315.1647709340466</c:v>
                </c:pt>
                <c:pt idx="200">
                  <c:v>-316.17832946480462</c:v>
                </c:pt>
                <c:pt idx="201">
                  <c:v>-319.19113297178114</c:v>
                </c:pt>
                <c:pt idx="202">
                  <c:v>-320.18610906078493</c:v>
                </c:pt>
                <c:pt idx="203">
                  <c:v>-321.17643875110957</c:v>
                </c:pt>
                <c:pt idx="204">
                  <c:v>-322.16212172713199</c:v>
                </c:pt>
                <c:pt idx="205">
                  <c:v>-323.14315767365542</c:v>
                </c:pt>
                <c:pt idx="206">
                  <c:v>-326.05838018056943</c:v>
                </c:pt>
                <c:pt idx="207">
                  <c:v>-327.02082485400297</c:v>
                </c:pt>
                <c:pt idx="208">
                  <c:v>-327.97862092024843</c:v>
                </c:pt>
                <c:pt idx="209">
                  <c:v>-328.93176806382485</c:v>
                </c:pt>
                <c:pt idx="210">
                  <c:v>-329.88026596925124</c:v>
                </c:pt>
                <c:pt idx="211">
                  <c:v>-332.69786110011523</c:v>
                </c:pt>
                <c:pt idx="212">
                  <c:v>-333.62775889628438</c:v>
                </c:pt>
                <c:pt idx="213">
                  <c:v>-334.5530058764723</c:v>
                </c:pt>
                <c:pt idx="214">
                  <c:v>-335.47360172448748</c:v>
                </c:pt>
                <c:pt idx="215">
                  <c:v>-336.38954612470684</c:v>
                </c:pt>
                <c:pt idx="216">
                  <c:v>-339.10946748093806</c:v>
                </c:pt>
                <c:pt idx="217">
                  <c:v>-340.00680293218016</c:v>
                </c:pt>
                <c:pt idx="218">
                  <c:v>-340.89948535665826</c:v>
                </c:pt>
                <c:pt idx="219">
                  <c:v>-341.78751443874944</c:v>
                </c:pt>
                <c:pt idx="220">
                  <c:v>-342.67088986226213</c:v>
                </c:pt>
                <c:pt idx="221">
                  <c:v>-345.29309102325101</c:v>
                </c:pt>
                <c:pt idx="222">
                  <c:v>-346.15784865366089</c:v>
                </c:pt>
                <c:pt idx="223">
                  <c:v>-347.01795104624011</c:v>
                </c:pt>
                <c:pt idx="224">
                  <c:v>-347.87339788437066</c:v>
                </c:pt>
                <c:pt idx="225">
                  <c:v>-348.72418885257161</c:v>
                </c:pt>
                <c:pt idx="226">
                  <c:v>-351.24862337553964</c:v>
                </c:pt>
                <c:pt idx="227">
                  <c:v>-352.08078770224915</c:v>
                </c:pt>
                <c:pt idx="228">
                  <c:v>-352.90829457835571</c:v>
                </c:pt>
                <c:pt idx="229">
                  <c:v>-353.73114368780989</c:v>
                </c:pt>
                <c:pt idx="230">
                  <c:v>-354.54933471442018</c:v>
                </c:pt>
                <c:pt idx="231">
                  <c:v>-356.9759561344199</c:v>
                </c:pt>
                <c:pt idx="232">
                  <c:v>-357.77551166717103</c:v>
                </c:pt>
                <c:pt idx="233">
                  <c:v>-358.57040753583647</c:v>
                </c:pt>
                <c:pt idx="234">
                  <c:v>-359.36064342422469</c:v>
                </c:pt>
                <c:pt idx="235">
                  <c:v>-360.14621901571786</c:v>
                </c:pt>
                <c:pt idx="236">
                  <c:v>-362.47498084605917</c:v>
                </c:pt>
                <c:pt idx="237">
                  <c:v>-363.24191208692014</c:v>
                </c:pt>
                <c:pt idx="238">
                  <c:v>-364.00418144935998</c:v>
                </c:pt>
                <c:pt idx="239">
                  <c:v>-364.76178861633457</c:v>
                </c:pt>
                <c:pt idx="240">
                  <c:v>-365.51473327193662</c:v>
                </c:pt>
                <c:pt idx="241">
                  <c:v>-367.74558900390269</c:v>
                </c:pt>
                <c:pt idx="242">
                  <c:v>-368.47988044783619</c:v>
                </c:pt>
                <c:pt idx="243">
                  <c:v>-369.2095077977342</c:v>
                </c:pt>
                <c:pt idx="244">
                  <c:v>-369.93447073655261</c:v>
                </c:pt>
                <c:pt idx="245">
                  <c:v>-370.65476894781568</c:v>
                </c:pt>
                <c:pt idx="246">
                  <c:v>-372.78767205052077</c:v>
                </c:pt>
                <c:pt idx="247">
                  <c:v>-373.48930818495779</c:v>
                </c:pt>
                <c:pt idx="248">
                  <c:v>-374.18627800860804</c:v>
                </c:pt>
                <c:pt idx="249">
                  <c:v>-374.87858120485384</c:v>
                </c:pt>
                <c:pt idx="250">
                  <c:v>-375.5662174563667</c:v>
                </c:pt>
                <c:pt idx="251">
                  <c:v>-377.94626190589042</c:v>
                </c:pt>
                <c:pt idx="252">
                  <c:v>-379.47318744784292</c:v>
                </c:pt>
                <c:pt idx="253">
                  <c:v>-380.99550270004556</c:v>
                </c:pt>
                <c:pt idx="254">
                  <c:v>-382.51320734985939</c:v>
                </c:pt>
                <c:pt idx="255">
                  <c:v>-384.02630108350871</c:v>
                </c:pt>
                <c:pt idx="256">
                  <c:v>-388.53791366150858</c:v>
                </c:pt>
                <c:pt idx="257">
                  <c:v>-390.03256060269109</c:v>
                </c:pt>
                <c:pt idx="258">
                  <c:v>-391.52259506323617</c:v>
                </c:pt>
                <c:pt idx="259">
                  <c:v>-393.00801672979446</c:v>
                </c:pt>
                <c:pt idx="260">
                  <c:v>-394.48882528930085</c:v>
                </c:pt>
                <c:pt idx="261">
                  <c:v>-398.90356919428882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E6-4236-876A-009948085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631070"/>
        <c:axId val="1915014213"/>
      </c:lineChart>
      <c:dateAx>
        <c:axId val="553631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915014213"/>
        <c:crosses val="autoZero"/>
        <c:auto val="1"/>
        <c:lblOffset val="100"/>
        <c:baseTimeUnit val="days"/>
      </c:dateAx>
      <c:valAx>
        <c:axId val="1915014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55363107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330-49A7-B9F8-057EAF71204F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9330-49A7-B9F8-057EAF71204F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9330-49A7-B9F8-057EAF71204F}"/>
              </c:ext>
            </c:extLst>
          </c:dPt>
          <c:cat>
            <c:numRef>
              <c:f>'Bond (2)'!$A$16:$A$527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(2)'!$E$16:$E$527</c:f>
              <c:numCache>
                <c:formatCode>0.00</c:formatCode>
                <c:ptCount val="51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2.458612</c:v>
                </c:pt>
                <c:pt idx="194">
                  <c:v>2.458612</c:v>
                </c:pt>
                <c:pt idx="195">
                  <c:v>2.458612</c:v>
                </c:pt>
                <c:pt idx="196">
                  <c:v>2.458612</c:v>
                </c:pt>
                <c:pt idx="197">
                  <c:v>2.458612</c:v>
                </c:pt>
                <c:pt idx="198">
                  <c:v>2.458612</c:v>
                </c:pt>
                <c:pt idx="199">
                  <c:v>2.458612</c:v>
                </c:pt>
                <c:pt idx="200">
                  <c:v>2.458612</c:v>
                </c:pt>
                <c:pt idx="201">
                  <c:v>2.458612</c:v>
                </c:pt>
                <c:pt idx="202">
                  <c:v>2.458612</c:v>
                </c:pt>
                <c:pt idx="203">
                  <c:v>2.458612</c:v>
                </c:pt>
                <c:pt idx="204">
                  <c:v>2.458612</c:v>
                </c:pt>
                <c:pt idx="205">
                  <c:v>2.458612</c:v>
                </c:pt>
                <c:pt idx="206">
                  <c:v>2.458612</c:v>
                </c:pt>
                <c:pt idx="207">
                  <c:v>2.458612</c:v>
                </c:pt>
                <c:pt idx="208">
                  <c:v>2.458612</c:v>
                </c:pt>
                <c:pt idx="209">
                  <c:v>2.458612</c:v>
                </c:pt>
                <c:pt idx="210">
                  <c:v>2.458612</c:v>
                </c:pt>
                <c:pt idx="211">
                  <c:v>2.458612</c:v>
                </c:pt>
                <c:pt idx="212">
                  <c:v>2.458612</c:v>
                </c:pt>
                <c:pt idx="213">
                  <c:v>2.458612</c:v>
                </c:pt>
                <c:pt idx="214">
                  <c:v>2.458612</c:v>
                </c:pt>
                <c:pt idx="215">
                  <c:v>2.458612</c:v>
                </c:pt>
                <c:pt idx="216">
                  <c:v>2.458612</c:v>
                </c:pt>
                <c:pt idx="217">
                  <c:v>2.458612</c:v>
                </c:pt>
                <c:pt idx="218">
                  <c:v>2.458612</c:v>
                </c:pt>
                <c:pt idx="219">
                  <c:v>2.458612</c:v>
                </c:pt>
                <c:pt idx="220">
                  <c:v>2.458612</c:v>
                </c:pt>
                <c:pt idx="221">
                  <c:v>2.458612</c:v>
                </c:pt>
                <c:pt idx="222">
                  <c:v>2.458612</c:v>
                </c:pt>
                <c:pt idx="223">
                  <c:v>2.458612</c:v>
                </c:pt>
                <c:pt idx="224">
                  <c:v>2.458612</c:v>
                </c:pt>
                <c:pt idx="225">
                  <c:v>2.458612</c:v>
                </c:pt>
                <c:pt idx="226">
                  <c:v>2.458612</c:v>
                </c:pt>
                <c:pt idx="227">
                  <c:v>2.458612</c:v>
                </c:pt>
                <c:pt idx="228">
                  <c:v>2.458612</c:v>
                </c:pt>
                <c:pt idx="229">
                  <c:v>2.458612</c:v>
                </c:pt>
                <c:pt idx="230">
                  <c:v>2.458612</c:v>
                </c:pt>
                <c:pt idx="231">
                  <c:v>2.458612</c:v>
                </c:pt>
                <c:pt idx="232">
                  <c:v>2.458612</c:v>
                </c:pt>
                <c:pt idx="233">
                  <c:v>2.458612</c:v>
                </c:pt>
                <c:pt idx="234">
                  <c:v>2.458612</c:v>
                </c:pt>
                <c:pt idx="235">
                  <c:v>2.458612</c:v>
                </c:pt>
                <c:pt idx="236">
                  <c:v>2.458612</c:v>
                </c:pt>
                <c:pt idx="237">
                  <c:v>2.458612</c:v>
                </c:pt>
                <c:pt idx="238">
                  <c:v>2.458612</c:v>
                </c:pt>
                <c:pt idx="239">
                  <c:v>2.458612</c:v>
                </c:pt>
                <c:pt idx="240">
                  <c:v>2.458612</c:v>
                </c:pt>
                <c:pt idx="241">
                  <c:v>2.458612</c:v>
                </c:pt>
                <c:pt idx="242">
                  <c:v>2.458612</c:v>
                </c:pt>
                <c:pt idx="243">
                  <c:v>2.458612</c:v>
                </c:pt>
                <c:pt idx="244">
                  <c:v>2.458612</c:v>
                </c:pt>
                <c:pt idx="245">
                  <c:v>2.458612</c:v>
                </c:pt>
                <c:pt idx="246">
                  <c:v>2.458612</c:v>
                </c:pt>
                <c:pt idx="247">
                  <c:v>2.458612</c:v>
                </c:pt>
                <c:pt idx="248">
                  <c:v>2.458612</c:v>
                </c:pt>
                <c:pt idx="249">
                  <c:v>2.458612</c:v>
                </c:pt>
                <c:pt idx="250">
                  <c:v>2.458612</c:v>
                </c:pt>
                <c:pt idx="251">
                  <c:v>2.458612</c:v>
                </c:pt>
                <c:pt idx="252">
                  <c:v>2.458612</c:v>
                </c:pt>
                <c:pt idx="253">
                  <c:v>2.458612</c:v>
                </c:pt>
                <c:pt idx="254">
                  <c:v>2.458612</c:v>
                </c:pt>
                <c:pt idx="255">
                  <c:v>2.458612</c:v>
                </c:pt>
                <c:pt idx="256">
                  <c:v>2.458612</c:v>
                </c:pt>
                <c:pt idx="257">
                  <c:v>2.458612</c:v>
                </c:pt>
                <c:pt idx="258">
                  <c:v>2.458612</c:v>
                </c:pt>
                <c:pt idx="259">
                  <c:v>2.458612</c:v>
                </c:pt>
                <c:pt idx="260">
                  <c:v>2.458612</c:v>
                </c:pt>
                <c:pt idx="261">
                  <c:v>2.458612</c:v>
                </c:pt>
                <c:pt idx="262">
                  <c:v>2.458612</c:v>
                </c:pt>
                <c:pt idx="263">
                  <c:v>2.458612</c:v>
                </c:pt>
                <c:pt idx="264">
                  <c:v>2.458612</c:v>
                </c:pt>
                <c:pt idx="265">
                  <c:v>2.458612</c:v>
                </c:pt>
                <c:pt idx="266">
                  <c:v>2.458612</c:v>
                </c:pt>
                <c:pt idx="267">
                  <c:v>2.458612</c:v>
                </c:pt>
                <c:pt idx="268">
                  <c:v>2.458612</c:v>
                </c:pt>
                <c:pt idx="269">
                  <c:v>2.458612</c:v>
                </c:pt>
                <c:pt idx="270">
                  <c:v>2.458612</c:v>
                </c:pt>
                <c:pt idx="271">
                  <c:v>2.458612</c:v>
                </c:pt>
                <c:pt idx="272">
                  <c:v>2.458612</c:v>
                </c:pt>
                <c:pt idx="273">
                  <c:v>2.458612</c:v>
                </c:pt>
                <c:pt idx="274">
                  <c:v>2.458612</c:v>
                </c:pt>
                <c:pt idx="275">
                  <c:v>2.458612</c:v>
                </c:pt>
                <c:pt idx="276">
                  <c:v>2.458612</c:v>
                </c:pt>
                <c:pt idx="277">
                  <c:v>2.458612</c:v>
                </c:pt>
                <c:pt idx="278">
                  <c:v>2.458612</c:v>
                </c:pt>
                <c:pt idx="279">
                  <c:v>2.458612</c:v>
                </c:pt>
                <c:pt idx="280">
                  <c:v>2.458612</c:v>
                </c:pt>
                <c:pt idx="281">
                  <c:v>2.458612</c:v>
                </c:pt>
                <c:pt idx="282">
                  <c:v>2.458612</c:v>
                </c:pt>
                <c:pt idx="283">
                  <c:v>2.458612</c:v>
                </c:pt>
                <c:pt idx="284">
                  <c:v>2.458612</c:v>
                </c:pt>
                <c:pt idx="285">
                  <c:v>2.458612</c:v>
                </c:pt>
                <c:pt idx="286">
                  <c:v>2.458612</c:v>
                </c:pt>
                <c:pt idx="287">
                  <c:v>2.458612</c:v>
                </c:pt>
                <c:pt idx="288">
                  <c:v>2.458612</c:v>
                </c:pt>
                <c:pt idx="289">
                  <c:v>2.458612</c:v>
                </c:pt>
                <c:pt idx="290">
                  <c:v>2.458612</c:v>
                </c:pt>
                <c:pt idx="291">
                  <c:v>2.458612</c:v>
                </c:pt>
                <c:pt idx="292">
                  <c:v>2.458612</c:v>
                </c:pt>
                <c:pt idx="293">
                  <c:v>2.458612</c:v>
                </c:pt>
                <c:pt idx="294">
                  <c:v>2.458612</c:v>
                </c:pt>
                <c:pt idx="295">
                  <c:v>2.458612</c:v>
                </c:pt>
                <c:pt idx="296">
                  <c:v>2.458612</c:v>
                </c:pt>
                <c:pt idx="297">
                  <c:v>2.458612</c:v>
                </c:pt>
                <c:pt idx="298">
                  <c:v>2.458612</c:v>
                </c:pt>
                <c:pt idx="299">
                  <c:v>2.458612</c:v>
                </c:pt>
                <c:pt idx="300">
                  <c:v>2.458612</c:v>
                </c:pt>
                <c:pt idx="301">
                  <c:v>2.458612</c:v>
                </c:pt>
                <c:pt idx="302">
                  <c:v>2.458612</c:v>
                </c:pt>
                <c:pt idx="303">
                  <c:v>2.458612</c:v>
                </c:pt>
                <c:pt idx="304">
                  <c:v>2.458612</c:v>
                </c:pt>
                <c:pt idx="305">
                  <c:v>2.458612</c:v>
                </c:pt>
                <c:pt idx="306">
                  <c:v>2.458612</c:v>
                </c:pt>
                <c:pt idx="307">
                  <c:v>2.458612</c:v>
                </c:pt>
                <c:pt idx="308">
                  <c:v>2.458612</c:v>
                </c:pt>
                <c:pt idx="309">
                  <c:v>2.458612</c:v>
                </c:pt>
                <c:pt idx="310">
                  <c:v>2.458612</c:v>
                </c:pt>
                <c:pt idx="311">
                  <c:v>2.458612</c:v>
                </c:pt>
                <c:pt idx="312">
                  <c:v>2.458612</c:v>
                </c:pt>
                <c:pt idx="313">
                  <c:v>2.458612</c:v>
                </c:pt>
                <c:pt idx="314">
                  <c:v>2.458612</c:v>
                </c:pt>
                <c:pt idx="315">
                  <c:v>2.458612</c:v>
                </c:pt>
                <c:pt idx="316">
                  <c:v>2.458612</c:v>
                </c:pt>
                <c:pt idx="317">
                  <c:v>2.458612</c:v>
                </c:pt>
                <c:pt idx="318">
                  <c:v>2.458612</c:v>
                </c:pt>
                <c:pt idx="319">
                  <c:v>2.458612</c:v>
                </c:pt>
                <c:pt idx="320">
                  <c:v>2.458612</c:v>
                </c:pt>
                <c:pt idx="321">
                  <c:v>2.458612</c:v>
                </c:pt>
                <c:pt idx="322">
                  <c:v>2.458612</c:v>
                </c:pt>
                <c:pt idx="323">
                  <c:v>2.458612</c:v>
                </c:pt>
                <c:pt idx="324">
                  <c:v>2.458612</c:v>
                </c:pt>
                <c:pt idx="325">
                  <c:v>2.458612</c:v>
                </c:pt>
                <c:pt idx="326">
                  <c:v>2.458612</c:v>
                </c:pt>
                <c:pt idx="327">
                  <c:v>2.458612</c:v>
                </c:pt>
                <c:pt idx="328">
                  <c:v>2.458612</c:v>
                </c:pt>
                <c:pt idx="329">
                  <c:v>2.458612</c:v>
                </c:pt>
                <c:pt idx="330">
                  <c:v>2.458612</c:v>
                </c:pt>
                <c:pt idx="331">
                  <c:v>2.458612</c:v>
                </c:pt>
                <c:pt idx="332">
                  <c:v>2.458612</c:v>
                </c:pt>
                <c:pt idx="333">
                  <c:v>2.458612</c:v>
                </c:pt>
                <c:pt idx="334">
                  <c:v>2.458612</c:v>
                </c:pt>
                <c:pt idx="335">
                  <c:v>2.458612</c:v>
                </c:pt>
                <c:pt idx="336">
                  <c:v>2.458612</c:v>
                </c:pt>
                <c:pt idx="337">
                  <c:v>2.458612</c:v>
                </c:pt>
                <c:pt idx="338">
                  <c:v>2.458612</c:v>
                </c:pt>
                <c:pt idx="339">
                  <c:v>2.458612</c:v>
                </c:pt>
                <c:pt idx="340">
                  <c:v>2.458612</c:v>
                </c:pt>
                <c:pt idx="341">
                  <c:v>2.458612</c:v>
                </c:pt>
                <c:pt idx="342">
                  <c:v>2.458612</c:v>
                </c:pt>
                <c:pt idx="343">
                  <c:v>2.458612</c:v>
                </c:pt>
                <c:pt idx="344">
                  <c:v>2.458612</c:v>
                </c:pt>
                <c:pt idx="345">
                  <c:v>2.458612</c:v>
                </c:pt>
                <c:pt idx="346">
                  <c:v>2.458612</c:v>
                </c:pt>
                <c:pt idx="347">
                  <c:v>2.458612</c:v>
                </c:pt>
                <c:pt idx="348">
                  <c:v>2.458612</c:v>
                </c:pt>
                <c:pt idx="349">
                  <c:v>2.458612</c:v>
                </c:pt>
                <c:pt idx="350">
                  <c:v>2.458612</c:v>
                </c:pt>
                <c:pt idx="351">
                  <c:v>2.458612</c:v>
                </c:pt>
                <c:pt idx="352">
                  <c:v>2.458612</c:v>
                </c:pt>
                <c:pt idx="353">
                  <c:v>2.458612</c:v>
                </c:pt>
                <c:pt idx="354">
                  <c:v>2.458612</c:v>
                </c:pt>
                <c:pt idx="355">
                  <c:v>2.458612</c:v>
                </c:pt>
                <c:pt idx="356">
                  <c:v>2.458612</c:v>
                </c:pt>
                <c:pt idx="357">
                  <c:v>2.458612</c:v>
                </c:pt>
                <c:pt idx="358">
                  <c:v>2.458612</c:v>
                </c:pt>
                <c:pt idx="359">
                  <c:v>2.458612</c:v>
                </c:pt>
                <c:pt idx="360">
                  <c:v>2.458612</c:v>
                </c:pt>
                <c:pt idx="361">
                  <c:v>2.458612</c:v>
                </c:pt>
                <c:pt idx="362">
                  <c:v>2.458612</c:v>
                </c:pt>
                <c:pt idx="363">
                  <c:v>2.458612</c:v>
                </c:pt>
                <c:pt idx="364">
                  <c:v>2.458612</c:v>
                </c:pt>
                <c:pt idx="365">
                  <c:v>2.458612</c:v>
                </c:pt>
                <c:pt idx="366">
                  <c:v>2.458612</c:v>
                </c:pt>
                <c:pt idx="367">
                  <c:v>2.458612</c:v>
                </c:pt>
                <c:pt idx="368">
                  <c:v>2.458612</c:v>
                </c:pt>
                <c:pt idx="369">
                  <c:v>2.458612</c:v>
                </c:pt>
                <c:pt idx="370">
                  <c:v>2.458612</c:v>
                </c:pt>
                <c:pt idx="371">
                  <c:v>2.458612</c:v>
                </c:pt>
                <c:pt idx="372">
                  <c:v>2.458612</c:v>
                </c:pt>
                <c:pt idx="373">
                  <c:v>2.458612</c:v>
                </c:pt>
                <c:pt idx="374">
                  <c:v>2.458612</c:v>
                </c:pt>
                <c:pt idx="375">
                  <c:v>2.458612</c:v>
                </c:pt>
                <c:pt idx="376">
                  <c:v>2.458612</c:v>
                </c:pt>
                <c:pt idx="377">
                  <c:v>2.458612</c:v>
                </c:pt>
                <c:pt idx="378">
                  <c:v>2.458612</c:v>
                </c:pt>
                <c:pt idx="379">
                  <c:v>2.458612</c:v>
                </c:pt>
                <c:pt idx="380">
                  <c:v>2.458612</c:v>
                </c:pt>
                <c:pt idx="381">
                  <c:v>2.458612</c:v>
                </c:pt>
                <c:pt idx="382">
                  <c:v>2.458612</c:v>
                </c:pt>
                <c:pt idx="383">
                  <c:v>2.458612</c:v>
                </c:pt>
                <c:pt idx="384">
                  <c:v>2.458612</c:v>
                </c:pt>
                <c:pt idx="385">
                  <c:v>2.458612</c:v>
                </c:pt>
                <c:pt idx="386">
                  <c:v>2.458612</c:v>
                </c:pt>
                <c:pt idx="387">
                  <c:v>2.458612</c:v>
                </c:pt>
                <c:pt idx="388">
                  <c:v>2.458612</c:v>
                </c:pt>
                <c:pt idx="389">
                  <c:v>2.458612</c:v>
                </c:pt>
                <c:pt idx="390">
                  <c:v>2.458612</c:v>
                </c:pt>
                <c:pt idx="391">
                  <c:v>2.458612</c:v>
                </c:pt>
                <c:pt idx="392">
                  <c:v>2.458612</c:v>
                </c:pt>
                <c:pt idx="393">
                  <c:v>2.458612</c:v>
                </c:pt>
                <c:pt idx="394">
                  <c:v>2.458612</c:v>
                </c:pt>
                <c:pt idx="395">
                  <c:v>2.458612</c:v>
                </c:pt>
                <c:pt idx="396">
                  <c:v>2.458612</c:v>
                </c:pt>
                <c:pt idx="397">
                  <c:v>2.458612</c:v>
                </c:pt>
                <c:pt idx="398">
                  <c:v>2.458612</c:v>
                </c:pt>
                <c:pt idx="399">
                  <c:v>2.458612</c:v>
                </c:pt>
                <c:pt idx="400">
                  <c:v>2.458612</c:v>
                </c:pt>
                <c:pt idx="401">
                  <c:v>2.458612</c:v>
                </c:pt>
                <c:pt idx="402">
                  <c:v>2.458612</c:v>
                </c:pt>
                <c:pt idx="403">
                  <c:v>2.458612</c:v>
                </c:pt>
                <c:pt idx="404">
                  <c:v>2.458612</c:v>
                </c:pt>
                <c:pt idx="405">
                  <c:v>2.458612</c:v>
                </c:pt>
                <c:pt idx="406">
                  <c:v>2.458612</c:v>
                </c:pt>
                <c:pt idx="407">
                  <c:v>2.458612</c:v>
                </c:pt>
                <c:pt idx="408">
                  <c:v>2.458612</c:v>
                </c:pt>
                <c:pt idx="409">
                  <c:v>2.458612</c:v>
                </c:pt>
                <c:pt idx="410">
                  <c:v>2.458612</c:v>
                </c:pt>
                <c:pt idx="411">
                  <c:v>2.458612</c:v>
                </c:pt>
                <c:pt idx="412">
                  <c:v>2.458612</c:v>
                </c:pt>
                <c:pt idx="413">
                  <c:v>2.458612</c:v>
                </c:pt>
                <c:pt idx="414">
                  <c:v>2.458612</c:v>
                </c:pt>
                <c:pt idx="415">
                  <c:v>2.458612</c:v>
                </c:pt>
                <c:pt idx="416">
                  <c:v>2.458612</c:v>
                </c:pt>
                <c:pt idx="417">
                  <c:v>2.458612</c:v>
                </c:pt>
                <c:pt idx="418">
                  <c:v>2.458612</c:v>
                </c:pt>
                <c:pt idx="419">
                  <c:v>2.458612</c:v>
                </c:pt>
                <c:pt idx="420">
                  <c:v>2.458612</c:v>
                </c:pt>
                <c:pt idx="421">
                  <c:v>2.458612</c:v>
                </c:pt>
                <c:pt idx="422">
                  <c:v>2.458612</c:v>
                </c:pt>
                <c:pt idx="423">
                  <c:v>2.458612</c:v>
                </c:pt>
                <c:pt idx="424">
                  <c:v>2.458612</c:v>
                </c:pt>
                <c:pt idx="425">
                  <c:v>2.458612</c:v>
                </c:pt>
                <c:pt idx="426">
                  <c:v>2.458612</c:v>
                </c:pt>
                <c:pt idx="427">
                  <c:v>2.458612</c:v>
                </c:pt>
                <c:pt idx="428">
                  <c:v>2.458612</c:v>
                </c:pt>
                <c:pt idx="429">
                  <c:v>2.458612</c:v>
                </c:pt>
                <c:pt idx="430">
                  <c:v>2.458612</c:v>
                </c:pt>
                <c:pt idx="431">
                  <c:v>2.458612</c:v>
                </c:pt>
                <c:pt idx="432">
                  <c:v>2.458612</c:v>
                </c:pt>
                <c:pt idx="433">
                  <c:v>2.458612</c:v>
                </c:pt>
                <c:pt idx="434">
                  <c:v>2.458612</c:v>
                </c:pt>
                <c:pt idx="435">
                  <c:v>2.458612</c:v>
                </c:pt>
                <c:pt idx="436">
                  <c:v>2.458612</c:v>
                </c:pt>
                <c:pt idx="437">
                  <c:v>2.458612</c:v>
                </c:pt>
                <c:pt idx="438">
                  <c:v>2.458612</c:v>
                </c:pt>
                <c:pt idx="439">
                  <c:v>2.458612</c:v>
                </c:pt>
                <c:pt idx="440">
                  <c:v>2.458612</c:v>
                </c:pt>
                <c:pt idx="441">
                  <c:v>2.458612</c:v>
                </c:pt>
                <c:pt idx="442">
                  <c:v>2.458612</c:v>
                </c:pt>
                <c:pt idx="443">
                  <c:v>2.458612</c:v>
                </c:pt>
                <c:pt idx="444">
                  <c:v>2.458612</c:v>
                </c:pt>
                <c:pt idx="445">
                  <c:v>2.458612</c:v>
                </c:pt>
                <c:pt idx="446">
                  <c:v>2.458612</c:v>
                </c:pt>
                <c:pt idx="447">
                  <c:v>2.458612</c:v>
                </c:pt>
                <c:pt idx="448">
                  <c:v>2.458612</c:v>
                </c:pt>
                <c:pt idx="449">
                  <c:v>2.458612</c:v>
                </c:pt>
                <c:pt idx="450">
                  <c:v>2.458612</c:v>
                </c:pt>
                <c:pt idx="451">
                  <c:v>2.458612</c:v>
                </c:pt>
                <c:pt idx="452">
                  <c:v>2.458612</c:v>
                </c:pt>
                <c:pt idx="453">
                  <c:v>2.458612</c:v>
                </c:pt>
                <c:pt idx="454">
                  <c:v>2.458612</c:v>
                </c:pt>
                <c:pt idx="455">
                  <c:v>2.458612</c:v>
                </c:pt>
                <c:pt idx="456">
                  <c:v>2.458612</c:v>
                </c:pt>
                <c:pt idx="457">
                  <c:v>2.458612</c:v>
                </c:pt>
                <c:pt idx="458">
                  <c:v>2.458612</c:v>
                </c:pt>
                <c:pt idx="459">
                  <c:v>2.458612</c:v>
                </c:pt>
                <c:pt idx="460">
                  <c:v>2.458612</c:v>
                </c:pt>
                <c:pt idx="461">
                  <c:v>2.458612</c:v>
                </c:pt>
                <c:pt idx="462">
                  <c:v>2.458612</c:v>
                </c:pt>
                <c:pt idx="463">
                  <c:v>2.458612</c:v>
                </c:pt>
                <c:pt idx="464">
                  <c:v>2.458612</c:v>
                </c:pt>
                <c:pt idx="465">
                  <c:v>2.458612</c:v>
                </c:pt>
                <c:pt idx="466">
                  <c:v>2.458612</c:v>
                </c:pt>
                <c:pt idx="467">
                  <c:v>2.458612</c:v>
                </c:pt>
                <c:pt idx="468">
                  <c:v>2.458612</c:v>
                </c:pt>
                <c:pt idx="469">
                  <c:v>2.458612</c:v>
                </c:pt>
                <c:pt idx="470">
                  <c:v>2.458612</c:v>
                </c:pt>
                <c:pt idx="471">
                  <c:v>2.458612</c:v>
                </c:pt>
                <c:pt idx="472">
                  <c:v>2.458612</c:v>
                </c:pt>
                <c:pt idx="473">
                  <c:v>2.458612</c:v>
                </c:pt>
                <c:pt idx="474">
                  <c:v>2.458612</c:v>
                </c:pt>
                <c:pt idx="475">
                  <c:v>2.458612</c:v>
                </c:pt>
                <c:pt idx="476">
                  <c:v>2.458612</c:v>
                </c:pt>
                <c:pt idx="477">
                  <c:v>2.458612</c:v>
                </c:pt>
                <c:pt idx="478">
                  <c:v>2.458612</c:v>
                </c:pt>
                <c:pt idx="479">
                  <c:v>2.458612</c:v>
                </c:pt>
                <c:pt idx="480">
                  <c:v>2.458612</c:v>
                </c:pt>
                <c:pt idx="481">
                  <c:v>2.458612</c:v>
                </c:pt>
                <c:pt idx="482">
                  <c:v>2.458612</c:v>
                </c:pt>
                <c:pt idx="483">
                  <c:v>2.458612</c:v>
                </c:pt>
                <c:pt idx="484">
                  <c:v>2.458612</c:v>
                </c:pt>
                <c:pt idx="485">
                  <c:v>2.458612</c:v>
                </c:pt>
                <c:pt idx="486">
                  <c:v>2.458612</c:v>
                </c:pt>
                <c:pt idx="487">
                  <c:v>2.458612</c:v>
                </c:pt>
                <c:pt idx="488">
                  <c:v>2.458612</c:v>
                </c:pt>
                <c:pt idx="489">
                  <c:v>2.458612</c:v>
                </c:pt>
                <c:pt idx="490">
                  <c:v>2.458612</c:v>
                </c:pt>
                <c:pt idx="491">
                  <c:v>2.458612</c:v>
                </c:pt>
                <c:pt idx="492">
                  <c:v>2.458612</c:v>
                </c:pt>
                <c:pt idx="493">
                  <c:v>2.458612</c:v>
                </c:pt>
                <c:pt idx="494">
                  <c:v>2.458612</c:v>
                </c:pt>
                <c:pt idx="495">
                  <c:v>2.458612</c:v>
                </c:pt>
                <c:pt idx="496">
                  <c:v>2.458612</c:v>
                </c:pt>
                <c:pt idx="497">
                  <c:v>2.458612</c:v>
                </c:pt>
                <c:pt idx="498">
                  <c:v>2.458612</c:v>
                </c:pt>
                <c:pt idx="499">
                  <c:v>2.458612</c:v>
                </c:pt>
                <c:pt idx="500">
                  <c:v>2.458612</c:v>
                </c:pt>
                <c:pt idx="501">
                  <c:v>2.458612</c:v>
                </c:pt>
                <c:pt idx="502">
                  <c:v>2.458612</c:v>
                </c:pt>
                <c:pt idx="503">
                  <c:v>2.458612</c:v>
                </c:pt>
                <c:pt idx="504">
                  <c:v>2.458612</c:v>
                </c:pt>
                <c:pt idx="505">
                  <c:v>2.458612</c:v>
                </c:pt>
                <c:pt idx="506">
                  <c:v>2.458612</c:v>
                </c:pt>
                <c:pt idx="507">
                  <c:v>2.458612</c:v>
                </c:pt>
                <c:pt idx="508">
                  <c:v>2.458612</c:v>
                </c:pt>
                <c:pt idx="509">
                  <c:v>2.458612</c:v>
                </c:pt>
                <c:pt idx="510">
                  <c:v>2.458612</c:v>
                </c:pt>
                <c:pt idx="511">
                  <c:v>2.458612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30-49A7-B9F8-057EAF71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969276"/>
        <c:axId val="278551727"/>
      </c:lineChart>
      <c:dateAx>
        <c:axId val="1916969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278551727"/>
        <c:crosses val="autoZero"/>
        <c:auto val="1"/>
        <c:lblOffset val="100"/>
        <c:baseTimeUnit val="days"/>
      </c:dateAx>
      <c:valAx>
        <c:axId val="278551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9169692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5DE-4C89-A494-1727DC0F1AD9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65DE-4C89-A494-1727DC0F1AD9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65DE-4C89-A494-1727DC0F1AD9}"/>
              </c:ext>
            </c:extLst>
          </c:dPt>
          <c:cat>
            <c:numRef>
              <c:f>'Bond (2)'!$A$16:$A$527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(2)'!$C$16:$C$527</c:f>
              <c:numCache>
                <c:formatCode>0.0</c:formatCode>
                <c:ptCount val="51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  <c:pt idx="262">
                  <c:v>25135.869565217396</c:v>
                </c:pt>
                <c:pt idx="263">
                  <c:v>25203.804347826092</c:v>
                </c:pt>
                <c:pt idx="264">
                  <c:v>25271.739130434788</c:v>
                </c:pt>
                <c:pt idx="265">
                  <c:v>25339.673913043483</c:v>
                </c:pt>
                <c:pt idx="266">
                  <c:v>25543.478260869571</c:v>
                </c:pt>
                <c:pt idx="267">
                  <c:v>25611.413043478267</c:v>
                </c:pt>
                <c:pt idx="268">
                  <c:v>25679.347826086963</c:v>
                </c:pt>
                <c:pt idx="269">
                  <c:v>25747.282608695659</c:v>
                </c:pt>
                <c:pt idx="270">
                  <c:v>25815.217391304355</c:v>
                </c:pt>
                <c:pt idx="271">
                  <c:v>26019.021739130443</c:v>
                </c:pt>
                <c:pt idx="272">
                  <c:v>26086.956521739139</c:v>
                </c:pt>
                <c:pt idx="273">
                  <c:v>26154.891304347835</c:v>
                </c:pt>
                <c:pt idx="274">
                  <c:v>26222.826086956531</c:v>
                </c:pt>
                <c:pt idx="275">
                  <c:v>26290.760869565227</c:v>
                </c:pt>
                <c:pt idx="276">
                  <c:v>26494.565217391315</c:v>
                </c:pt>
                <c:pt idx="277">
                  <c:v>26562.500000000011</c:v>
                </c:pt>
                <c:pt idx="278">
                  <c:v>26630.434782608707</c:v>
                </c:pt>
                <c:pt idx="279">
                  <c:v>26698.369565217403</c:v>
                </c:pt>
                <c:pt idx="280">
                  <c:v>26766.304347826099</c:v>
                </c:pt>
                <c:pt idx="281">
                  <c:v>26970.108695652187</c:v>
                </c:pt>
                <c:pt idx="282">
                  <c:v>27038.043478260883</c:v>
                </c:pt>
                <c:pt idx="283">
                  <c:v>27105.978260869579</c:v>
                </c:pt>
                <c:pt idx="284">
                  <c:v>27173.913043478275</c:v>
                </c:pt>
                <c:pt idx="285">
                  <c:v>27241.847826086971</c:v>
                </c:pt>
                <c:pt idx="286">
                  <c:v>27445.652173913059</c:v>
                </c:pt>
                <c:pt idx="287">
                  <c:v>27513.586956521754</c:v>
                </c:pt>
                <c:pt idx="288">
                  <c:v>27581.52173913045</c:v>
                </c:pt>
                <c:pt idx="289">
                  <c:v>27649.456521739146</c:v>
                </c:pt>
                <c:pt idx="290">
                  <c:v>27717.391304347842</c:v>
                </c:pt>
                <c:pt idx="291">
                  <c:v>27921.19565217393</c:v>
                </c:pt>
                <c:pt idx="292">
                  <c:v>27989.130434782626</c:v>
                </c:pt>
                <c:pt idx="293">
                  <c:v>28057.065217391322</c:v>
                </c:pt>
                <c:pt idx="294">
                  <c:v>28125.000000000018</c:v>
                </c:pt>
                <c:pt idx="295">
                  <c:v>28192.934782608714</c:v>
                </c:pt>
                <c:pt idx="296">
                  <c:v>28396.739130434802</c:v>
                </c:pt>
                <c:pt idx="297">
                  <c:v>28464.673913043498</c:v>
                </c:pt>
                <c:pt idx="298">
                  <c:v>28532.608695652194</c:v>
                </c:pt>
                <c:pt idx="299">
                  <c:v>28600.54347826089</c:v>
                </c:pt>
                <c:pt idx="300">
                  <c:v>28668.478260869586</c:v>
                </c:pt>
                <c:pt idx="301">
                  <c:v>28872.282608695674</c:v>
                </c:pt>
                <c:pt idx="302">
                  <c:v>28940.21739130437</c:v>
                </c:pt>
                <c:pt idx="303">
                  <c:v>29008.152173913066</c:v>
                </c:pt>
                <c:pt idx="304">
                  <c:v>29076.086956521762</c:v>
                </c:pt>
                <c:pt idx="305">
                  <c:v>29144.021739130458</c:v>
                </c:pt>
                <c:pt idx="306">
                  <c:v>29347.826086956546</c:v>
                </c:pt>
                <c:pt idx="307">
                  <c:v>29415.760869565242</c:v>
                </c:pt>
                <c:pt idx="308">
                  <c:v>29483.695652173938</c:v>
                </c:pt>
                <c:pt idx="309">
                  <c:v>29551.630434782634</c:v>
                </c:pt>
                <c:pt idx="310">
                  <c:v>29619.565217391329</c:v>
                </c:pt>
                <c:pt idx="311">
                  <c:v>29823.369565217414</c:v>
                </c:pt>
                <c:pt idx="312">
                  <c:v>29891.30434782611</c:v>
                </c:pt>
                <c:pt idx="313">
                  <c:v>29959.239130434806</c:v>
                </c:pt>
                <c:pt idx="314">
                  <c:v>30027.173913043502</c:v>
                </c:pt>
                <c:pt idx="315">
                  <c:v>30095.108695652198</c:v>
                </c:pt>
                <c:pt idx="316">
                  <c:v>30298.913043478286</c:v>
                </c:pt>
                <c:pt idx="317">
                  <c:v>30366.847826086982</c:v>
                </c:pt>
                <c:pt idx="318">
                  <c:v>30434.782608695674</c:v>
                </c:pt>
                <c:pt idx="319">
                  <c:v>30502.71739130437</c:v>
                </c:pt>
                <c:pt idx="320">
                  <c:v>30570.652173913066</c:v>
                </c:pt>
                <c:pt idx="321">
                  <c:v>30774.45652173915</c:v>
                </c:pt>
                <c:pt idx="322">
                  <c:v>30842.391304347846</c:v>
                </c:pt>
                <c:pt idx="323">
                  <c:v>30910.326086956542</c:v>
                </c:pt>
                <c:pt idx="324">
                  <c:v>30978.260869565238</c:v>
                </c:pt>
                <c:pt idx="325">
                  <c:v>31046.195652173934</c:v>
                </c:pt>
                <c:pt idx="326">
                  <c:v>31250.000000000022</c:v>
                </c:pt>
                <c:pt idx="327">
                  <c:v>31317.934782608718</c:v>
                </c:pt>
                <c:pt idx="328">
                  <c:v>31385.869565217414</c:v>
                </c:pt>
                <c:pt idx="329">
                  <c:v>31453.80434782611</c:v>
                </c:pt>
                <c:pt idx="330">
                  <c:v>31521.739130434806</c:v>
                </c:pt>
                <c:pt idx="331">
                  <c:v>31725.543478260894</c:v>
                </c:pt>
                <c:pt idx="332">
                  <c:v>31793.47826086959</c:v>
                </c:pt>
                <c:pt idx="333">
                  <c:v>31861.413043478286</c:v>
                </c:pt>
                <c:pt idx="334">
                  <c:v>31929.347826086982</c:v>
                </c:pt>
                <c:pt idx="335">
                  <c:v>31997.282608695674</c:v>
                </c:pt>
                <c:pt idx="336">
                  <c:v>32201.086956521762</c:v>
                </c:pt>
                <c:pt idx="337">
                  <c:v>32269.021739130458</c:v>
                </c:pt>
                <c:pt idx="338">
                  <c:v>32336.956521739154</c:v>
                </c:pt>
                <c:pt idx="339">
                  <c:v>32404.891304347846</c:v>
                </c:pt>
                <c:pt idx="340">
                  <c:v>32472.826086956542</c:v>
                </c:pt>
                <c:pt idx="341">
                  <c:v>32676.63043478263</c:v>
                </c:pt>
                <c:pt idx="342">
                  <c:v>32744.565217391326</c:v>
                </c:pt>
                <c:pt idx="343">
                  <c:v>32812.500000000022</c:v>
                </c:pt>
                <c:pt idx="344">
                  <c:v>32880.434782608718</c:v>
                </c:pt>
                <c:pt idx="345">
                  <c:v>32948.369565217414</c:v>
                </c:pt>
                <c:pt idx="346">
                  <c:v>33152.173913043502</c:v>
                </c:pt>
                <c:pt idx="347">
                  <c:v>33220.108695652198</c:v>
                </c:pt>
                <c:pt idx="348">
                  <c:v>33288.043478260894</c:v>
                </c:pt>
                <c:pt idx="349">
                  <c:v>33355.97826086959</c:v>
                </c:pt>
                <c:pt idx="350">
                  <c:v>33423.913043478286</c:v>
                </c:pt>
                <c:pt idx="351">
                  <c:v>33627.717391304373</c:v>
                </c:pt>
                <c:pt idx="352">
                  <c:v>33695.652173913069</c:v>
                </c:pt>
                <c:pt idx="353">
                  <c:v>33763.586956521765</c:v>
                </c:pt>
                <c:pt idx="354">
                  <c:v>33831.521739130461</c:v>
                </c:pt>
                <c:pt idx="355">
                  <c:v>33899.456521739157</c:v>
                </c:pt>
                <c:pt idx="356">
                  <c:v>34103.260869565245</c:v>
                </c:pt>
                <c:pt idx="357">
                  <c:v>34171.195652173941</c:v>
                </c:pt>
                <c:pt idx="358">
                  <c:v>34239.130434782637</c:v>
                </c:pt>
                <c:pt idx="359">
                  <c:v>34307.065217391333</c:v>
                </c:pt>
                <c:pt idx="360">
                  <c:v>34375.000000000029</c:v>
                </c:pt>
                <c:pt idx="361">
                  <c:v>34578.804347826117</c:v>
                </c:pt>
                <c:pt idx="362">
                  <c:v>34646.739130434813</c:v>
                </c:pt>
                <c:pt idx="363">
                  <c:v>34714.673913043509</c:v>
                </c:pt>
                <c:pt idx="364">
                  <c:v>34782.608695652205</c:v>
                </c:pt>
                <c:pt idx="365">
                  <c:v>34850.543478260901</c:v>
                </c:pt>
                <c:pt idx="366">
                  <c:v>35054.347826086989</c:v>
                </c:pt>
                <c:pt idx="367">
                  <c:v>35122.282608695685</c:v>
                </c:pt>
                <c:pt idx="368">
                  <c:v>35190.217391304381</c:v>
                </c:pt>
                <c:pt idx="369">
                  <c:v>35258.152173913077</c:v>
                </c:pt>
                <c:pt idx="370">
                  <c:v>35326.086956521773</c:v>
                </c:pt>
                <c:pt idx="371">
                  <c:v>35529.891304347861</c:v>
                </c:pt>
                <c:pt idx="372">
                  <c:v>35597.826086956557</c:v>
                </c:pt>
                <c:pt idx="373">
                  <c:v>35665.760869565253</c:v>
                </c:pt>
                <c:pt idx="374">
                  <c:v>35733.695652173948</c:v>
                </c:pt>
                <c:pt idx="375">
                  <c:v>35801.630434782644</c:v>
                </c:pt>
                <c:pt idx="376">
                  <c:v>36005.434782608732</c:v>
                </c:pt>
                <c:pt idx="377">
                  <c:v>36073.369565217428</c:v>
                </c:pt>
                <c:pt idx="378">
                  <c:v>36141.304347826124</c:v>
                </c:pt>
                <c:pt idx="379">
                  <c:v>36209.23913043482</c:v>
                </c:pt>
                <c:pt idx="380">
                  <c:v>36277.173913043516</c:v>
                </c:pt>
                <c:pt idx="381">
                  <c:v>36480.978260869604</c:v>
                </c:pt>
                <c:pt idx="382">
                  <c:v>36550.039034350266</c:v>
                </c:pt>
                <c:pt idx="383">
                  <c:v>36619.099807830928</c:v>
                </c:pt>
                <c:pt idx="384">
                  <c:v>36688.160581311589</c:v>
                </c:pt>
                <c:pt idx="385">
                  <c:v>36757.221354792251</c:v>
                </c:pt>
                <c:pt idx="386">
                  <c:v>36964.403675234244</c:v>
                </c:pt>
                <c:pt idx="387">
                  <c:v>37033.464448714905</c:v>
                </c:pt>
                <c:pt idx="388">
                  <c:v>37102.525222195567</c:v>
                </c:pt>
                <c:pt idx="389">
                  <c:v>37171.585995676229</c:v>
                </c:pt>
                <c:pt idx="390">
                  <c:v>37240.646769156891</c:v>
                </c:pt>
                <c:pt idx="391">
                  <c:v>37447.829089598883</c:v>
                </c:pt>
                <c:pt idx="392">
                  <c:v>37516.889863079545</c:v>
                </c:pt>
                <c:pt idx="393">
                  <c:v>37585.950636560206</c:v>
                </c:pt>
                <c:pt idx="394">
                  <c:v>37655.011410040868</c:v>
                </c:pt>
                <c:pt idx="395">
                  <c:v>37724.07218352153</c:v>
                </c:pt>
                <c:pt idx="396">
                  <c:v>37931.254503963522</c:v>
                </c:pt>
                <c:pt idx="397">
                  <c:v>38000.315277444184</c:v>
                </c:pt>
                <c:pt idx="398">
                  <c:v>38069.376050924846</c:v>
                </c:pt>
                <c:pt idx="399">
                  <c:v>38138.436824405508</c:v>
                </c:pt>
                <c:pt idx="400">
                  <c:v>38207.497597886169</c:v>
                </c:pt>
                <c:pt idx="401">
                  <c:v>38414.679918328162</c:v>
                </c:pt>
                <c:pt idx="402">
                  <c:v>38483.740691808824</c:v>
                </c:pt>
                <c:pt idx="403">
                  <c:v>38552.801465289485</c:v>
                </c:pt>
                <c:pt idx="404">
                  <c:v>38621.862238770147</c:v>
                </c:pt>
                <c:pt idx="405">
                  <c:v>38690.923012250809</c:v>
                </c:pt>
                <c:pt idx="406">
                  <c:v>38898.105332692801</c:v>
                </c:pt>
                <c:pt idx="407">
                  <c:v>38967.166106173463</c:v>
                </c:pt>
                <c:pt idx="408">
                  <c:v>39036.226879654125</c:v>
                </c:pt>
                <c:pt idx="409">
                  <c:v>39105.287653134787</c:v>
                </c:pt>
                <c:pt idx="410">
                  <c:v>39174.348426615448</c:v>
                </c:pt>
                <c:pt idx="411">
                  <c:v>39381.530747057433</c:v>
                </c:pt>
                <c:pt idx="412">
                  <c:v>39450.591520538095</c:v>
                </c:pt>
                <c:pt idx="413">
                  <c:v>39519.652294018757</c:v>
                </c:pt>
                <c:pt idx="414">
                  <c:v>39588.713067499419</c:v>
                </c:pt>
                <c:pt idx="415">
                  <c:v>39657.77384098008</c:v>
                </c:pt>
                <c:pt idx="416">
                  <c:v>39864.956161422066</c:v>
                </c:pt>
                <c:pt idx="417">
                  <c:v>39934.016934902727</c:v>
                </c:pt>
                <c:pt idx="418">
                  <c:v>40003.077708383389</c:v>
                </c:pt>
                <c:pt idx="419">
                  <c:v>40072.138481864051</c:v>
                </c:pt>
                <c:pt idx="420">
                  <c:v>40141.199255344713</c:v>
                </c:pt>
                <c:pt idx="421">
                  <c:v>40348.381575786705</c:v>
                </c:pt>
                <c:pt idx="422">
                  <c:v>40417.442349267367</c:v>
                </c:pt>
                <c:pt idx="423">
                  <c:v>40486.503122748029</c:v>
                </c:pt>
                <c:pt idx="424">
                  <c:v>40555.56389622869</c:v>
                </c:pt>
                <c:pt idx="425">
                  <c:v>40624.624669709352</c:v>
                </c:pt>
                <c:pt idx="426">
                  <c:v>40831.806990151345</c:v>
                </c:pt>
                <c:pt idx="427">
                  <c:v>40900.867763632006</c:v>
                </c:pt>
                <c:pt idx="428">
                  <c:v>40969.928537112668</c:v>
                </c:pt>
                <c:pt idx="429">
                  <c:v>41038.98931059333</c:v>
                </c:pt>
                <c:pt idx="430">
                  <c:v>41108.050084073991</c:v>
                </c:pt>
                <c:pt idx="431">
                  <c:v>41315.232404515984</c:v>
                </c:pt>
                <c:pt idx="432">
                  <c:v>41384.293177996646</c:v>
                </c:pt>
                <c:pt idx="433">
                  <c:v>41453.353951477307</c:v>
                </c:pt>
                <c:pt idx="434">
                  <c:v>41522.414724957969</c:v>
                </c:pt>
                <c:pt idx="435">
                  <c:v>41591.475498438631</c:v>
                </c:pt>
                <c:pt idx="436">
                  <c:v>41798.657818880623</c:v>
                </c:pt>
                <c:pt idx="437">
                  <c:v>41867.718592361285</c:v>
                </c:pt>
                <c:pt idx="438">
                  <c:v>41936.779365841947</c:v>
                </c:pt>
                <c:pt idx="439">
                  <c:v>42005.840139322609</c:v>
                </c:pt>
                <c:pt idx="440">
                  <c:v>42074.90091280327</c:v>
                </c:pt>
                <c:pt idx="441">
                  <c:v>42282.083233245256</c:v>
                </c:pt>
                <c:pt idx="442">
                  <c:v>42351.144006725917</c:v>
                </c:pt>
                <c:pt idx="443">
                  <c:v>42420.204780206579</c:v>
                </c:pt>
                <c:pt idx="444">
                  <c:v>42489.265553687241</c:v>
                </c:pt>
                <c:pt idx="445">
                  <c:v>42558.326327167902</c:v>
                </c:pt>
                <c:pt idx="446">
                  <c:v>42765.508647609895</c:v>
                </c:pt>
                <c:pt idx="447">
                  <c:v>42834.569421090557</c:v>
                </c:pt>
                <c:pt idx="448">
                  <c:v>42903.630194571218</c:v>
                </c:pt>
                <c:pt idx="449">
                  <c:v>42972.69096805188</c:v>
                </c:pt>
                <c:pt idx="450">
                  <c:v>43041.751741532542</c:v>
                </c:pt>
                <c:pt idx="451">
                  <c:v>43248.934061974527</c:v>
                </c:pt>
                <c:pt idx="452">
                  <c:v>43317.994835455189</c:v>
                </c:pt>
                <c:pt idx="453">
                  <c:v>43387.055608935851</c:v>
                </c:pt>
                <c:pt idx="454">
                  <c:v>43456.116382416512</c:v>
                </c:pt>
                <c:pt idx="455">
                  <c:v>43525.177155897174</c:v>
                </c:pt>
                <c:pt idx="456">
                  <c:v>43732.359476339159</c:v>
                </c:pt>
                <c:pt idx="457">
                  <c:v>43801.420249819821</c:v>
                </c:pt>
                <c:pt idx="458">
                  <c:v>43870.481023300483</c:v>
                </c:pt>
                <c:pt idx="459">
                  <c:v>43939.541796781145</c:v>
                </c:pt>
                <c:pt idx="460">
                  <c:v>44008.602570261806</c:v>
                </c:pt>
                <c:pt idx="461">
                  <c:v>44215.784890703799</c:v>
                </c:pt>
                <c:pt idx="462">
                  <c:v>44284.84566418446</c:v>
                </c:pt>
                <c:pt idx="463">
                  <c:v>44353.906437665122</c:v>
                </c:pt>
                <c:pt idx="464">
                  <c:v>44422.967211145784</c:v>
                </c:pt>
                <c:pt idx="465">
                  <c:v>44492.027984626446</c:v>
                </c:pt>
                <c:pt idx="466">
                  <c:v>44699.210305068431</c:v>
                </c:pt>
                <c:pt idx="467">
                  <c:v>44768.271078549093</c:v>
                </c:pt>
                <c:pt idx="468">
                  <c:v>44837.331852029754</c:v>
                </c:pt>
                <c:pt idx="469">
                  <c:v>44906.392625510416</c:v>
                </c:pt>
                <c:pt idx="470">
                  <c:v>44975.453398991078</c:v>
                </c:pt>
                <c:pt idx="471">
                  <c:v>45182.635719433063</c:v>
                </c:pt>
                <c:pt idx="472">
                  <c:v>45251.696492913725</c:v>
                </c:pt>
                <c:pt idx="473">
                  <c:v>45320.757266394387</c:v>
                </c:pt>
                <c:pt idx="474">
                  <c:v>45389.818039875048</c:v>
                </c:pt>
                <c:pt idx="475">
                  <c:v>45458.87881335571</c:v>
                </c:pt>
                <c:pt idx="476">
                  <c:v>45666.061133797702</c:v>
                </c:pt>
                <c:pt idx="477">
                  <c:v>45735.121907278364</c:v>
                </c:pt>
                <c:pt idx="478">
                  <c:v>45804.182680759026</c:v>
                </c:pt>
                <c:pt idx="479">
                  <c:v>45873.243454239688</c:v>
                </c:pt>
                <c:pt idx="480">
                  <c:v>45942.304227720349</c:v>
                </c:pt>
                <c:pt idx="481">
                  <c:v>46149.486548162342</c:v>
                </c:pt>
                <c:pt idx="482">
                  <c:v>46218.547321643004</c:v>
                </c:pt>
                <c:pt idx="483">
                  <c:v>46287.608095123665</c:v>
                </c:pt>
                <c:pt idx="484">
                  <c:v>46356.668868604327</c:v>
                </c:pt>
                <c:pt idx="485">
                  <c:v>46425.729642084989</c:v>
                </c:pt>
                <c:pt idx="486">
                  <c:v>46632.911962526981</c:v>
                </c:pt>
                <c:pt idx="487">
                  <c:v>46701.972736007643</c:v>
                </c:pt>
                <c:pt idx="488">
                  <c:v>46771.033509488305</c:v>
                </c:pt>
                <c:pt idx="489">
                  <c:v>46840.094282968967</c:v>
                </c:pt>
                <c:pt idx="490">
                  <c:v>46909.155056449628</c:v>
                </c:pt>
                <c:pt idx="491">
                  <c:v>47116.337376891621</c:v>
                </c:pt>
                <c:pt idx="492">
                  <c:v>47185.398150372283</c:v>
                </c:pt>
                <c:pt idx="493">
                  <c:v>47254.458923852944</c:v>
                </c:pt>
                <c:pt idx="494">
                  <c:v>47323.519697333606</c:v>
                </c:pt>
                <c:pt idx="495">
                  <c:v>47392.580470814268</c:v>
                </c:pt>
                <c:pt idx="496">
                  <c:v>47599.76279125626</c:v>
                </c:pt>
                <c:pt idx="497">
                  <c:v>47668.823564736922</c:v>
                </c:pt>
                <c:pt idx="498">
                  <c:v>47737.884338217584</c:v>
                </c:pt>
                <c:pt idx="499">
                  <c:v>47806.945111698245</c:v>
                </c:pt>
                <c:pt idx="500">
                  <c:v>47876.005885178907</c:v>
                </c:pt>
                <c:pt idx="501">
                  <c:v>48083.188205620892</c:v>
                </c:pt>
                <c:pt idx="502">
                  <c:v>48152.248979101554</c:v>
                </c:pt>
                <c:pt idx="503">
                  <c:v>48221.309752582216</c:v>
                </c:pt>
                <c:pt idx="504">
                  <c:v>48290.370526062878</c:v>
                </c:pt>
                <c:pt idx="505">
                  <c:v>48359.431299543539</c:v>
                </c:pt>
                <c:pt idx="506">
                  <c:v>48566.613619985532</c:v>
                </c:pt>
                <c:pt idx="507">
                  <c:v>48635.674393466194</c:v>
                </c:pt>
                <c:pt idx="508">
                  <c:v>48704.735166946855</c:v>
                </c:pt>
                <c:pt idx="509">
                  <c:v>48773.795940427517</c:v>
                </c:pt>
                <c:pt idx="510">
                  <c:v>48842.856713908179</c:v>
                </c:pt>
                <c:pt idx="511">
                  <c:v>48980.978260869502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DE-4C89-A494-1727DC0F1AD9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'Bond (2)'!$A$16:$A$527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(2)'!$I$16:$I$527</c:f>
              <c:numCache>
                <c:formatCode>0.0</c:formatCode>
                <c:ptCount val="51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18179.583650793575</c:v>
                </c:pt>
                <c:pt idx="194">
                  <c:v>18247.214261193483</c:v>
                </c:pt>
                <c:pt idx="195">
                  <c:v>18314.849514208712</c:v>
                </c:pt>
                <c:pt idx="196">
                  <c:v>18517.783132100871</c:v>
                </c:pt>
                <c:pt idx="197">
                  <c:v>18585.436958730785</c:v>
                </c:pt>
                <c:pt idx="198">
                  <c:v>18653.095429552144</c:v>
                </c:pt>
                <c:pt idx="199">
                  <c:v>18720.75854488058</c:v>
                </c:pt>
                <c:pt idx="200">
                  <c:v>18788.426305031142</c:v>
                </c:pt>
                <c:pt idx="201">
                  <c:v>18991.457457568122</c:v>
                </c:pt>
                <c:pt idx="202">
                  <c:v>19059.143800160433</c:v>
                </c:pt>
                <c:pt idx="203">
                  <c:v>19126.834789151424</c:v>
                </c:pt>
                <c:pt idx="204">
                  <c:v>19194.530424856723</c:v>
                </c:pt>
                <c:pt idx="205">
                  <c:v>19262.23070759152</c:v>
                </c:pt>
                <c:pt idx="206">
                  <c:v>19465.359441128559</c:v>
                </c:pt>
                <c:pt idx="207">
                  <c:v>19533.078315136441</c:v>
                </c:pt>
                <c:pt idx="208">
                  <c:v>19600.801837751518</c:v>
                </c:pt>
                <c:pt idx="209">
                  <c:v>19668.530009289261</c:v>
                </c:pt>
                <c:pt idx="210">
                  <c:v>19736.262830065152</c:v>
                </c:pt>
                <c:pt idx="211">
                  <c:v>19939.489190978245</c:v>
                </c:pt>
                <c:pt idx="212">
                  <c:v>20007.240611863395</c:v>
                </c:pt>
                <c:pt idx="213">
                  <c:v>20074.996683564528</c:v>
                </c:pt>
                <c:pt idx="214">
                  <c:v>20142.757406397832</c:v>
                </c:pt>
                <c:pt idx="215">
                  <c:v>20210.522780678926</c:v>
                </c:pt>
                <c:pt idx="216">
                  <c:v>20413.846815366651</c:v>
                </c:pt>
                <c:pt idx="217">
                  <c:v>20481.630798596725</c:v>
                </c:pt>
                <c:pt idx="218">
                  <c:v>20549.419434853568</c:v>
                </c:pt>
                <c:pt idx="219">
                  <c:v>20617.212724452795</c:v>
                </c:pt>
                <c:pt idx="220">
                  <c:v>20685.010667710598</c:v>
                </c:pt>
                <c:pt idx="221">
                  <c:v>20888.432422593567</c:v>
                </c:pt>
                <c:pt idx="222">
                  <c:v>20956.248983644473</c:v>
                </c:pt>
                <c:pt idx="223">
                  <c:v>21024.070199933212</c:v>
                </c:pt>
                <c:pt idx="224">
                  <c:v>21091.896071776402</c:v>
                </c:pt>
                <c:pt idx="225">
                  <c:v>21159.726599489521</c:v>
                </c:pt>
                <c:pt idx="226">
                  <c:v>21363.246121010507</c:v>
                </c:pt>
                <c:pt idx="227">
                  <c:v>21431.095275365118</c:v>
                </c:pt>
                <c:pt idx="228">
                  <c:v>21498.949087170335</c:v>
                </c:pt>
                <c:pt idx="229">
                  <c:v>21566.807556742198</c:v>
                </c:pt>
                <c:pt idx="230">
                  <c:v>21634.6706843969</c:v>
                </c:pt>
                <c:pt idx="231">
                  <c:v>21838.28801902086</c:v>
                </c:pt>
                <c:pt idx="232">
                  <c:v>21906.169782169429</c:v>
                </c:pt>
                <c:pt idx="233">
                  <c:v>21974.05620498208</c:v>
                </c:pt>
                <c:pt idx="234">
                  <c:v>22041.947287775012</c:v>
                </c:pt>
                <c:pt idx="235">
                  <c:v>22109.843030864839</c:v>
                </c:pt>
                <c:pt idx="236">
                  <c:v>22313.558225078454</c:v>
                </c:pt>
                <c:pt idx="237">
                  <c:v>22381.472612518908</c:v>
                </c:pt>
                <c:pt idx="238">
                  <c:v>22449.391661837788</c:v>
                </c:pt>
                <c:pt idx="239">
                  <c:v>22517.315373352132</c:v>
                </c:pt>
                <c:pt idx="240">
                  <c:v>22585.243747377848</c:v>
                </c:pt>
                <c:pt idx="241">
                  <c:v>22789.056847689841</c:v>
                </c:pt>
                <c:pt idx="242">
                  <c:v>22857.003874927224</c:v>
                </c:pt>
                <c:pt idx="243">
                  <c:v>22924.955566258646</c:v>
                </c:pt>
                <c:pt idx="244">
                  <c:v>22992.911922001149</c:v>
                </c:pt>
                <c:pt idx="245">
                  <c:v>23060.8729424712</c:v>
                </c:pt>
                <c:pt idx="246">
                  <c:v>23264.783995412454</c:v>
                </c:pt>
                <c:pt idx="247">
                  <c:v>23332.76367795933</c:v>
                </c:pt>
                <c:pt idx="248">
                  <c:v>23400.748026817</c:v>
                </c:pt>
                <c:pt idx="249">
                  <c:v>23468.737042302073</c:v>
                </c:pt>
                <c:pt idx="250">
                  <c:v>23536.730724731879</c:v>
                </c:pt>
                <c:pt idx="251">
                  <c:v>23738.901564181066</c:v>
                </c:pt>
                <c:pt idx="252">
                  <c:v>23805.30942124781</c:v>
                </c:pt>
                <c:pt idx="253">
                  <c:v>23871.721888604301</c:v>
                </c:pt>
                <c:pt idx="254">
                  <c:v>23938.138966563183</c:v>
                </c:pt>
                <c:pt idx="255">
                  <c:v>24004.560655438232</c:v>
                </c:pt>
                <c:pt idx="256">
                  <c:v>24203.853390686319</c:v>
                </c:pt>
                <c:pt idx="257">
                  <c:v>24270.293526353831</c:v>
                </c:pt>
                <c:pt idx="258">
                  <c:v>24336.738274501982</c:v>
                </c:pt>
                <c:pt idx="259">
                  <c:v>24403.187635444123</c:v>
                </c:pt>
                <c:pt idx="260">
                  <c:v>24469.641609493312</c:v>
                </c:pt>
                <c:pt idx="261">
                  <c:v>24669.031213414411</c:v>
                </c:pt>
                <c:pt idx="262">
                  <c:v>24735.50364302317</c:v>
                </c:pt>
                <c:pt idx="263">
                  <c:v>24801.98068730516</c:v>
                </c:pt>
                <c:pt idx="264">
                  <c:v>24868.462346573302</c:v>
                </c:pt>
                <c:pt idx="265">
                  <c:v>24934.948621140662</c:v>
                </c:pt>
                <c:pt idx="266">
                  <c:v>25134.435139772686</c:v>
                </c:pt>
                <c:pt idx="267">
                  <c:v>25200.939878670983</c:v>
                </c:pt>
                <c:pt idx="268">
                  <c:v>25267.449234435528</c:v>
                </c:pt>
                <c:pt idx="269">
                  <c:v>25333.963207379671</c:v>
                </c:pt>
                <c:pt idx="270">
                  <c:v>25400.481797816479</c:v>
                </c:pt>
                <c:pt idx="271">
                  <c:v>25600.065277219506</c:v>
                </c:pt>
                <c:pt idx="272">
                  <c:v>25666.602340762736</c:v>
                </c:pt>
                <c:pt idx="273">
                  <c:v>25733.144023366229</c:v>
                </c:pt>
                <c:pt idx="274">
                  <c:v>25799.690325343618</c:v>
                </c:pt>
                <c:pt idx="275">
                  <c:v>25866.241247008682</c:v>
                </c:pt>
                <c:pt idx="276">
                  <c:v>26065.921733264251</c:v>
                </c:pt>
                <c:pt idx="277">
                  <c:v>26132.491136814919</c:v>
                </c:pt>
                <c:pt idx="278">
                  <c:v>26199.065161621424</c:v>
                </c:pt>
                <c:pt idx="279">
                  <c:v>26265.643807997119</c:v>
                </c:pt>
                <c:pt idx="280">
                  <c:v>26332.22707625564</c:v>
                </c:pt>
                <c:pt idx="281">
                  <c:v>26532.004615467598</c:v>
                </c:pt>
                <c:pt idx="282">
                  <c:v>26598.60637439588</c:v>
                </c:pt>
                <c:pt idx="283">
                  <c:v>26665.212756776004</c:v>
                </c:pt>
                <c:pt idx="284">
                  <c:v>26731.823762922028</c:v>
                </c:pt>
                <c:pt idx="285">
                  <c:v>26798.439393147735</c:v>
                </c:pt>
                <c:pt idx="286">
                  <c:v>26998.31403144111</c:v>
                </c:pt>
                <c:pt idx="287">
                  <c:v>27064.948161124143</c:v>
                </c:pt>
                <c:pt idx="288">
                  <c:v>27131.586916456581</c:v>
                </c:pt>
                <c:pt idx="289">
                  <c:v>27198.230297752354</c:v>
                </c:pt>
                <c:pt idx="290">
                  <c:v>27264.878305325226</c:v>
                </c:pt>
                <c:pt idx="291">
                  <c:v>27464.850088847779</c:v>
                </c:pt>
                <c:pt idx="292">
                  <c:v>27531.516604670374</c:v>
                </c:pt>
                <c:pt idx="293">
                  <c:v>27598.187748340661</c:v>
                </c:pt>
                <c:pt idx="294">
                  <c:v>27664.863520172548</c:v>
                </c:pt>
                <c:pt idx="295">
                  <c:v>27731.543920480388</c:v>
                </c:pt>
                <c:pt idx="296">
                  <c:v>27931.612895401762</c:v>
                </c:pt>
                <c:pt idx="297">
                  <c:v>27998.311812755561</c:v>
                </c:pt>
                <c:pt idx="298">
                  <c:v>28065.01536015646</c:v>
                </c:pt>
                <c:pt idx="299">
                  <c:v>28131.723537918519</c:v>
                </c:pt>
                <c:pt idx="300">
                  <c:v>28198.436346356368</c:v>
                </c:pt>
                <c:pt idx="301">
                  <c:v>28398.602558867955</c:v>
                </c:pt>
                <c:pt idx="302">
                  <c:v>28465.333893152118</c:v>
                </c:pt>
                <c:pt idx="303">
                  <c:v>28532.069859683936</c:v>
                </c:pt>
                <c:pt idx="304">
                  <c:v>28598.810458777891</c:v>
                </c:pt>
                <c:pt idx="305">
                  <c:v>28665.555690748184</c:v>
                </c:pt>
                <c:pt idx="306">
                  <c:v>28865.819187062967</c:v>
                </c:pt>
                <c:pt idx="307">
                  <c:v>28932.582953684057</c:v>
                </c:pt>
                <c:pt idx="308">
                  <c:v>28999.351354754341</c:v>
                </c:pt>
                <c:pt idx="309">
                  <c:v>29066.124390588593</c:v>
                </c:pt>
                <c:pt idx="310">
                  <c:v>29132.902061501016</c:v>
                </c:pt>
                <c:pt idx="311">
                  <c:v>29333.262887854155</c:v>
                </c:pt>
                <c:pt idx="312">
                  <c:v>29400.059102226394</c:v>
                </c:pt>
                <c:pt idx="313">
                  <c:v>29466.859953250088</c:v>
                </c:pt>
                <c:pt idx="314">
                  <c:v>29533.665441240435</c:v>
                </c:pt>
                <c:pt idx="315">
                  <c:v>29600.475566511632</c:v>
                </c:pt>
                <c:pt idx="316">
                  <c:v>29800.933769161169</c:v>
                </c:pt>
                <c:pt idx="317">
                  <c:v>29867.762446705045</c:v>
                </c:pt>
                <c:pt idx="318">
                  <c:v>29934.595763104473</c:v>
                </c:pt>
                <c:pt idx="319">
                  <c:v>30001.433718674234</c:v>
                </c:pt>
                <c:pt idx="320">
                  <c:v>30068.276313728806</c:v>
                </c:pt>
                <c:pt idx="321">
                  <c:v>30268.831938953237</c:v>
                </c:pt>
                <c:pt idx="322">
                  <c:v>30335.6930950979</c:v>
                </c:pt>
                <c:pt idx="323">
                  <c:v>30402.558892302506</c:v>
                </c:pt>
                <c:pt idx="324">
                  <c:v>30469.429330882256</c:v>
                </c:pt>
                <c:pt idx="325">
                  <c:v>30536.304411151916</c:v>
                </c:pt>
                <c:pt idx="326">
                  <c:v>30736.957505252627</c:v>
                </c:pt>
                <c:pt idx="327">
                  <c:v>30803.85115543348</c:v>
                </c:pt>
                <c:pt idx="328">
                  <c:v>30870.749448880226</c:v>
                </c:pt>
                <c:pt idx="329">
                  <c:v>30937.65238590807</c:v>
                </c:pt>
                <c:pt idx="330">
                  <c:v>31004.559966831774</c:v>
                </c:pt>
                <c:pt idx="331">
                  <c:v>31205.310576131742</c:v>
                </c:pt>
                <c:pt idx="332">
                  <c:v>31272.23673579243</c:v>
                </c:pt>
                <c:pt idx="333">
                  <c:v>31339.167540925679</c:v>
                </c:pt>
                <c:pt idx="334">
                  <c:v>31406.102991846397</c:v>
                </c:pt>
                <c:pt idx="335">
                  <c:v>31473.043088870487</c:v>
                </c:pt>
                <c:pt idx="336">
                  <c:v>31673.891259715288</c:v>
                </c:pt>
                <c:pt idx="337">
                  <c:v>31740.849944305857</c:v>
                </c:pt>
                <c:pt idx="338">
                  <c:v>31807.813276576922</c:v>
                </c:pt>
                <c:pt idx="339">
                  <c:v>31874.781256843537</c:v>
                </c:pt>
                <c:pt idx="340">
                  <c:v>31941.753885421618</c:v>
                </c:pt>
                <c:pt idx="341">
                  <c:v>32142.699664178712</c:v>
                </c:pt>
                <c:pt idx="342">
                  <c:v>32209.6908891573</c:v>
                </c:pt>
                <c:pt idx="343">
                  <c:v>32276.686764025038</c:v>
                </c:pt>
                <c:pt idx="344">
                  <c:v>32343.687289097263</c:v>
                </c:pt>
                <c:pt idx="345">
                  <c:v>32410.692464690452</c:v>
                </c:pt>
                <c:pt idx="346">
                  <c:v>32611.735897748618</c:v>
                </c:pt>
                <c:pt idx="347">
                  <c:v>32678.759678580474</c:v>
                </c:pt>
                <c:pt idx="348">
                  <c:v>32745.788111511123</c:v>
                </c:pt>
                <c:pt idx="349">
                  <c:v>32812.821196856756</c:v>
                </c:pt>
                <c:pt idx="350">
                  <c:v>32879.858934933145</c:v>
                </c:pt>
                <c:pt idx="351">
                  <c:v>33081.000068704045</c:v>
                </c:pt>
                <c:pt idx="352">
                  <c:v>33148.056420861518</c:v>
                </c:pt>
                <c:pt idx="353">
                  <c:v>33215.117427328849</c:v>
                </c:pt>
                <c:pt idx="354">
                  <c:v>33282.183088422236</c:v>
                </c:pt>
                <c:pt idx="355">
                  <c:v>33349.253404457588</c:v>
                </c:pt>
                <c:pt idx="356">
                  <c:v>33550.492285374617</c:v>
                </c:pt>
                <c:pt idx="357">
                  <c:v>33617.58122433773</c:v>
                </c:pt>
                <c:pt idx="358">
                  <c:v>33684.674819822772</c:v>
                </c:pt>
                <c:pt idx="359">
                  <c:v>33751.773072145785</c:v>
                </c:pt>
                <c:pt idx="360">
                  <c:v>33818.87598162311</c:v>
                </c:pt>
                <c:pt idx="361">
                  <c:v>34020.212656142117</c:v>
                </c:pt>
                <c:pt idx="362">
                  <c:v>34087.334197397868</c:v>
                </c:pt>
                <c:pt idx="363">
                  <c:v>34154.460397388459</c:v>
                </c:pt>
                <c:pt idx="364">
                  <c:v>34221.591256430787</c:v>
                </c:pt>
                <c:pt idx="365">
                  <c:v>34288.726774840623</c:v>
                </c:pt>
                <c:pt idx="366">
                  <c:v>34490.161289438925</c:v>
                </c:pt>
                <c:pt idx="367">
                  <c:v>34557.315448482113</c:v>
                </c:pt>
                <c:pt idx="368">
                  <c:v>34624.474268474478</c:v>
                </c:pt>
                <c:pt idx="369">
                  <c:v>34691.637749732778</c:v>
                </c:pt>
                <c:pt idx="370">
                  <c:v>34758.805892572636</c:v>
                </c:pt>
                <c:pt idx="371">
                  <c:v>34960.338293749563</c:v>
                </c:pt>
                <c:pt idx="372">
                  <c:v>35027.525086082249</c:v>
                </c:pt>
                <c:pt idx="373">
                  <c:v>35094.716541579292</c:v>
                </c:pt>
                <c:pt idx="374">
                  <c:v>35161.912660557464</c:v>
                </c:pt>
                <c:pt idx="375">
                  <c:v>35229.113443332943</c:v>
                </c:pt>
                <c:pt idx="376">
                  <c:v>35430.743777610289</c:v>
                </c:pt>
                <c:pt idx="377">
                  <c:v>35497.963218741912</c:v>
                </c:pt>
                <c:pt idx="378">
                  <c:v>35565.187325254075</c:v>
                </c:pt>
                <c:pt idx="379">
                  <c:v>35632.416097463545</c:v>
                </c:pt>
                <c:pt idx="380">
                  <c:v>35699.649535687073</c:v>
                </c:pt>
                <c:pt idx="381">
                  <c:v>35904.155227898329</c:v>
                </c:pt>
                <c:pt idx="382">
                  <c:v>35971.255322812358</c:v>
                </c:pt>
                <c:pt idx="383">
                  <c:v>36038.36452459688</c:v>
                </c:pt>
                <c:pt idx="384">
                  <c:v>36105.482835094903</c:v>
                </c:pt>
                <c:pt idx="385">
                  <c:v>36172.610256150707</c:v>
                </c:pt>
                <c:pt idx="386">
                  <c:v>36374.047201113361</c:v>
                </c:pt>
                <c:pt idx="387">
                  <c:v>36441.211082851391</c:v>
                </c:pt>
                <c:pt idx="388">
                  <c:v>36508.384084374738</c:v>
                </c:pt>
                <c:pt idx="389">
                  <c:v>36575.566207530814</c:v>
                </c:pt>
                <c:pt idx="390">
                  <c:v>36642.757454167317</c:v>
                </c:pt>
                <c:pt idx="391">
                  <c:v>36844.385953441022</c:v>
                </c:pt>
                <c:pt idx="392">
                  <c:v>36911.613712483842</c:v>
                </c:pt>
                <c:pt idx="393">
                  <c:v>36978.850604252249</c:v>
                </c:pt>
                <c:pt idx="394">
                  <c:v>37046.09663059692</c:v>
                </c:pt>
                <c:pt idx="395">
                  <c:v>37113.351793368383</c:v>
                </c:pt>
                <c:pt idx="396">
                  <c:v>37315.172118764007</c:v>
                </c:pt>
                <c:pt idx="397">
                  <c:v>37382.463845764803</c:v>
                </c:pt>
                <c:pt idx="398">
                  <c:v>37449.76471845503</c:v>
                </c:pt>
                <c:pt idx="399">
                  <c:v>37517.074738689349</c:v>
                </c:pt>
                <c:pt idx="400">
                  <c:v>37584.393908322418</c:v>
                </c:pt>
                <c:pt idx="401">
                  <c:v>37786.406332165272</c:v>
                </c:pt>
                <c:pt idx="402">
                  <c:v>37853.762117947743</c:v>
                </c:pt>
                <c:pt idx="403">
                  <c:v>37921.127062408937</c:v>
                </c:pt>
                <c:pt idx="404">
                  <c:v>37988.501167406779</c:v>
                </c:pt>
                <c:pt idx="405">
                  <c:v>38055.884434798631</c:v>
                </c:pt>
                <c:pt idx="406">
                  <c:v>38258.089229929872</c:v>
                </c:pt>
                <c:pt idx="407">
                  <c:v>38325.509165490388</c:v>
                </c:pt>
                <c:pt idx="408">
                  <c:v>38392.938272743355</c:v>
                </c:pt>
                <c:pt idx="409">
                  <c:v>38460.376553549686</c:v>
                </c:pt>
                <c:pt idx="410">
                  <c:v>38527.824009771146</c:v>
                </c:pt>
                <c:pt idx="411">
                  <c:v>38730.221449548648</c:v>
                </c:pt>
                <c:pt idx="412">
                  <c:v>38797.70562605594</c:v>
                </c:pt>
                <c:pt idx="413">
                  <c:v>38865.198987293727</c:v>
                </c:pt>
                <c:pt idx="414">
                  <c:v>38932.701535126886</c:v>
                </c:pt>
                <c:pt idx="415">
                  <c:v>39000.213271420034</c:v>
                </c:pt>
                <c:pt idx="416">
                  <c:v>39202.80362972022</c:v>
                </c:pt>
                <c:pt idx="417">
                  <c:v>39270.352138515562</c:v>
                </c:pt>
                <c:pt idx="418">
                  <c:v>39337.909845104863</c:v>
                </c:pt>
                <c:pt idx="419">
                  <c:v>39405.476751355425</c:v>
                </c:pt>
                <c:pt idx="420">
                  <c:v>39473.052859136267</c:v>
                </c:pt>
                <c:pt idx="421">
                  <c:v>39675.836410354554</c:v>
                </c:pt>
                <c:pt idx="422">
                  <c:v>39743.449342953434</c:v>
                </c:pt>
                <c:pt idx="423">
                  <c:v>39811.071486433044</c:v>
                </c:pt>
                <c:pt idx="424">
                  <c:v>39878.702842665676</c:v>
                </c:pt>
                <c:pt idx="425">
                  <c:v>39946.343413523173</c:v>
                </c:pt>
                <c:pt idx="426">
                  <c:v>40149.32043257606</c:v>
                </c:pt>
                <c:pt idx="427">
                  <c:v>40216.997880666058</c:v>
                </c:pt>
                <c:pt idx="428">
                  <c:v>40284.684552749852</c:v>
                </c:pt>
                <c:pt idx="429">
                  <c:v>40352.380450702432</c:v>
                </c:pt>
                <c:pt idx="430">
                  <c:v>40420.085576399622</c:v>
                </c:pt>
                <c:pt idx="431">
                  <c:v>40623.256338724888</c:v>
                </c:pt>
                <c:pt idx="432">
                  <c:v>40690.99839416895</c:v>
                </c:pt>
                <c:pt idx="433">
                  <c:v>40758.749686743897</c:v>
                </c:pt>
                <c:pt idx="434">
                  <c:v>40826.51021832868</c:v>
                </c:pt>
                <c:pt idx="435">
                  <c:v>40894.279990803116</c:v>
                </c:pt>
                <c:pt idx="436">
                  <c:v>41097.644772362059</c:v>
                </c:pt>
                <c:pt idx="437">
                  <c:v>41165.451527196783</c:v>
                </c:pt>
                <c:pt idx="438">
                  <c:v>41233.267532325051</c:v>
                </c:pt>
                <c:pt idx="439">
                  <c:v>41301.092789629234</c:v>
                </c:pt>
                <c:pt idx="440">
                  <c:v>41368.927300992123</c:v>
                </c:pt>
                <c:pt idx="441">
                  <c:v>41572.486378270551</c:v>
                </c:pt>
                <c:pt idx="442">
                  <c:v>41640.357924708042</c:v>
                </c:pt>
                <c:pt idx="443">
                  <c:v>41708.238734626182</c:v>
                </c:pt>
                <c:pt idx="444">
                  <c:v>41776.128809911323</c:v>
                </c:pt>
                <c:pt idx="445">
                  <c:v>41844.02815245009</c:v>
                </c:pt>
                <c:pt idx="446">
                  <c:v>42047.781802458929</c:v>
                </c:pt>
                <c:pt idx="447">
                  <c:v>42115.718232886087</c:v>
                </c:pt>
                <c:pt idx="448">
                  <c:v>42183.663940006722</c:v>
                </c:pt>
                <c:pt idx="449">
                  <c:v>42251.618925710587</c:v>
                </c:pt>
                <c:pt idx="450">
                  <c:v>42319.58319188717</c:v>
                </c:pt>
                <c:pt idx="451">
                  <c:v>42523.531692164397</c:v>
                </c:pt>
                <c:pt idx="452">
                  <c:v>42591.533099144479</c:v>
                </c:pt>
                <c:pt idx="453">
                  <c:v>42659.543796055586</c:v>
                </c:pt>
                <c:pt idx="454">
                  <c:v>42727.563784790749</c:v>
                </c:pt>
                <c:pt idx="455">
                  <c:v>42795.593067244277</c:v>
                </c:pt>
                <c:pt idx="456">
                  <c:v>42999.736695855689</c:v>
                </c:pt>
                <c:pt idx="457">
                  <c:v>43067.803172127446</c:v>
                </c:pt>
                <c:pt idx="458">
                  <c:v>43135.878951593084</c:v>
                </c:pt>
                <c:pt idx="459">
                  <c:v>43203.964036149599</c:v>
                </c:pt>
                <c:pt idx="460">
                  <c:v>43272.058427694014</c:v>
                </c:pt>
                <c:pt idx="461">
                  <c:v>43476.397463235327</c:v>
                </c:pt>
                <c:pt idx="462">
                  <c:v>43544.529101714448</c:v>
                </c:pt>
                <c:pt idx="463">
                  <c:v>43612.670056675874</c:v>
                </c:pt>
                <c:pt idx="464">
                  <c:v>43680.820330019451</c:v>
                </c:pt>
                <c:pt idx="465">
                  <c:v>43748.979923646461</c:v>
                </c:pt>
                <c:pt idx="466">
                  <c:v>43953.514645243711</c:v>
                </c:pt>
                <c:pt idx="467">
                  <c:v>44021.711539022945</c:v>
                </c:pt>
                <c:pt idx="468">
                  <c:v>44089.917762597644</c:v>
                </c:pt>
                <c:pt idx="469">
                  <c:v>44158.133317871769</c:v>
                </c:pt>
                <c:pt idx="470">
                  <c:v>44226.358206749865</c:v>
                </c:pt>
                <c:pt idx="471">
                  <c:v>44431.088894060747</c:v>
                </c:pt>
                <c:pt idx="472">
                  <c:v>44499.351136409918</c:v>
                </c:pt>
                <c:pt idx="473">
                  <c:v>44567.622721893706</c:v>
                </c:pt>
                <c:pt idx="474">
                  <c:v>44635.903652419067</c:v>
                </c:pt>
                <c:pt idx="475">
                  <c:v>44704.193929894391</c:v>
                </c:pt>
                <c:pt idx="476">
                  <c:v>44909.120863110067</c:v>
                </c:pt>
                <c:pt idx="477">
                  <c:v>44977.448547477332</c:v>
                </c:pt>
                <c:pt idx="478">
                  <c:v>45045.785588342966</c:v>
                </c:pt>
                <c:pt idx="479">
                  <c:v>45114.13198761861</c:v>
                </c:pt>
                <c:pt idx="480">
                  <c:v>45182.487747215484</c:v>
                </c:pt>
                <c:pt idx="481">
                  <c:v>45387.611207061011</c:v>
                </c:pt>
                <c:pt idx="482">
                  <c:v>45456.004427072316</c:v>
                </c:pt>
                <c:pt idx="483">
                  <c:v>45524.407016971883</c:v>
                </c:pt>
                <c:pt idx="484">
                  <c:v>45592.818978674484</c:v>
                </c:pt>
                <c:pt idx="485">
                  <c:v>45661.240314095594</c:v>
                </c:pt>
                <c:pt idx="486">
                  <c:v>45866.560581832491</c:v>
                </c:pt>
                <c:pt idx="487">
                  <c:v>45935.019431292698</c:v>
                </c:pt>
                <c:pt idx="488">
                  <c:v>46003.487664056207</c:v>
                </c:pt>
                <c:pt idx="489">
                  <c:v>46071.965282041776</c:v>
                </c:pt>
                <c:pt idx="490">
                  <c:v>46140.452287168722</c:v>
                </c:pt>
                <c:pt idx="491">
                  <c:v>46345.969644594974</c:v>
                </c:pt>
                <c:pt idx="492">
                  <c:v>46414.494217487845</c:v>
                </c:pt>
                <c:pt idx="493">
                  <c:v>46483.028187125223</c:v>
                </c:pt>
                <c:pt idx="494">
                  <c:v>46551.571555428978</c:v>
                </c:pt>
                <c:pt idx="495">
                  <c:v>46620.124324322118</c:v>
                </c:pt>
                <c:pt idx="496">
                  <c:v>46825.839053774012</c:v>
                </c:pt>
                <c:pt idx="497">
                  <c:v>46894.429444263093</c:v>
                </c:pt>
                <c:pt idx="498">
                  <c:v>46963.029244963167</c:v>
                </c:pt>
                <c:pt idx="499">
                  <c:v>47031.638457799949</c:v>
                </c:pt>
                <c:pt idx="500">
                  <c:v>47100.257084700424</c:v>
                </c:pt>
                <c:pt idx="501">
                  <c:v>47306.169469053675</c:v>
                </c:pt>
                <c:pt idx="502">
                  <c:v>47374.82577148213</c:v>
                </c:pt>
                <c:pt idx="503">
                  <c:v>47443.491497614079</c:v>
                </c:pt>
                <c:pt idx="504">
                  <c:v>47512.166649379062</c:v>
                </c:pt>
                <c:pt idx="505">
                  <c:v>47580.851228707055</c:v>
                </c:pt>
                <c:pt idx="506">
                  <c:v>47786.961551378423</c:v>
                </c:pt>
                <c:pt idx="507">
                  <c:v>47855.683860270467</c:v>
                </c:pt>
                <c:pt idx="508">
                  <c:v>47924.41560638378</c:v>
                </c:pt>
                <c:pt idx="509">
                  <c:v>47993.156791652051</c:v>
                </c:pt>
                <c:pt idx="510">
                  <c:v>48061.90741800909</c:v>
                </c:pt>
                <c:pt idx="511">
                  <c:v>48199.728260869502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DE-4C89-A494-1727DC0F1AD9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(2)'!$A$16:$A$527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(2)'!$H$16:$H$527</c:f>
              <c:numCache>
                <c:formatCode>_(* #,##0.000_);_(* \(#,##0.000\);_(* "-"??_);_(@_)</c:formatCode>
                <c:ptCount val="51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-306.88911557049892</c:v>
                </c:pt>
                <c:pt idx="194">
                  <c:v>-307.93982385191043</c:v>
                </c:pt>
                <c:pt idx="195">
                  <c:v>-308.98588951799866</c:v>
                </c:pt>
                <c:pt idx="196">
                  <c:v>-312.09622766979805</c:v>
                </c:pt>
                <c:pt idx="197">
                  <c:v>-313.12371972120445</c:v>
                </c:pt>
                <c:pt idx="198">
                  <c:v>-314.14656758116166</c:v>
                </c:pt>
                <c:pt idx="199">
                  <c:v>-315.1647709340466</c:v>
                </c:pt>
                <c:pt idx="200">
                  <c:v>-316.17832946480462</c:v>
                </c:pt>
                <c:pt idx="201">
                  <c:v>-319.19113297178114</c:v>
                </c:pt>
                <c:pt idx="202">
                  <c:v>-320.18610906078493</c:v>
                </c:pt>
                <c:pt idx="203">
                  <c:v>-321.17643875110957</c:v>
                </c:pt>
                <c:pt idx="204">
                  <c:v>-322.16212172713199</c:v>
                </c:pt>
                <c:pt idx="205">
                  <c:v>-323.14315767365542</c:v>
                </c:pt>
                <c:pt idx="206">
                  <c:v>-326.05838018056943</c:v>
                </c:pt>
                <c:pt idx="207">
                  <c:v>-327.02082485400297</c:v>
                </c:pt>
                <c:pt idx="208">
                  <c:v>-327.97862092024843</c:v>
                </c:pt>
                <c:pt idx="209">
                  <c:v>-328.93176806382485</c:v>
                </c:pt>
                <c:pt idx="210">
                  <c:v>-329.88026596925124</c:v>
                </c:pt>
                <c:pt idx="211">
                  <c:v>-332.69786110011523</c:v>
                </c:pt>
                <c:pt idx="212">
                  <c:v>-333.62775889628438</c:v>
                </c:pt>
                <c:pt idx="213">
                  <c:v>-334.5530058764723</c:v>
                </c:pt>
                <c:pt idx="214">
                  <c:v>-335.47360172448748</c:v>
                </c:pt>
                <c:pt idx="215">
                  <c:v>-336.38954612470684</c:v>
                </c:pt>
                <c:pt idx="216">
                  <c:v>-339.10946748093806</c:v>
                </c:pt>
                <c:pt idx="217">
                  <c:v>-340.00680293218016</c:v>
                </c:pt>
                <c:pt idx="218">
                  <c:v>-340.89948535665826</c:v>
                </c:pt>
                <c:pt idx="219">
                  <c:v>-341.78751443874944</c:v>
                </c:pt>
                <c:pt idx="220">
                  <c:v>-342.67088986226213</c:v>
                </c:pt>
                <c:pt idx="221">
                  <c:v>-345.29309102325101</c:v>
                </c:pt>
                <c:pt idx="222">
                  <c:v>-346.15784865366089</c:v>
                </c:pt>
                <c:pt idx="223">
                  <c:v>-347.01795104624011</c:v>
                </c:pt>
                <c:pt idx="224">
                  <c:v>-347.87339788437066</c:v>
                </c:pt>
                <c:pt idx="225">
                  <c:v>-348.72418885257161</c:v>
                </c:pt>
                <c:pt idx="226">
                  <c:v>-351.24862337553964</c:v>
                </c:pt>
                <c:pt idx="227">
                  <c:v>-352.08078770224915</c:v>
                </c:pt>
                <c:pt idx="228">
                  <c:v>-352.90829457835571</c:v>
                </c:pt>
                <c:pt idx="229">
                  <c:v>-353.73114368780989</c:v>
                </c:pt>
                <c:pt idx="230">
                  <c:v>-354.54933471442018</c:v>
                </c:pt>
                <c:pt idx="231">
                  <c:v>-356.9759561344199</c:v>
                </c:pt>
                <c:pt idx="232">
                  <c:v>-357.77551166717103</c:v>
                </c:pt>
                <c:pt idx="233">
                  <c:v>-358.57040753583647</c:v>
                </c:pt>
                <c:pt idx="234">
                  <c:v>-359.36064342422469</c:v>
                </c:pt>
                <c:pt idx="235">
                  <c:v>-360.14621901571786</c:v>
                </c:pt>
                <c:pt idx="236">
                  <c:v>-362.47498084605917</c:v>
                </c:pt>
                <c:pt idx="237">
                  <c:v>-363.24191208692014</c:v>
                </c:pt>
                <c:pt idx="238">
                  <c:v>-364.00418144935998</c:v>
                </c:pt>
                <c:pt idx="239">
                  <c:v>-364.76178861633457</c:v>
                </c:pt>
                <c:pt idx="240">
                  <c:v>-365.51473327193662</c:v>
                </c:pt>
                <c:pt idx="241">
                  <c:v>-367.74558900390269</c:v>
                </c:pt>
                <c:pt idx="242">
                  <c:v>-368.47988044783619</c:v>
                </c:pt>
                <c:pt idx="243">
                  <c:v>-369.2095077977342</c:v>
                </c:pt>
                <c:pt idx="244">
                  <c:v>-369.93447073655261</c:v>
                </c:pt>
                <c:pt idx="245">
                  <c:v>-370.65476894781568</c:v>
                </c:pt>
                <c:pt idx="246">
                  <c:v>-372.78767205052077</c:v>
                </c:pt>
                <c:pt idx="247">
                  <c:v>-373.48930818495779</c:v>
                </c:pt>
                <c:pt idx="248">
                  <c:v>-374.18627800860804</c:v>
                </c:pt>
                <c:pt idx="249">
                  <c:v>-374.87858120485384</c:v>
                </c:pt>
                <c:pt idx="250">
                  <c:v>-375.5662174563667</c:v>
                </c:pt>
                <c:pt idx="251">
                  <c:v>-377.94626190589042</c:v>
                </c:pt>
                <c:pt idx="252">
                  <c:v>-379.47318744784292</c:v>
                </c:pt>
                <c:pt idx="253">
                  <c:v>-380.99550270004556</c:v>
                </c:pt>
                <c:pt idx="254">
                  <c:v>-382.51320734985939</c:v>
                </c:pt>
                <c:pt idx="255">
                  <c:v>-384.02630108350871</c:v>
                </c:pt>
                <c:pt idx="256">
                  <c:v>-388.53791366150858</c:v>
                </c:pt>
                <c:pt idx="257">
                  <c:v>-390.03256060269109</c:v>
                </c:pt>
                <c:pt idx="258">
                  <c:v>-391.52259506323617</c:v>
                </c:pt>
                <c:pt idx="259">
                  <c:v>-393.00801672979446</c:v>
                </c:pt>
                <c:pt idx="260">
                  <c:v>-394.48882528930085</c:v>
                </c:pt>
                <c:pt idx="261">
                  <c:v>-398.90356919428882</c:v>
                </c:pt>
                <c:pt idx="262">
                  <c:v>-400.36592219422573</c:v>
                </c:pt>
                <c:pt idx="263">
                  <c:v>-401.82366052093244</c:v>
                </c:pt>
                <c:pt idx="264">
                  <c:v>-403.27678386148591</c:v>
                </c:pt>
                <c:pt idx="265">
                  <c:v>-404.72529190282103</c:v>
                </c:pt>
                <c:pt idx="266">
                  <c:v>-409.0431210968859</c:v>
                </c:pt>
                <c:pt idx="267">
                  <c:v>-410.47316480728563</c:v>
                </c:pt>
                <c:pt idx="268">
                  <c:v>-411.89859165143616</c:v>
                </c:pt>
                <c:pt idx="269">
                  <c:v>-413.31940131598799</c:v>
                </c:pt>
                <c:pt idx="270">
                  <c:v>-414.73559348787603</c:v>
                </c:pt>
                <c:pt idx="271">
                  <c:v>-418.95646191093761</c:v>
                </c:pt>
                <c:pt idx="272">
                  <c:v>-420.35418097640331</c:v>
                </c:pt>
                <c:pt idx="273">
                  <c:v>-421.74728098160585</c:v>
                </c:pt>
                <c:pt idx="274">
                  <c:v>-423.13576161291166</c:v>
                </c:pt>
                <c:pt idx="275">
                  <c:v>-424.51962255654507</c:v>
                </c:pt>
                <c:pt idx="276">
                  <c:v>-428.64348412706471</c:v>
                </c:pt>
                <c:pt idx="277">
                  <c:v>-430.00886318509401</c:v>
                </c:pt>
                <c:pt idx="278">
                  <c:v>-431.36962098728304</c:v>
                </c:pt>
                <c:pt idx="279">
                  <c:v>-432.72575722028256</c:v>
                </c:pt>
                <c:pt idx="280">
                  <c:v>-434.07727157045883</c:v>
                </c:pt>
                <c:pt idx="281">
                  <c:v>-438.10408018458702</c:v>
                </c:pt>
                <c:pt idx="282">
                  <c:v>-439.43710386500356</c:v>
                </c:pt>
                <c:pt idx="283">
                  <c:v>-440.76550409357651</c:v>
                </c:pt>
                <c:pt idx="284">
                  <c:v>-442.08928055624597</c:v>
                </c:pt>
                <c:pt idx="285">
                  <c:v>-443.40843293923621</c:v>
                </c:pt>
                <c:pt idx="286">
                  <c:v>-447.33814247194908</c:v>
                </c:pt>
                <c:pt idx="287">
                  <c:v>-448.63879539761342</c:v>
                </c:pt>
                <c:pt idx="288">
                  <c:v>-449.93482267386753</c:v>
                </c:pt>
                <c:pt idx="289">
                  <c:v>-451.22622398679368</c:v>
                </c:pt>
                <c:pt idx="290">
                  <c:v>-452.51299902261621</c:v>
                </c:pt>
                <c:pt idx="291">
                  <c:v>-456.34556332615261</c:v>
                </c:pt>
                <c:pt idx="292">
                  <c:v>-457.61383011225121</c:v>
                </c:pt>
                <c:pt idx="293">
                  <c:v>-458.87746905066246</c:v>
                </c:pt>
                <c:pt idx="294">
                  <c:v>-460.13647982746875</c:v>
                </c:pt>
                <c:pt idx="295">
                  <c:v>-461.39086212832581</c:v>
                </c:pt>
                <c:pt idx="296">
                  <c:v>-465.12623503303985</c:v>
                </c:pt>
                <c:pt idx="297">
                  <c:v>-466.36210028793806</c:v>
                </c:pt>
                <c:pt idx="298">
                  <c:v>-467.59333549573506</c:v>
                </c:pt>
                <c:pt idx="299">
                  <c:v>-468.81994034237096</c:v>
                </c:pt>
                <c:pt idx="300">
                  <c:v>-470.04191451321736</c:v>
                </c:pt>
                <c:pt idx="301">
                  <c:v>-473.6800498277205</c:v>
                </c:pt>
                <c:pt idx="302">
                  <c:v>-474.88349815225206</c:v>
                </c:pt>
                <c:pt idx="303">
                  <c:v>-476.0823142291315</c:v>
                </c:pt>
                <c:pt idx="304">
                  <c:v>-477.2764977438726</c:v>
                </c:pt>
                <c:pt idx="305">
                  <c:v>-478.46604838227336</c:v>
                </c:pt>
                <c:pt idx="306">
                  <c:v>-482.0068998935767</c:v>
                </c:pt>
                <c:pt idx="307">
                  <c:v>-483.17791588118553</c:v>
                </c:pt>
                <c:pt idx="308">
                  <c:v>-484.34429741959661</c:v>
                </c:pt>
                <c:pt idx="309">
                  <c:v>-485.50604419403959</c:v>
                </c:pt>
                <c:pt idx="310">
                  <c:v>-486.66315589031228</c:v>
                </c:pt>
                <c:pt idx="311">
                  <c:v>-490.10667736325786</c:v>
                </c:pt>
                <c:pt idx="312">
                  <c:v>-491.24524559971405</c:v>
                </c:pt>
                <c:pt idx="313">
                  <c:v>-492.37917718471641</c:v>
                </c:pt>
                <c:pt idx="314">
                  <c:v>-493.50847180306801</c:v>
                </c:pt>
                <c:pt idx="315">
                  <c:v>-494.63312914056701</c:v>
                </c:pt>
                <c:pt idx="316">
                  <c:v>-497.97927431711736</c:v>
                </c:pt>
                <c:pt idx="317">
                  <c:v>-499.08537938193831</c:v>
                </c:pt>
                <c:pt idx="318">
                  <c:v>-500.18684559120169</c:v>
                </c:pt>
                <c:pt idx="319">
                  <c:v>-501.28367263013729</c:v>
                </c:pt>
                <c:pt idx="320">
                  <c:v>-502.37586018425873</c:v>
                </c:pt>
                <c:pt idx="321">
                  <c:v>-505.62458278591293</c:v>
                </c:pt>
                <c:pt idx="322">
                  <c:v>-506.69820924994724</c:v>
                </c:pt>
                <c:pt idx="323">
                  <c:v>-507.7671946540363</c:v>
                </c:pt>
                <c:pt idx="324">
                  <c:v>-508.83153868298336</c:v>
                </c:pt>
                <c:pt idx="325">
                  <c:v>-509.89124102201799</c:v>
                </c:pt>
                <c:pt idx="326">
                  <c:v>-513.04249474739549</c:v>
                </c:pt>
                <c:pt idx="327">
                  <c:v>-514.08362717523914</c:v>
                </c:pt>
                <c:pt idx="328">
                  <c:v>-515.12011633718657</c:v>
                </c:pt>
                <c:pt idx="329">
                  <c:v>-516.15196191804102</c:v>
                </c:pt>
                <c:pt idx="330">
                  <c:v>-517.17916360303207</c:v>
                </c:pt>
                <c:pt idx="331">
                  <c:v>-520.23290212915185</c:v>
                </c:pt>
                <c:pt idx="332">
                  <c:v>-521.24152507715849</c:v>
                </c:pt>
                <c:pt idx="333">
                  <c:v>-522.24550255260738</c:v>
                </c:pt>
                <c:pt idx="334">
                  <c:v>-523.24483424058599</c:v>
                </c:pt>
                <c:pt idx="335">
                  <c:v>-524.23951982518702</c:v>
                </c:pt>
                <c:pt idx="336">
                  <c:v>-527.19569680647282</c:v>
                </c:pt>
                <c:pt idx="337">
                  <c:v>-528.17179482460119</c:v>
                </c:pt>
                <c:pt idx="338">
                  <c:v>-529.14324516223132</c:v>
                </c:pt>
                <c:pt idx="339">
                  <c:v>-530.11004750430857</c:v>
                </c:pt>
                <c:pt idx="340">
                  <c:v>-531.07220153492563</c:v>
                </c:pt>
                <c:pt idx="341">
                  <c:v>-533.93077060391647</c:v>
                </c:pt>
                <c:pt idx="342">
                  <c:v>-534.87432823402514</c:v>
                </c:pt>
                <c:pt idx="343">
                  <c:v>-535.81323597498454</c:v>
                </c:pt>
                <c:pt idx="344">
                  <c:v>-536.74749351145579</c:v>
                </c:pt>
                <c:pt idx="345">
                  <c:v>-537.67710052696316</c:v>
                </c:pt>
                <c:pt idx="346">
                  <c:v>-540.43801529488178</c:v>
                </c:pt>
                <c:pt idx="347">
                  <c:v>-541.34901707172389</c:v>
                </c:pt>
                <c:pt idx="348">
                  <c:v>-542.25536674977093</c:v>
                </c:pt>
                <c:pt idx="349">
                  <c:v>-543.15706401283137</c:v>
                </c:pt>
                <c:pt idx="350">
                  <c:v>-544.05410854514002</c:v>
                </c:pt>
                <c:pt idx="351">
                  <c:v>-546.71732260032968</c:v>
                </c:pt>
                <c:pt idx="352">
                  <c:v>-547.59575305155295</c:v>
                </c:pt>
                <c:pt idx="353">
                  <c:v>-548.46952919291425</c:v>
                </c:pt>
                <c:pt idx="354">
                  <c:v>-549.33865070822208</c:v>
                </c:pt>
                <c:pt idx="355">
                  <c:v>-550.20311728156912</c:v>
                </c:pt>
                <c:pt idx="356">
                  <c:v>-552.76858419063046</c:v>
                </c:pt>
                <c:pt idx="357">
                  <c:v>-553.61442783620873</c:v>
                </c:pt>
                <c:pt idx="358">
                  <c:v>-554.4556149598634</c:v>
                </c:pt>
                <c:pt idx="359">
                  <c:v>-555.29214524554504</c:v>
                </c:pt>
                <c:pt idx="360">
                  <c:v>-556.12401837692005</c:v>
                </c:pt>
                <c:pt idx="361">
                  <c:v>-558.59169168400058</c:v>
                </c:pt>
                <c:pt idx="362">
                  <c:v>-559.40493303694439</c:v>
                </c:pt>
                <c:pt idx="363">
                  <c:v>-560.21351565505029</c:v>
                </c:pt>
                <c:pt idx="364">
                  <c:v>-561.01743922141623</c:v>
                </c:pt>
                <c:pt idx="365">
                  <c:v>-561.81670342027701</c:v>
                </c:pt>
                <c:pt idx="366">
                  <c:v>-564.18653664806584</c:v>
                </c:pt>
                <c:pt idx="367">
                  <c:v>-564.96716021356974</c:v>
                </c:pt>
                <c:pt idx="368">
                  <c:v>-565.74312282990036</c:v>
                </c:pt>
                <c:pt idx="369">
                  <c:v>-566.51442418029774</c:v>
                </c:pt>
                <c:pt idx="370">
                  <c:v>-567.2810639491388</c:v>
                </c:pt>
                <c:pt idx="371">
                  <c:v>-569.55301059829821</c:v>
                </c:pt>
                <c:pt idx="372">
                  <c:v>-570.30100087430924</c:v>
                </c:pt>
                <c:pt idx="373">
                  <c:v>-571.04432798595894</c:v>
                </c:pt>
                <c:pt idx="374">
                  <c:v>-571.78299161648738</c:v>
                </c:pt>
                <c:pt idx="375">
                  <c:v>-572.51699144970303</c:v>
                </c:pt>
                <c:pt idx="376">
                  <c:v>-574.69100499844217</c:v>
                </c:pt>
                <c:pt idx="377">
                  <c:v>-575.40634647551769</c:v>
                </c:pt>
                <c:pt idx="378">
                  <c:v>-576.11702257204911</c:v>
                </c:pt>
                <c:pt idx="379">
                  <c:v>-576.82303297127646</c:v>
                </c:pt>
                <c:pt idx="380">
                  <c:v>-577.5243773564398</c:v>
                </c:pt>
                <c:pt idx="381">
                  <c:v>-576.82303297127646</c:v>
                </c:pt>
                <c:pt idx="382">
                  <c:v>-578.78371153790908</c:v>
                </c:pt>
                <c:pt idx="383">
                  <c:v>-580.73528323404844</c:v>
                </c:pt>
                <c:pt idx="384">
                  <c:v>-582.67774621668877</c:v>
                </c:pt>
                <c:pt idx="385">
                  <c:v>-584.61109864154537</c:v>
                </c:pt>
                <c:pt idx="386">
                  <c:v>-590.3564741208811</c:v>
                </c:pt>
                <c:pt idx="387">
                  <c:v>-592.25336586351318</c:v>
                </c:pt>
                <c:pt idx="388">
                  <c:v>-594.14113782082723</c:v>
                </c:pt>
                <c:pt idx="389">
                  <c:v>-596.01978814541212</c:v>
                </c:pt>
                <c:pt idx="390">
                  <c:v>-597.88931498957254</c:v>
                </c:pt>
                <c:pt idx="391">
                  <c:v>-603.44313615786405</c:v>
                </c:pt>
                <c:pt idx="392">
                  <c:v>-605.27615059569939</c:v>
                </c:pt>
                <c:pt idx="393">
                  <c:v>-607.10003230795451</c:v>
                </c:pt>
                <c:pt idx="394">
                  <c:v>-608.91477944394978</c:v>
                </c:pt>
                <c:pt idx="395">
                  <c:v>-610.72039015314772</c:v>
                </c:pt>
                <c:pt idx="396">
                  <c:v>-616.08238519951897</c:v>
                </c:pt>
                <c:pt idx="397">
                  <c:v>-617.85143167938372</c:v>
                </c:pt>
                <c:pt idx="398">
                  <c:v>-619.61133246981603</c:v>
                </c:pt>
                <c:pt idx="399">
                  <c:v>-621.36208571615725</c:v>
                </c:pt>
                <c:pt idx="400">
                  <c:v>-623.10368956374873</c:v>
                </c:pt>
                <c:pt idx="401">
                  <c:v>-628.27358616289075</c:v>
                </c:pt>
                <c:pt idx="402">
                  <c:v>-629.9785738610808</c:v>
                </c:pt>
                <c:pt idx="403">
                  <c:v>-631.67440288054877</c:v>
                </c:pt>
                <c:pt idx="404">
                  <c:v>-633.3610713633675</c:v>
                </c:pt>
                <c:pt idx="405">
                  <c:v>-635.03857745217829</c:v>
                </c:pt>
                <c:pt idx="406">
                  <c:v>-640.01610276292809</c:v>
                </c:pt>
                <c:pt idx="407">
                  <c:v>-641.65694068307744</c:v>
                </c:pt>
                <c:pt idx="408">
                  <c:v>-643.28860691077239</c:v>
                </c:pt>
                <c:pt idx="409">
                  <c:v>-644.91109958510151</c:v>
                </c:pt>
                <c:pt idx="410">
                  <c:v>-646.52441684430073</c:v>
                </c:pt>
                <c:pt idx="411">
                  <c:v>-651.30929750878863</c:v>
                </c:pt>
                <c:pt idx="412">
                  <c:v>-652.88589448215362</c:v>
                </c:pt>
                <c:pt idx="413">
                  <c:v>-654.45330672503133</c:v>
                </c:pt>
                <c:pt idx="414">
                  <c:v>-656.01153237253141</c:v>
                </c:pt>
                <c:pt idx="415">
                  <c:v>-657.56056956004727</c:v>
                </c:pt>
                <c:pt idx="416">
                  <c:v>-662.15253170184951</c:v>
                </c:pt>
                <c:pt idx="417">
                  <c:v>-663.66479638716669</c:v>
                </c:pt>
                <c:pt idx="418">
                  <c:v>-665.1678632785264</c:v>
                </c:pt>
                <c:pt idx="419">
                  <c:v>-666.66173050862199</c:v>
                </c:pt>
                <c:pt idx="420">
                  <c:v>-668.14639620844218</c:v>
                </c:pt>
                <c:pt idx="421">
                  <c:v>-672.54516543215459</c:v>
                </c:pt>
                <c:pt idx="422">
                  <c:v>-673.99300631393544</c:v>
                </c:pt>
                <c:pt idx="423">
                  <c:v>-675.4316363149826</c:v>
                </c:pt>
                <c:pt idx="424">
                  <c:v>-676.86105356301584</c:v>
                </c:pt>
                <c:pt idx="425">
                  <c:v>-678.28125618618174</c:v>
                </c:pt>
                <c:pt idx="426">
                  <c:v>-682.48655757528797</c:v>
                </c:pt>
                <c:pt idx="427">
                  <c:v>-683.86988296595064</c:v>
                </c:pt>
                <c:pt idx="428">
                  <c:v>-685.24398436281331</c:v>
                </c:pt>
                <c:pt idx="429">
                  <c:v>-686.60885989089593</c:v>
                </c:pt>
                <c:pt idx="430">
                  <c:v>-687.96450767436579</c:v>
                </c:pt>
                <c:pt idx="431">
                  <c:v>-691.97606579109561</c:v>
                </c:pt>
                <c:pt idx="432">
                  <c:v>-693.29478382769594</c:v>
                </c:pt>
                <c:pt idx="433">
                  <c:v>-694.60426473341386</c:v>
                </c:pt>
                <c:pt idx="434">
                  <c:v>-695.90450662929015</c:v>
                </c:pt>
                <c:pt idx="435">
                  <c:v>-697.19550763551297</c:v>
                </c:pt>
                <c:pt idx="436">
                  <c:v>-701.0130465185681</c:v>
                </c:pt>
                <c:pt idx="437">
                  <c:v>-702.26706516450577</c:v>
                </c:pt>
                <c:pt idx="438">
                  <c:v>-703.51183351689872</c:v>
                </c:pt>
                <c:pt idx="439">
                  <c:v>-704.7473496933776</c:v>
                </c:pt>
                <c:pt idx="440">
                  <c:v>-705.97361181114593</c:v>
                </c:pt>
                <c:pt idx="441">
                  <c:v>-709.59685497470559</c:v>
                </c:pt>
                <c:pt idx="442">
                  <c:v>-710.78608201787574</c:v>
                </c:pt>
                <c:pt idx="443">
                  <c:v>-711.96604558039655</c:v>
                </c:pt>
                <c:pt idx="444">
                  <c:v>-713.13674377591951</c:v>
                </c:pt>
                <c:pt idx="445">
                  <c:v>-714.29817471781121</c:v>
                </c:pt>
                <c:pt idx="446">
                  <c:v>-717.7268451509633</c:v>
                </c:pt>
                <c:pt idx="447">
                  <c:v>-718.85118820446792</c:v>
                </c:pt>
                <c:pt idx="448">
                  <c:v>-719.96625456449692</c:v>
                </c:pt>
                <c:pt idx="449">
                  <c:v>-721.07204234129085</c:v>
                </c:pt>
                <c:pt idx="450">
                  <c:v>-722.16854964537447</c:v>
                </c:pt>
                <c:pt idx="451">
                  <c:v>-725.4023698101264</c:v>
                </c:pt>
                <c:pt idx="452">
                  <c:v>-726.46173631071065</c:v>
                </c:pt>
                <c:pt idx="453">
                  <c:v>-727.51181288026589</c:v>
                </c:pt>
                <c:pt idx="454">
                  <c:v>-728.55259762576452</c:v>
                </c:pt>
                <c:pt idx="455">
                  <c:v>-729.58408865289925</c:v>
                </c:pt>
                <c:pt idx="456">
                  <c:v>-732.62278048346741</c:v>
                </c:pt>
                <c:pt idx="457">
                  <c:v>-733.61707769237228</c:v>
                </c:pt>
                <c:pt idx="458">
                  <c:v>-734.60207170739977</c:v>
                </c:pt>
                <c:pt idx="459">
                  <c:v>-735.57776063154279</c:v>
                </c:pt>
                <c:pt idx="460">
                  <c:v>-736.54414256779432</c:v>
                </c:pt>
                <c:pt idx="461">
                  <c:v>-739.38742746847197</c:v>
                </c:pt>
                <c:pt idx="462">
                  <c:v>-740.31656247001365</c:v>
                </c:pt>
                <c:pt idx="463">
                  <c:v>-741.23638098924971</c:v>
                </c:pt>
                <c:pt idx="464">
                  <c:v>-742.14688112633098</c:v>
                </c:pt>
                <c:pt idx="465">
                  <c:v>-743.04806097998721</c:v>
                </c:pt>
                <c:pt idx="466">
                  <c:v>-745.69565982471886</c:v>
                </c:pt>
                <c:pt idx="467">
                  <c:v>-746.55953952614595</c:v>
                </c:pt>
                <c:pt idx="468">
                  <c:v>-747.41408943211241</c:v>
                </c:pt>
                <c:pt idx="469">
                  <c:v>-748.2593076386479</c:v>
                </c:pt>
                <c:pt idx="470">
                  <c:v>-749.09519224121368</c:v>
                </c:pt>
                <c:pt idx="471">
                  <c:v>-751.54682537231565</c:v>
                </c:pt>
                <c:pt idx="472">
                  <c:v>-752.34535650380963</c:v>
                </c:pt>
                <c:pt idx="473">
                  <c:v>-753.13454450068207</c:v>
                </c:pt>
                <c:pt idx="474">
                  <c:v>-753.91438745597839</c:v>
                </c:pt>
                <c:pt idx="475">
                  <c:v>-754.6848834613229</c:v>
                </c:pt>
                <c:pt idx="476">
                  <c:v>-756.94027068763603</c:v>
                </c:pt>
                <c:pt idx="477">
                  <c:v>-757.67335980103201</c:v>
                </c:pt>
                <c:pt idx="478">
                  <c:v>-758.39709241606101</c:v>
                </c:pt>
                <c:pt idx="479">
                  <c:v>-759.11146662107853</c:v>
                </c:pt>
                <c:pt idx="480">
                  <c:v>-759.81648050486683</c:v>
                </c:pt>
                <c:pt idx="481">
                  <c:v>-761.87534110133015</c:v>
                </c:pt>
                <c:pt idx="482">
                  <c:v>-762.5428945706858</c:v>
                </c:pt>
                <c:pt idx="483">
                  <c:v>-763.20107815178062</c:v>
                </c:pt>
                <c:pt idx="484">
                  <c:v>-763.84988992984404</c:v>
                </c:pt>
                <c:pt idx="485">
                  <c:v>-764.48932798939495</c:v>
                </c:pt>
                <c:pt idx="486">
                  <c:v>-766.35138069448772</c:v>
                </c:pt>
                <c:pt idx="487">
                  <c:v>-766.95330471494572</c:v>
                </c:pt>
                <c:pt idx="488">
                  <c:v>-767.54584543209614</c:v>
                </c:pt>
                <c:pt idx="489">
                  <c:v>-768.12900092718905</c:v>
                </c:pt>
                <c:pt idx="490">
                  <c:v>-768.70276928090675</c:v>
                </c:pt>
                <c:pt idx="491">
                  <c:v>-770.36773229664846</c:v>
                </c:pt>
                <c:pt idx="492">
                  <c:v>-770.90393288443693</c:v>
                </c:pt>
                <c:pt idx="493">
                  <c:v>-771.43073672772289</c:v>
                </c:pt>
                <c:pt idx="494">
                  <c:v>-771.94814190463035</c:v>
                </c:pt>
                <c:pt idx="495">
                  <c:v>-772.45614649214656</c:v>
                </c:pt>
                <c:pt idx="496">
                  <c:v>-773.92373748224941</c:v>
                </c:pt>
                <c:pt idx="497">
                  <c:v>-774.39412047382905</c:v>
                </c:pt>
                <c:pt idx="498">
                  <c:v>-774.85509325441626</c:v>
                </c:pt>
                <c:pt idx="499">
                  <c:v>-775.30665389829778</c:v>
                </c:pt>
                <c:pt idx="500">
                  <c:v>-775.74880047848183</c:v>
                </c:pt>
                <c:pt idx="501">
                  <c:v>-777.01873656721432</c:v>
                </c:pt>
                <c:pt idx="502">
                  <c:v>-777.42320761942096</c:v>
                </c:pt>
                <c:pt idx="503">
                  <c:v>-777.81825496813894</c:v>
                </c:pt>
                <c:pt idx="504">
                  <c:v>-778.20387668381841</c:v>
                </c:pt>
                <c:pt idx="505">
                  <c:v>-778.58007083648317</c:v>
                </c:pt>
                <c:pt idx="506">
                  <c:v>-779.65206860710623</c:v>
                </c:pt>
                <c:pt idx="507">
                  <c:v>-779.99053319572909</c:v>
                </c:pt>
                <c:pt idx="508">
                  <c:v>-780.31956056307206</c:v>
                </c:pt>
                <c:pt idx="509">
                  <c:v>-780.63914877546381</c:v>
                </c:pt>
                <c:pt idx="510">
                  <c:v>-780.94929589909157</c:v>
                </c:pt>
                <c:pt idx="511">
                  <c:v>-781.25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DE-4C89-A494-1727DC0F1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15259"/>
        <c:axId val="787264300"/>
      </c:lineChart>
      <c:dateAx>
        <c:axId val="76915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787264300"/>
        <c:crosses val="autoZero"/>
        <c:auto val="1"/>
        <c:lblOffset val="100"/>
        <c:baseTimeUnit val="days"/>
      </c:dateAx>
      <c:valAx>
        <c:axId val="787264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76915259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1BF-4B1D-B9C2-6B017F4B7A30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91BF-4B1D-B9C2-6B017F4B7A30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91BF-4B1D-B9C2-6B017F4B7A30}"/>
              </c:ext>
            </c:extLst>
          </c:dPt>
          <c:cat>
            <c:numRef>
              <c:f>'Bond (3)'!$A$16:$A$277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(3)'!$E$16:$E$277</c:f>
              <c:numCache>
                <c:formatCode>0.00</c:formatCode>
                <c:ptCount val="26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0.45861200000000002</c:v>
                </c:pt>
                <c:pt idx="194">
                  <c:v>0.45861200000000002</c:v>
                </c:pt>
                <c:pt idx="195">
                  <c:v>0.45861200000000002</c:v>
                </c:pt>
                <c:pt idx="196">
                  <c:v>0.45861200000000002</c:v>
                </c:pt>
                <c:pt idx="197">
                  <c:v>0.45861200000000002</c:v>
                </c:pt>
                <c:pt idx="198">
                  <c:v>0.45861200000000002</c:v>
                </c:pt>
                <c:pt idx="199">
                  <c:v>0.45861200000000002</c:v>
                </c:pt>
                <c:pt idx="200">
                  <c:v>0.45861200000000002</c:v>
                </c:pt>
                <c:pt idx="201">
                  <c:v>0.45861200000000002</c:v>
                </c:pt>
                <c:pt idx="202">
                  <c:v>0.45861200000000002</c:v>
                </c:pt>
                <c:pt idx="203">
                  <c:v>0.45861200000000002</c:v>
                </c:pt>
                <c:pt idx="204">
                  <c:v>0.45861200000000002</c:v>
                </c:pt>
                <c:pt idx="205">
                  <c:v>0.45861200000000002</c:v>
                </c:pt>
                <c:pt idx="206">
                  <c:v>0.45861200000000002</c:v>
                </c:pt>
                <c:pt idx="207">
                  <c:v>0.45861200000000002</c:v>
                </c:pt>
                <c:pt idx="208">
                  <c:v>0.45861200000000002</c:v>
                </c:pt>
                <c:pt idx="209">
                  <c:v>0.45861200000000002</c:v>
                </c:pt>
                <c:pt idx="210">
                  <c:v>0.45861200000000002</c:v>
                </c:pt>
                <c:pt idx="211">
                  <c:v>0.45861200000000002</c:v>
                </c:pt>
                <c:pt idx="212">
                  <c:v>0.45861200000000002</c:v>
                </c:pt>
                <c:pt idx="213">
                  <c:v>0.45861200000000002</c:v>
                </c:pt>
                <c:pt idx="214">
                  <c:v>0.45861200000000002</c:v>
                </c:pt>
                <c:pt idx="215">
                  <c:v>0.45861200000000002</c:v>
                </c:pt>
                <c:pt idx="216">
                  <c:v>0.45861200000000002</c:v>
                </c:pt>
                <c:pt idx="217">
                  <c:v>0.45861200000000002</c:v>
                </c:pt>
                <c:pt idx="218">
                  <c:v>0.45861200000000002</c:v>
                </c:pt>
                <c:pt idx="219">
                  <c:v>0.45861200000000002</c:v>
                </c:pt>
                <c:pt idx="220">
                  <c:v>0.45861200000000002</c:v>
                </c:pt>
                <c:pt idx="221">
                  <c:v>0.45861200000000002</c:v>
                </c:pt>
                <c:pt idx="222">
                  <c:v>0.45861200000000002</c:v>
                </c:pt>
                <c:pt idx="223">
                  <c:v>0.45861200000000002</c:v>
                </c:pt>
                <c:pt idx="224">
                  <c:v>0.45861200000000002</c:v>
                </c:pt>
                <c:pt idx="225">
                  <c:v>0.45861200000000002</c:v>
                </c:pt>
                <c:pt idx="226">
                  <c:v>0.45861200000000002</c:v>
                </c:pt>
                <c:pt idx="227">
                  <c:v>0.45861200000000002</c:v>
                </c:pt>
                <c:pt idx="228">
                  <c:v>0.45861200000000002</c:v>
                </c:pt>
                <c:pt idx="229">
                  <c:v>0.45861200000000002</c:v>
                </c:pt>
                <c:pt idx="230">
                  <c:v>0.45861200000000002</c:v>
                </c:pt>
                <c:pt idx="231">
                  <c:v>0.45861200000000002</c:v>
                </c:pt>
                <c:pt idx="232">
                  <c:v>0.45861200000000002</c:v>
                </c:pt>
                <c:pt idx="233">
                  <c:v>0.45861200000000002</c:v>
                </c:pt>
                <c:pt idx="234">
                  <c:v>0.45861200000000002</c:v>
                </c:pt>
                <c:pt idx="235">
                  <c:v>0.45861200000000002</c:v>
                </c:pt>
                <c:pt idx="236">
                  <c:v>0.45861200000000002</c:v>
                </c:pt>
                <c:pt idx="237">
                  <c:v>0.45861200000000002</c:v>
                </c:pt>
                <c:pt idx="238">
                  <c:v>0.45861200000000002</c:v>
                </c:pt>
                <c:pt idx="239">
                  <c:v>0.45861200000000002</c:v>
                </c:pt>
                <c:pt idx="240">
                  <c:v>0.45861200000000002</c:v>
                </c:pt>
                <c:pt idx="241">
                  <c:v>0.45861200000000002</c:v>
                </c:pt>
                <c:pt idx="242">
                  <c:v>0.45861200000000002</c:v>
                </c:pt>
                <c:pt idx="243">
                  <c:v>0.45861200000000002</c:v>
                </c:pt>
                <c:pt idx="244">
                  <c:v>0.45861200000000002</c:v>
                </c:pt>
                <c:pt idx="245">
                  <c:v>0.45861200000000002</c:v>
                </c:pt>
                <c:pt idx="246">
                  <c:v>0.45861200000000002</c:v>
                </c:pt>
                <c:pt idx="247">
                  <c:v>0.45861200000000002</c:v>
                </c:pt>
                <c:pt idx="248">
                  <c:v>0.45861200000000002</c:v>
                </c:pt>
                <c:pt idx="249">
                  <c:v>0.45861200000000002</c:v>
                </c:pt>
                <c:pt idx="250">
                  <c:v>0.45861200000000002</c:v>
                </c:pt>
                <c:pt idx="251">
                  <c:v>0.45861200000000002</c:v>
                </c:pt>
                <c:pt idx="252">
                  <c:v>0.45861200000000002</c:v>
                </c:pt>
                <c:pt idx="253">
                  <c:v>0.45861200000000002</c:v>
                </c:pt>
                <c:pt idx="254">
                  <c:v>0.45861200000000002</c:v>
                </c:pt>
                <c:pt idx="255">
                  <c:v>0.45861200000000002</c:v>
                </c:pt>
                <c:pt idx="256">
                  <c:v>0.45861200000000002</c:v>
                </c:pt>
                <c:pt idx="257">
                  <c:v>0.45861200000000002</c:v>
                </c:pt>
                <c:pt idx="258">
                  <c:v>0.45861200000000002</c:v>
                </c:pt>
                <c:pt idx="259">
                  <c:v>0.45861200000000002</c:v>
                </c:pt>
                <c:pt idx="260">
                  <c:v>0.45861200000000002</c:v>
                </c:pt>
                <c:pt idx="261">
                  <c:v>0.45861200000000002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BF-4B1D-B9C2-6B017F4B7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690591"/>
        <c:axId val="1547125183"/>
      </c:lineChart>
      <c:dateAx>
        <c:axId val="80969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547125183"/>
        <c:crosses val="autoZero"/>
        <c:auto val="1"/>
        <c:lblOffset val="100"/>
        <c:baseTimeUnit val="days"/>
      </c:dateAx>
      <c:valAx>
        <c:axId val="1547125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8096905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B54-46DE-9060-9EF3E08619BF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CB54-46DE-9060-9EF3E08619BF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CB54-46DE-9060-9EF3E08619BF}"/>
              </c:ext>
            </c:extLst>
          </c:dPt>
          <c:cat>
            <c:numRef>
              <c:f>'Bond (3)'!$A$16:$A$277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(3)'!$C$16:$C$277</c:f>
              <c:numCache>
                <c:formatCode>0.0</c:formatCode>
                <c:ptCount val="26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4-46DE-9060-9EF3E08619BF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4-CB54-46DE-9060-9EF3E08619BF}"/>
              </c:ext>
            </c:extLst>
          </c:dPt>
          <c:cat>
            <c:numRef>
              <c:f>'Bond (3)'!$A$16:$A$277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(3)'!$I$16:$I$277</c:f>
              <c:numCache>
                <c:formatCode>0.0</c:formatCode>
                <c:ptCount val="26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42441.156600379007</c:v>
                </c:pt>
                <c:pt idx="194">
                  <c:v>42453.523085437817</c:v>
                </c:pt>
                <c:pt idx="195">
                  <c:v>42465.889737566824</c:v>
                </c:pt>
                <c:pt idx="196">
                  <c:v>42502.990696399764</c:v>
                </c:pt>
                <c:pt idx="197">
                  <c:v>42515.358016832717</c:v>
                </c:pt>
                <c:pt idx="198">
                  <c:v>42527.725504346825</c:v>
                </c:pt>
                <c:pt idx="199">
                  <c:v>42540.093158944488</c:v>
                </c:pt>
                <c:pt idx="200">
                  <c:v>42552.460980627548</c:v>
                </c:pt>
                <c:pt idx="201">
                  <c:v>42589.56544821104</c:v>
                </c:pt>
                <c:pt idx="202">
                  <c:v>42601.933938257454</c:v>
                </c:pt>
                <c:pt idx="203">
                  <c:v>42614.302595400077</c:v>
                </c:pt>
                <c:pt idx="204">
                  <c:v>42626.671419640596</c:v>
                </c:pt>
                <c:pt idx="205">
                  <c:v>42639.040410981739</c:v>
                </c:pt>
                <c:pt idx="206">
                  <c:v>42676.148387628709</c:v>
                </c:pt>
                <c:pt idx="207">
                  <c:v>42688.518047392456</c:v>
                </c:pt>
                <c:pt idx="208">
                  <c:v>42700.887874267341</c:v>
                </c:pt>
                <c:pt idx="209">
                  <c:v>42713.257868255329</c:v>
                </c:pt>
                <c:pt idx="210">
                  <c:v>42725.628029358712</c:v>
                </c:pt>
                <c:pt idx="211">
                  <c:v>42762.739515381647</c:v>
                </c:pt>
                <c:pt idx="212">
                  <c:v>42775.110344967332</c:v>
                </c:pt>
                <c:pt idx="213">
                  <c:v>42787.481341678911</c:v>
                </c:pt>
                <c:pt idx="214">
                  <c:v>42799.852505518116</c:v>
                </c:pt>
                <c:pt idx="215">
                  <c:v>42812.223836488047</c:v>
                </c:pt>
                <c:pt idx="216">
                  <c:v>42849.33883219945</c:v>
                </c:pt>
                <c:pt idx="217">
                  <c:v>42861.710831710938</c:v>
                </c:pt>
                <c:pt idx="218">
                  <c:v>42874.082998363541</c:v>
                </c:pt>
                <c:pt idx="219">
                  <c:v>42886.455332158672</c:v>
                </c:pt>
                <c:pt idx="220">
                  <c:v>42898.827833099036</c:v>
                </c:pt>
                <c:pt idx="221">
                  <c:v>42935.946338811402</c:v>
                </c:pt>
                <c:pt idx="222">
                  <c:v>42948.319508353292</c:v>
                </c:pt>
                <c:pt idx="223">
                  <c:v>42960.692845050507</c:v>
                </c:pt>
                <c:pt idx="224">
                  <c:v>42973.06634890617</c:v>
                </c:pt>
                <c:pt idx="225">
                  <c:v>42985.44001992113</c:v>
                </c:pt>
                <c:pt idx="226">
                  <c:v>43022.562035947391</c:v>
                </c:pt>
                <c:pt idx="227">
                  <c:v>43034.936375623423</c:v>
                </c:pt>
                <c:pt idx="228">
                  <c:v>43047.310882470279</c:v>
                </c:pt>
                <c:pt idx="229">
                  <c:v>43059.685556489771</c:v>
                </c:pt>
                <c:pt idx="230">
                  <c:v>43072.060397683919</c:v>
                </c:pt>
                <c:pt idx="231">
                  <c:v>43109.185924336707</c:v>
                </c:pt>
                <c:pt idx="232">
                  <c:v>43121.561434251475</c:v>
                </c:pt>
                <c:pt idx="233">
                  <c:v>43133.93711135169</c:v>
                </c:pt>
                <c:pt idx="234">
                  <c:v>43146.312955639631</c:v>
                </c:pt>
                <c:pt idx="235">
                  <c:v>43158.688967116992</c:v>
                </c:pt>
                <c:pt idx="236">
                  <c:v>43195.818004709225</c:v>
                </c:pt>
                <c:pt idx="237">
                  <c:v>43208.194684966744</c:v>
                </c:pt>
                <c:pt idx="238">
                  <c:v>43220.571532424779</c:v>
                </c:pt>
                <c:pt idx="239">
                  <c:v>43232.948547085172</c:v>
                </c:pt>
                <c:pt idx="240">
                  <c:v>43245.325728950047</c:v>
                </c:pt>
                <c:pt idx="241">
                  <c:v>43282.458277794241</c:v>
                </c:pt>
                <c:pt idx="242">
                  <c:v>43294.836128498966</c:v>
                </c:pt>
                <c:pt idx="243">
                  <c:v>43307.214146418846</c:v>
                </c:pt>
                <c:pt idx="244">
                  <c:v>43319.592331556429</c:v>
                </c:pt>
                <c:pt idx="245">
                  <c:v>43331.97068391314</c:v>
                </c:pt>
                <c:pt idx="246">
                  <c:v>43369.106744321762</c:v>
                </c:pt>
                <c:pt idx="247">
                  <c:v>43381.485765577716</c:v>
                </c:pt>
                <c:pt idx="248">
                  <c:v>43393.864954064033</c:v>
                </c:pt>
                <c:pt idx="249">
                  <c:v>43406.244309782545</c:v>
                </c:pt>
                <c:pt idx="250">
                  <c:v>43418.623832735524</c:v>
                </c:pt>
                <c:pt idx="251">
                  <c:v>43566.55496812913</c:v>
                </c:pt>
                <c:pt idx="252">
                  <c:v>43578.029226441853</c:v>
                </c:pt>
                <c:pt idx="253">
                  <c:v>43589.503649971535</c:v>
                </c:pt>
                <c:pt idx="254">
                  <c:v>43600.978238719887</c:v>
                </c:pt>
                <c:pt idx="255">
                  <c:v>43612.452992689039</c:v>
                </c:pt>
                <c:pt idx="256">
                  <c:v>43646.878245943852</c:v>
                </c:pt>
                <c:pt idx="257">
                  <c:v>43658.353660817927</c:v>
                </c:pt>
                <c:pt idx="258">
                  <c:v>43669.829240923747</c:v>
                </c:pt>
                <c:pt idx="259">
                  <c:v>43681.304986263014</c:v>
                </c:pt>
                <c:pt idx="260">
                  <c:v>43692.780896837852</c:v>
                </c:pt>
                <c:pt idx="261">
                  <c:v>43727.20961999728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54-46DE-9060-9EF3E08619BF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(3)'!$A$16:$A$277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(3)'!$H$16:$H$277</c:f>
              <c:numCache>
                <c:formatCode>_(* #,##0.000_);_(* \(#,##0.000\);_(* "-"??_);_(@_)</c:formatCode>
                <c:ptCount val="26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23954.68383401493</c:v>
                </c:pt>
                <c:pt idx="194">
                  <c:v>23898.36900039242</c:v>
                </c:pt>
                <c:pt idx="195">
                  <c:v>23842.054333840111</c:v>
                </c:pt>
                <c:pt idx="196">
                  <c:v>23673.111336629092</c:v>
                </c:pt>
                <c:pt idx="197">
                  <c:v>23616.797338380733</c:v>
                </c:pt>
                <c:pt idx="198">
                  <c:v>23560.483507213517</c:v>
                </c:pt>
                <c:pt idx="199">
                  <c:v>23504.169843129861</c:v>
                </c:pt>
                <c:pt idx="200">
                  <c:v>23447.856346131601</c:v>
                </c:pt>
                <c:pt idx="201">
                  <c:v>23278.916857671138</c:v>
                </c:pt>
                <c:pt idx="202">
                  <c:v>23222.604029036233</c:v>
                </c:pt>
                <c:pt idx="203">
                  <c:v>23166.291367497539</c:v>
                </c:pt>
                <c:pt idx="204">
                  <c:v>23109.978873056745</c:v>
                </c:pt>
                <c:pt idx="205">
                  <c:v>23053.666545716565</c:v>
                </c:pt>
                <c:pt idx="206">
                  <c:v>22884.730566319577</c:v>
                </c:pt>
                <c:pt idx="207">
                  <c:v>22828.418907402011</c:v>
                </c:pt>
                <c:pt idx="208">
                  <c:v>22772.107415595572</c:v>
                </c:pt>
                <c:pt idx="209">
                  <c:v>22715.796090902244</c:v>
                </c:pt>
                <c:pt idx="210">
                  <c:v>22659.484933324307</c:v>
                </c:pt>
                <c:pt idx="211">
                  <c:v>22490.552463303287</c:v>
                </c:pt>
                <c:pt idx="212">
                  <c:v>22434.241974207653</c:v>
                </c:pt>
                <c:pt idx="213">
                  <c:v>22377.931652237916</c:v>
                </c:pt>
                <c:pt idx="214">
                  <c:v>22321.621497395798</c:v>
                </c:pt>
                <c:pt idx="215">
                  <c:v>22265.311509684409</c:v>
                </c:pt>
                <c:pt idx="216">
                  <c:v>22096.38254935186</c:v>
                </c:pt>
                <c:pt idx="217">
                  <c:v>22040.073230182032</c:v>
                </c:pt>
                <c:pt idx="218">
                  <c:v>21983.764078153315</c:v>
                </c:pt>
                <c:pt idx="219">
                  <c:v>21927.455093267126</c:v>
                </c:pt>
                <c:pt idx="220">
                  <c:v>21871.146275526175</c:v>
                </c:pt>
                <c:pt idx="221">
                  <c:v>21702.220825194585</c:v>
                </c:pt>
                <c:pt idx="222">
                  <c:v>21645.912676055163</c:v>
                </c:pt>
                <c:pt idx="223">
                  <c:v>21589.604694071058</c:v>
                </c:pt>
                <c:pt idx="224">
                  <c:v>21533.296879245398</c:v>
                </c:pt>
                <c:pt idx="225">
                  <c:v>21476.989231579038</c:v>
                </c:pt>
                <c:pt idx="226">
                  <c:v>21308.067291561343</c:v>
                </c:pt>
                <c:pt idx="227">
                  <c:v>21251.760312556056</c:v>
                </c:pt>
                <c:pt idx="228">
                  <c:v>21195.453500721585</c:v>
                </c:pt>
                <c:pt idx="229">
                  <c:v>21139.146856059768</c:v>
                </c:pt>
                <c:pt idx="230">
                  <c:v>21082.840378572597</c:v>
                </c:pt>
                <c:pt idx="231">
                  <c:v>20913.921949181429</c:v>
                </c:pt>
                <c:pt idx="232">
                  <c:v>20857.616140414877</c:v>
                </c:pt>
                <c:pt idx="233">
                  <c:v>20801.310498833773</c:v>
                </c:pt>
                <c:pt idx="234">
                  <c:v>20745.00502444039</c:v>
                </c:pt>
                <c:pt idx="235">
                  <c:v>20688.699717236432</c:v>
                </c:pt>
                <c:pt idx="236">
                  <c:v>20519.784798784713</c:v>
                </c:pt>
                <c:pt idx="237">
                  <c:v>20463.480160360916</c:v>
                </c:pt>
                <c:pt idx="238">
                  <c:v>20407.175689137632</c:v>
                </c:pt>
                <c:pt idx="239">
                  <c:v>20350.871385116705</c:v>
                </c:pt>
                <c:pt idx="240">
                  <c:v>20294.567248300267</c:v>
                </c:pt>
                <c:pt idx="241">
                  <c:v>20125.655841100495</c:v>
                </c:pt>
                <c:pt idx="242">
                  <c:v>20069.352373123904</c:v>
                </c:pt>
                <c:pt idx="243">
                  <c:v>20013.049072362464</c:v>
                </c:pt>
                <c:pt idx="244">
                  <c:v>19956.745938818727</c:v>
                </c:pt>
                <c:pt idx="245">
                  <c:v>19900.442972494118</c:v>
                </c:pt>
                <c:pt idx="246">
                  <c:v>19731.535076858789</c:v>
                </c:pt>
                <c:pt idx="247">
                  <c:v>19675.232779433431</c:v>
                </c:pt>
                <c:pt idx="248">
                  <c:v>19618.93064923842</c:v>
                </c:pt>
                <c:pt idx="249">
                  <c:v>19562.628686275613</c:v>
                </c:pt>
                <c:pt idx="250">
                  <c:v>19506.326890547283</c:v>
                </c:pt>
                <c:pt idx="251">
                  <c:v>19449.707142042171</c:v>
                </c:pt>
                <c:pt idx="252">
                  <c:v>19393.246617746201</c:v>
                </c:pt>
                <c:pt idx="253">
                  <c:v>19336.786258667187</c:v>
                </c:pt>
                <c:pt idx="254">
                  <c:v>19280.326064806843</c:v>
                </c:pt>
                <c:pt idx="255">
                  <c:v>19223.866036167296</c:v>
                </c:pt>
                <c:pt idx="256">
                  <c:v>19054.486941596024</c:v>
                </c:pt>
                <c:pt idx="257">
                  <c:v>18998.027573861407</c:v>
                </c:pt>
                <c:pt idx="258">
                  <c:v>18941.568371358528</c:v>
                </c:pt>
                <c:pt idx="259">
                  <c:v>18885.109334089095</c:v>
                </c:pt>
                <c:pt idx="260">
                  <c:v>18828.650462055237</c:v>
                </c:pt>
                <c:pt idx="261">
                  <c:v>18659.274837388581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54-46DE-9060-9EF3E086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190915"/>
        <c:axId val="3847738"/>
      </c:lineChart>
      <c:dateAx>
        <c:axId val="175619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3847738"/>
        <c:crosses val="autoZero"/>
        <c:auto val="1"/>
        <c:lblOffset val="100"/>
        <c:baseTimeUnit val="days"/>
      </c:dateAx>
      <c:valAx>
        <c:axId val="3847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756190915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BCF-4753-925D-19E7B2263D5F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7BCF-4753-925D-19E7B2263D5F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7BCF-4753-925D-19E7B2263D5F}"/>
              </c:ext>
            </c:extLst>
          </c:dPt>
          <c:cat>
            <c:numRef>
              <c:f>'Bond (3)'!$A$16:$A$527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(3)'!$E$16:$E$527</c:f>
              <c:numCache>
                <c:formatCode>0.00</c:formatCode>
                <c:ptCount val="51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0.45861200000000002</c:v>
                </c:pt>
                <c:pt idx="194">
                  <c:v>0.45861200000000002</c:v>
                </c:pt>
                <c:pt idx="195">
                  <c:v>0.45861200000000002</c:v>
                </c:pt>
                <c:pt idx="196">
                  <c:v>0.45861200000000002</c:v>
                </c:pt>
                <c:pt idx="197">
                  <c:v>0.45861200000000002</c:v>
                </c:pt>
                <c:pt idx="198">
                  <c:v>0.45861200000000002</c:v>
                </c:pt>
                <c:pt idx="199">
                  <c:v>0.45861200000000002</c:v>
                </c:pt>
                <c:pt idx="200">
                  <c:v>0.45861200000000002</c:v>
                </c:pt>
                <c:pt idx="201">
                  <c:v>0.45861200000000002</c:v>
                </c:pt>
                <c:pt idx="202">
                  <c:v>0.45861200000000002</c:v>
                </c:pt>
                <c:pt idx="203">
                  <c:v>0.45861200000000002</c:v>
                </c:pt>
                <c:pt idx="204">
                  <c:v>0.45861200000000002</c:v>
                </c:pt>
                <c:pt idx="205">
                  <c:v>0.45861200000000002</c:v>
                </c:pt>
                <c:pt idx="206">
                  <c:v>0.45861200000000002</c:v>
                </c:pt>
                <c:pt idx="207">
                  <c:v>0.45861200000000002</c:v>
                </c:pt>
                <c:pt idx="208">
                  <c:v>0.45861200000000002</c:v>
                </c:pt>
                <c:pt idx="209">
                  <c:v>0.45861200000000002</c:v>
                </c:pt>
                <c:pt idx="210">
                  <c:v>0.45861200000000002</c:v>
                </c:pt>
                <c:pt idx="211">
                  <c:v>0.45861200000000002</c:v>
                </c:pt>
                <c:pt idx="212">
                  <c:v>0.45861200000000002</c:v>
                </c:pt>
                <c:pt idx="213">
                  <c:v>0.45861200000000002</c:v>
                </c:pt>
                <c:pt idx="214">
                  <c:v>0.45861200000000002</c:v>
                </c:pt>
                <c:pt idx="215">
                  <c:v>0.45861200000000002</c:v>
                </c:pt>
                <c:pt idx="216">
                  <c:v>0.45861200000000002</c:v>
                </c:pt>
                <c:pt idx="217">
                  <c:v>0.45861200000000002</c:v>
                </c:pt>
                <c:pt idx="218">
                  <c:v>0.45861200000000002</c:v>
                </c:pt>
                <c:pt idx="219">
                  <c:v>0.45861200000000002</c:v>
                </c:pt>
                <c:pt idx="220">
                  <c:v>0.45861200000000002</c:v>
                </c:pt>
                <c:pt idx="221">
                  <c:v>0.45861200000000002</c:v>
                </c:pt>
                <c:pt idx="222">
                  <c:v>0.45861200000000002</c:v>
                </c:pt>
                <c:pt idx="223">
                  <c:v>0.45861200000000002</c:v>
                </c:pt>
                <c:pt idx="224">
                  <c:v>0.45861200000000002</c:v>
                </c:pt>
                <c:pt idx="225">
                  <c:v>0.45861200000000002</c:v>
                </c:pt>
                <c:pt idx="226">
                  <c:v>0.45861200000000002</c:v>
                </c:pt>
                <c:pt idx="227">
                  <c:v>0.45861200000000002</c:v>
                </c:pt>
                <c:pt idx="228">
                  <c:v>0.45861200000000002</c:v>
                </c:pt>
                <c:pt idx="229">
                  <c:v>0.45861200000000002</c:v>
                </c:pt>
                <c:pt idx="230">
                  <c:v>0.45861200000000002</c:v>
                </c:pt>
                <c:pt idx="231">
                  <c:v>0.45861200000000002</c:v>
                </c:pt>
                <c:pt idx="232">
                  <c:v>0.45861200000000002</c:v>
                </c:pt>
                <c:pt idx="233">
                  <c:v>0.45861200000000002</c:v>
                </c:pt>
                <c:pt idx="234">
                  <c:v>0.45861200000000002</c:v>
                </c:pt>
                <c:pt idx="235">
                  <c:v>0.45861200000000002</c:v>
                </c:pt>
                <c:pt idx="236">
                  <c:v>0.45861200000000002</c:v>
                </c:pt>
                <c:pt idx="237">
                  <c:v>0.45861200000000002</c:v>
                </c:pt>
                <c:pt idx="238">
                  <c:v>0.45861200000000002</c:v>
                </c:pt>
                <c:pt idx="239">
                  <c:v>0.45861200000000002</c:v>
                </c:pt>
                <c:pt idx="240">
                  <c:v>0.45861200000000002</c:v>
                </c:pt>
                <c:pt idx="241">
                  <c:v>0.45861200000000002</c:v>
                </c:pt>
                <c:pt idx="242">
                  <c:v>0.45861200000000002</c:v>
                </c:pt>
                <c:pt idx="243">
                  <c:v>0.45861200000000002</c:v>
                </c:pt>
                <c:pt idx="244">
                  <c:v>0.45861200000000002</c:v>
                </c:pt>
                <c:pt idx="245">
                  <c:v>0.45861200000000002</c:v>
                </c:pt>
                <c:pt idx="246">
                  <c:v>0.45861200000000002</c:v>
                </c:pt>
                <c:pt idx="247">
                  <c:v>0.45861200000000002</c:v>
                </c:pt>
                <c:pt idx="248">
                  <c:v>0.45861200000000002</c:v>
                </c:pt>
                <c:pt idx="249">
                  <c:v>0.45861200000000002</c:v>
                </c:pt>
                <c:pt idx="250">
                  <c:v>0.45861200000000002</c:v>
                </c:pt>
                <c:pt idx="251">
                  <c:v>0.45861200000000002</c:v>
                </c:pt>
                <c:pt idx="252">
                  <c:v>0.45861200000000002</c:v>
                </c:pt>
                <c:pt idx="253">
                  <c:v>0.45861200000000002</c:v>
                </c:pt>
                <c:pt idx="254">
                  <c:v>0.45861200000000002</c:v>
                </c:pt>
                <c:pt idx="255">
                  <c:v>0.45861200000000002</c:v>
                </c:pt>
                <c:pt idx="256">
                  <c:v>0.45861200000000002</c:v>
                </c:pt>
                <c:pt idx="257">
                  <c:v>0.45861200000000002</c:v>
                </c:pt>
                <c:pt idx="258">
                  <c:v>0.45861200000000002</c:v>
                </c:pt>
                <c:pt idx="259">
                  <c:v>0.45861200000000002</c:v>
                </c:pt>
                <c:pt idx="260">
                  <c:v>0.45861200000000002</c:v>
                </c:pt>
                <c:pt idx="261">
                  <c:v>0.45861200000000002</c:v>
                </c:pt>
                <c:pt idx="262">
                  <c:v>0.45861200000000002</c:v>
                </c:pt>
                <c:pt idx="263">
                  <c:v>0.45861200000000002</c:v>
                </c:pt>
                <c:pt idx="264">
                  <c:v>0.45861200000000002</c:v>
                </c:pt>
                <c:pt idx="265">
                  <c:v>0.45861200000000002</c:v>
                </c:pt>
                <c:pt idx="266">
                  <c:v>0.45861200000000002</c:v>
                </c:pt>
                <c:pt idx="267">
                  <c:v>0.45861200000000002</c:v>
                </c:pt>
                <c:pt idx="268">
                  <c:v>0.45861200000000002</c:v>
                </c:pt>
                <c:pt idx="269">
                  <c:v>0.45861200000000002</c:v>
                </c:pt>
                <c:pt idx="270">
                  <c:v>0.45861200000000002</c:v>
                </c:pt>
                <c:pt idx="271">
                  <c:v>0.45861200000000002</c:v>
                </c:pt>
                <c:pt idx="272">
                  <c:v>0.45861200000000002</c:v>
                </c:pt>
                <c:pt idx="273">
                  <c:v>0.45861200000000002</c:v>
                </c:pt>
                <c:pt idx="274">
                  <c:v>0.45861200000000002</c:v>
                </c:pt>
                <c:pt idx="275">
                  <c:v>0.45861200000000002</c:v>
                </c:pt>
                <c:pt idx="276">
                  <c:v>0.45861200000000002</c:v>
                </c:pt>
                <c:pt idx="277">
                  <c:v>0.45861200000000002</c:v>
                </c:pt>
                <c:pt idx="278">
                  <c:v>0.45861200000000002</c:v>
                </c:pt>
                <c:pt idx="279">
                  <c:v>0.45861200000000002</c:v>
                </c:pt>
                <c:pt idx="280">
                  <c:v>0.45861200000000002</c:v>
                </c:pt>
                <c:pt idx="281">
                  <c:v>0.45861200000000002</c:v>
                </c:pt>
                <c:pt idx="282">
                  <c:v>0.45861200000000002</c:v>
                </c:pt>
                <c:pt idx="283">
                  <c:v>0.45861200000000002</c:v>
                </c:pt>
                <c:pt idx="284">
                  <c:v>0.45861200000000002</c:v>
                </c:pt>
                <c:pt idx="285">
                  <c:v>0.45861200000000002</c:v>
                </c:pt>
                <c:pt idx="286">
                  <c:v>0.45861200000000002</c:v>
                </c:pt>
                <c:pt idx="287">
                  <c:v>0.45861200000000002</c:v>
                </c:pt>
                <c:pt idx="288">
                  <c:v>0.45861200000000002</c:v>
                </c:pt>
                <c:pt idx="289">
                  <c:v>0.45861200000000002</c:v>
                </c:pt>
                <c:pt idx="290">
                  <c:v>0.45861200000000002</c:v>
                </c:pt>
                <c:pt idx="291">
                  <c:v>0.45861200000000002</c:v>
                </c:pt>
                <c:pt idx="292">
                  <c:v>0.45861200000000002</c:v>
                </c:pt>
                <c:pt idx="293">
                  <c:v>0.45861200000000002</c:v>
                </c:pt>
                <c:pt idx="294">
                  <c:v>0.45861200000000002</c:v>
                </c:pt>
                <c:pt idx="295">
                  <c:v>0.45861200000000002</c:v>
                </c:pt>
                <c:pt idx="296">
                  <c:v>0.45861200000000002</c:v>
                </c:pt>
                <c:pt idx="297">
                  <c:v>0.45861200000000002</c:v>
                </c:pt>
                <c:pt idx="298">
                  <c:v>0.45861200000000002</c:v>
                </c:pt>
                <c:pt idx="299">
                  <c:v>0.45861200000000002</c:v>
                </c:pt>
                <c:pt idx="300">
                  <c:v>0.45861200000000002</c:v>
                </c:pt>
                <c:pt idx="301">
                  <c:v>0.45861200000000002</c:v>
                </c:pt>
                <c:pt idx="302">
                  <c:v>0.45861200000000002</c:v>
                </c:pt>
                <c:pt idx="303">
                  <c:v>0.45861200000000002</c:v>
                </c:pt>
                <c:pt idx="304">
                  <c:v>0.45861200000000002</c:v>
                </c:pt>
                <c:pt idx="305">
                  <c:v>0.45861200000000002</c:v>
                </c:pt>
                <c:pt idx="306">
                  <c:v>0.45861200000000002</c:v>
                </c:pt>
                <c:pt idx="307">
                  <c:v>0.45861200000000002</c:v>
                </c:pt>
                <c:pt idx="308">
                  <c:v>0.45861200000000002</c:v>
                </c:pt>
                <c:pt idx="309">
                  <c:v>0.45861200000000002</c:v>
                </c:pt>
                <c:pt idx="310">
                  <c:v>0.45861200000000002</c:v>
                </c:pt>
                <c:pt idx="311">
                  <c:v>0.45861200000000002</c:v>
                </c:pt>
                <c:pt idx="312">
                  <c:v>0.45861200000000002</c:v>
                </c:pt>
                <c:pt idx="313">
                  <c:v>0.45861200000000002</c:v>
                </c:pt>
                <c:pt idx="314">
                  <c:v>0.45861200000000002</c:v>
                </c:pt>
                <c:pt idx="315">
                  <c:v>0.45861200000000002</c:v>
                </c:pt>
                <c:pt idx="316">
                  <c:v>0.45861200000000002</c:v>
                </c:pt>
                <c:pt idx="317">
                  <c:v>0.45861200000000002</c:v>
                </c:pt>
                <c:pt idx="318">
                  <c:v>0.45861200000000002</c:v>
                </c:pt>
                <c:pt idx="319">
                  <c:v>0.45861200000000002</c:v>
                </c:pt>
                <c:pt idx="320">
                  <c:v>0.45861200000000002</c:v>
                </c:pt>
                <c:pt idx="321">
                  <c:v>0.45861200000000002</c:v>
                </c:pt>
                <c:pt idx="322">
                  <c:v>0.45861200000000002</c:v>
                </c:pt>
                <c:pt idx="323">
                  <c:v>0.45861200000000002</c:v>
                </c:pt>
                <c:pt idx="324">
                  <c:v>0.45861200000000002</c:v>
                </c:pt>
                <c:pt idx="325">
                  <c:v>0.45861200000000002</c:v>
                </c:pt>
                <c:pt idx="326">
                  <c:v>0.45861200000000002</c:v>
                </c:pt>
                <c:pt idx="327">
                  <c:v>0.45861200000000002</c:v>
                </c:pt>
                <c:pt idx="328">
                  <c:v>0.45861200000000002</c:v>
                </c:pt>
                <c:pt idx="329">
                  <c:v>0.45861200000000002</c:v>
                </c:pt>
                <c:pt idx="330">
                  <c:v>0.45861200000000002</c:v>
                </c:pt>
                <c:pt idx="331">
                  <c:v>0.45861200000000002</c:v>
                </c:pt>
                <c:pt idx="332">
                  <c:v>0.45861200000000002</c:v>
                </c:pt>
                <c:pt idx="333">
                  <c:v>0.45861200000000002</c:v>
                </c:pt>
                <c:pt idx="334">
                  <c:v>0.45861200000000002</c:v>
                </c:pt>
                <c:pt idx="335">
                  <c:v>0.45861200000000002</c:v>
                </c:pt>
                <c:pt idx="336">
                  <c:v>0.45861200000000002</c:v>
                </c:pt>
                <c:pt idx="337">
                  <c:v>0.45861200000000002</c:v>
                </c:pt>
                <c:pt idx="338">
                  <c:v>0.45861200000000002</c:v>
                </c:pt>
                <c:pt idx="339">
                  <c:v>0.45861200000000002</c:v>
                </c:pt>
                <c:pt idx="340">
                  <c:v>0.45861200000000002</c:v>
                </c:pt>
                <c:pt idx="341">
                  <c:v>0.45861200000000002</c:v>
                </c:pt>
                <c:pt idx="342">
                  <c:v>0.45861200000000002</c:v>
                </c:pt>
                <c:pt idx="343">
                  <c:v>0.45861200000000002</c:v>
                </c:pt>
                <c:pt idx="344">
                  <c:v>0.45861200000000002</c:v>
                </c:pt>
                <c:pt idx="345">
                  <c:v>0.45861200000000002</c:v>
                </c:pt>
                <c:pt idx="346">
                  <c:v>0.45861200000000002</c:v>
                </c:pt>
                <c:pt idx="347">
                  <c:v>0.45861200000000002</c:v>
                </c:pt>
                <c:pt idx="348">
                  <c:v>0.45861200000000002</c:v>
                </c:pt>
                <c:pt idx="349">
                  <c:v>0.45861200000000002</c:v>
                </c:pt>
                <c:pt idx="350">
                  <c:v>0.45861200000000002</c:v>
                </c:pt>
                <c:pt idx="351">
                  <c:v>0.45861200000000002</c:v>
                </c:pt>
                <c:pt idx="352">
                  <c:v>0.45861200000000002</c:v>
                </c:pt>
                <c:pt idx="353">
                  <c:v>0.45861200000000002</c:v>
                </c:pt>
                <c:pt idx="354">
                  <c:v>0.45861200000000002</c:v>
                </c:pt>
                <c:pt idx="355">
                  <c:v>0.45861200000000002</c:v>
                </c:pt>
                <c:pt idx="356">
                  <c:v>0.45861200000000002</c:v>
                </c:pt>
                <c:pt idx="357">
                  <c:v>0.45861200000000002</c:v>
                </c:pt>
                <c:pt idx="358">
                  <c:v>0.45861200000000002</c:v>
                </c:pt>
                <c:pt idx="359">
                  <c:v>0.45861200000000002</c:v>
                </c:pt>
                <c:pt idx="360">
                  <c:v>0.45861200000000002</c:v>
                </c:pt>
                <c:pt idx="361">
                  <c:v>0.45861200000000002</c:v>
                </c:pt>
                <c:pt idx="362">
                  <c:v>0.45861200000000002</c:v>
                </c:pt>
                <c:pt idx="363">
                  <c:v>0.45861200000000002</c:v>
                </c:pt>
                <c:pt idx="364">
                  <c:v>0.45861200000000002</c:v>
                </c:pt>
                <c:pt idx="365">
                  <c:v>0.45861200000000002</c:v>
                </c:pt>
                <c:pt idx="366">
                  <c:v>0.45861200000000002</c:v>
                </c:pt>
                <c:pt idx="367">
                  <c:v>0.45861200000000002</c:v>
                </c:pt>
                <c:pt idx="368">
                  <c:v>0.45861200000000002</c:v>
                </c:pt>
                <c:pt idx="369">
                  <c:v>0.45861200000000002</c:v>
                </c:pt>
                <c:pt idx="370">
                  <c:v>0.45861200000000002</c:v>
                </c:pt>
                <c:pt idx="371">
                  <c:v>0.45861200000000002</c:v>
                </c:pt>
                <c:pt idx="372">
                  <c:v>0.45861200000000002</c:v>
                </c:pt>
                <c:pt idx="373">
                  <c:v>0.45861200000000002</c:v>
                </c:pt>
                <c:pt idx="374">
                  <c:v>0.45861200000000002</c:v>
                </c:pt>
                <c:pt idx="375">
                  <c:v>0.45861200000000002</c:v>
                </c:pt>
                <c:pt idx="376">
                  <c:v>0.45861200000000002</c:v>
                </c:pt>
                <c:pt idx="377">
                  <c:v>0.45861200000000002</c:v>
                </c:pt>
                <c:pt idx="378">
                  <c:v>0.45861200000000002</c:v>
                </c:pt>
                <c:pt idx="379">
                  <c:v>0.45861200000000002</c:v>
                </c:pt>
                <c:pt idx="380">
                  <c:v>0.45861200000000002</c:v>
                </c:pt>
                <c:pt idx="381">
                  <c:v>0.45861200000000002</c:v>
                </c:pt>
                <c:pt idx="382">
                  <c:v>0.45861200000000002</c:v>
                </c:pt>
                <c:pt idx="383">
                  <c:v>0.45861200000000002</c:v>
                </c:pt>
                <c:pt idx="384">
                  <c:v>0.45861200000000002</c:v>
                </c:pt>
                <c:pt idx="385">
                  <c:v>0.45861200000000002</c:v>
                </c:pt>
                <c:pt idx="386">
                  <c:v>0.45861200000000002</c:v>
                </c:pt>
                <c:pt idx="387">
                  <c:v>0.45861200000000002</c:v>
                </c:pt>
                <c:pt idx="388">
                  <c:v>0.45861200000000002</c:v>
                </c:pt>
                <c:pt idx="389">
                  <c:v>0.45861200000000002</c:v>
                </c:pt>
                <c:pt idx="390">
                  <c:v>0.45861200000000002</c:v>
                </c:pt>
                <c:pt idx="391">
                  <c:v>0.45861200000000002</c:v>
                </c:pt>
                <c:pt idx="392">
                  <c:v>0.45861200000000002</c:v>
                </c:pt>
                <c:pt idx="393">
                  <c:v>0.45861200000000002</c:v>
                </c:pt>
                <c:pt idx="394">
                  <c:v>0.45861200000000002</c:v>
                </c:pt>
                <c:pt idx="395">
                  <c:v>0.45861200000000002</c:v>
                </c:pt>
                <c:pt idx="396">
                  <c:v>0.45861200000000002</c:v>
                </c:pt>
                <c:pt idx="397">
                  <c:v>0.45861200000000002</c:v>
                </c:pt>
                <c:pt idx="398">
                  <c:v>0.45861200000000002</c:v>
                </c:pt>
                <c:pt idx="399">
                  <c:v>0.45861200000000002</c:v>
                </c:pt>
                <c:pt idx="400">
                  <c:v>0.45861200000000002</c:v>
                </c:pt>
                <c:pt idx="401">
                  <c:v>0.45861200000000002</c:v>
                </c:pt>
                <c:pt idx="402">
                  <c:v>0.45861200000000002</c:v>
                </c:pt>
                <c:pt idx="403">
                  <c:v>0.45861200000000002</c:v>
                </c:pt>
                <c:pt idx="404">
                  <c:v>0.45861200000000002</c:v>
                </c:pt>
                <c:pt idx="405">
                  <c:v>0.45861200000000002</c:v>
                </c:pt>
                <c:pt idx="406">
                  <c:v>0.45861200000000002</c:v>
                </c:pt>
                <c:pt idx="407">
                  <c:v>0.45861200000000002</c:v>
                </c:pt>
                <c:pt idx="408">
                  <c:v>0.45861200000000002</c:v>
                </c:pt>
                <c:pt idx="409">
                  <c:v>0.45861200000000002</c:v>
                </c:pt>
                <c:pt idx="410">
                  <c:v>0.45861200000000002</c:v>
                </c:pt>
                <c:pt idx="411">
                  <c:v>0.45861200000000002</c:v>
                </c:pt>
                <c:pt idx="412">
                  <c:v>0.45861200000000002</c:v>
                </c:pt>
                <c:pt idx="413">
                  <c:v>0.45861200000000002</c:v>
                </c:pt>
                <c:pt idx="414">
                  <c:v>0.45861200000000002</c:v>
                </c:pt>
                <c:pt idx="415">
                  <c:v>0.45861200000000002</c:v>
                </c:pt>
                <c:pt idx="416">
                  <c:v>0.45861200000000002</c:v>
                </c:pt>
                <c:pt idx="417">
                  <c:v>0.45861200000000002</c:v>
                </c:pt>
                <c:pt idx="418">
                  <c:v>0.45861200000000002</c:v>
                </c:pt>
                <c:pt idx="419">
                  <c:v>0.45861200000000002</c:v>
                </c:pt>
                <c:pt idx="420">
                  <c:v>0.45861200000000002</c:v>
                </c:pt>
                <c:pt idx="421">
                  <c:v>0.45861200000000002</c:v>
                </c:pt>
                <c:pt idx="422">
                  <c:v>0.45861200000000002</c:v>
                </c:pt>
                <c:pt idx="423">
                  <c:v>0.45861200000000002</c:v>
                </c:pt>
                <c:pt idx="424">
                  <c:v>0.45861200000000002</c:v>
                </c:pt>
                <c:pt idx="425">
                  <c:v>0.45861200000000002</c:v>
                </c:pt>
                <c:pt idx="426">
                  <c:v>0.45861200000000002</c:v>
                </c:pt>
                <c:pt idx="427">
                  <c:v>0.45861200000000002</c:v>
                </c:pt>
                <c:pt idx="428">
                  <c:v>0.45861200000000002</c:v>
                </c:pt>
                <c:pt idx="429">
                  <c:v>0.45861200000000002</c:v>
                </c:pt>
                <c:pt idx="430">
                  <c:v>0.45861200000000002</c:v>
                </c:pt>
                <c:pt idx="431">
                  <c:v>0.45861200000000002</c:v>
                </c:pt>
                <c:pt idx="432">
                  <c:v>0.45861200000000002</c:v>
                </c:pt>
                <c:pt idx="433">
                  <c:v>0.45861200000000002</c:v>
                </c:pt>
                <c:pt idx="434">
                  <c:v>0.45861200000000002</c:v>
                </c:pt>
                <c:pt idx="435">
                  <c:v>0.45861200000000002</c:v>
                </c:pt>
                <c:pt idx="436">
                  <c:v>0.45861200000000002</c:v>
                </c:pt>
                <c:pt idx="437">
                  <c:v>0.45861200000000002</c:v>
                </c:pt>
                <c:pt idx="438">
                  <c:v>0.45861200000000002</c:v>
                </c:pt>
                <c:pt idx="439">
                  <c:v>0.45861200000000002</c:v>
                </c:pt>
                <c:pt idx="440">
                  <c:v>0.45861200000000002</c:v>
                </c:pt>
                <c:pt idx="441">
                  <c:v>0.45861200000000002</c:v>
                </c:pt>
                <c:pt idx="442">
                  <c:v>0.45861200000000002</c:v>
                </c:pt>
                <c:pt idx="443">
                  <c:v>0.45861200000000002</c:v>
                </c:pt>
                <c:pt idx="444">
                  <c:v>0.45861200000000002</c:v>
                </c:pt>
                <c:pt idx="445">
                  <c:v>0.45861200000000002</c:v>
                </c:pt>
                <c:pt idx="446">
                  <c:v>0.45861200000000002</c:v>
                </c:pt>
                <c:pt idx="447">
                  <c:v>0.45861200000000002</c:v>
                </c:pt>
                <c:pt idx="448">
                  <c:v>0.45861200000000002</c:v>
                </c:pt>
                <c:pt idx="449">
                  <c:v>0.45861200000000002</c:v>
                </c:pt>
                <c:pt idx="450">
                  <c:v>0.45861200000000002</c:v>
                </c:pt>
                <c:pt idx="451">
                  <c:v>0.45861200000000002</c:v>
                </c:pt>
                <c:pt idx="452">
                  <c:v>0.45861200000000002</c:v>
                </c:pt>
                <c:pt idx="453">
                  <c:v>0.45861200000000002</c:v>
                </c:pt>
                <c:pt idx="454">
                  <c:v>0.45861200000000002</c:v>
                </c:pt>
                <c:pt idx="455">
                  <c:v>0.45861200000000002</c:v>
                </c:pt>
                <c:pt idx="456">
                  <c:v>0.45861200000000002</c:v>
                </c:pt>
                <c:pt idx="457">
                  <c:v>0.45861200000000002</c:v>
                </c:pt>
                <c:pt idx="458">
                  <c:v>0.45861200000000002</c:v>
                </c:pt>
                <c:pt idx="459">
                  <c:v>0.45861200000000002</c:v>
                </c:pt>
                <c:pt idx="460">
                  <c:v>0.45861200000000002</c:v>
                </c:pt>
                <c:pt idx="461">
                  <c:v>0.45861200000000002</c:v>
                </c:pt>
                <c:pt idx="462">
                  <c:v>0.45861200000000002</c:v>
                </c:pt>
                <c:pt idx="463">
                  <c:v>0.45861200000000002</c:v>
                </c:pt>
                <c:pt idx="464">
                  <c:v>0.45861200000000002</c:v>
                </c:pt>
                <c:pt idx="465">
                  <c:v>0.45861200000000002</c:v>
                </c:pt>
                <c:pt idx="466">
                  <c:v>0.45861200000000002</c:v>
                </c:pt>
                <c:pt idx="467">
                  <c:v>0.45861200000000002</c:v>
                </c:pt>
                <c:pt idx="468">
                  <c:v>0.45861200000000002</c:v>
                </c:pt>
                <c:pt idx="469">
                  <c:v>0.45861200000000002</c:v>
                </c:pt>
                <c:pt idx="470">
                  <c:v>0.45861200000000002</c:v>
                </c:pt>
                <c:pt idx="471">
                  <c:v>0.45861200000000002</c:v>
                </c:pt>
                <c:pt idx="472">
                  <c:v>0.45861200000000002</c:v>
                </c:pt>
                <c:pt idx="473">
                  <c:v>0.45861200000000002</c:v>
                </c:pt>
                <c:pt idx="474">
                  <c:v>0.45861200000000002</c:v>
                </c:pt>
                <c:pt idx="475">
                  <c:v>0.45861200000000002</c:v>
                </c:pt>
                <c:pt idx="476">
                  <c:v>0.45861200000000002</c:v>
                </c:pt>
                <c:pt idx="477">
                  <c:v>0.45861200000000002</c:v>
                </c:pt>
                <c:pt idx="478">
                  <c:v>0.45861200000000002</c:v>
                </c:pt>
                <c:pt idx="479">
                  <c:v>0.45861200000000002</c:v>
                </c:pt>
                <c:pt idx="480">
                  <c:v>0.45861200000000002</c:v>
                </c:pt>
                <c:pt idx="481">
                  <c:v>0.45861200000000002</c:v>
                </c:pt>
                <c:pt idx="482">
                  <c:v>0.45861200000000002</c:v>
                </c:pt>
                <c:pt idx="483">
                  <c:v>0.45861200000000002</c:v>
                </c:pt>
                <c:pt idx="484">
                  <c:v>0.45861200000000002</c:v>
                </c:pt>
                <c:pt idx="485">
                  <c:v>0.45861200000000002</c:v>
                </c:pt>
                <c:pt idx="486">
                  <c:v>0.45861200000000002</c:v>
                </c:pt>
                <c:pt idx="487">
                  <c:v>0.45861200000000002</c:v>
                </c:pt>
                <c:pt idx="488">
                  <c:v>0.45861200000000002</c:v>
                </c:pt>
                <c:pt idx="489">
                  <c:v>0.45861200000000002</c:v>
                </c:pt>
                <c:pt idx="490">
                  <c:v>0.45861200000000002</c:v>
                </c:pt>
                <c:pt idx="491">
                  <c:v>0.45861200000000002</c:v>
                </c:pt>
                <c:pt idx="492">
                  <c:v>0.45861200000000002</c:v>
                </c:pt>
                <c:pt idx="493">
                  <c:v>0.45861200000000002</c:v>
                </c:pt>
                <c:pt idx="494">
                  <c:v>0.45861200000000002</c:v>
                </c:pt>
                <c:pt idx="495">
                  <c:v>0.45861200000000002</c:v>
                </c:pt>
                <c:pt idx="496">
                  <c:v>0.45861200000000002</c:v>
                </c:pt>
                <c:pt idx="497">
                  <c:v>0.45861200000000002</c:v>
                </c:pt>
                <c:pt idx="498">
                  <c:v>0.45861200000000002</c:v>
                </c:pt>
                <c:pt idx="499">
                  <c:v>0.45861200000000002</c:v>
                </c:pt>
                <c:pt idx="500">
                  <c:v>0.45861200000000002</c:v>
                </c:pt>
                <c:pt idx="501">
                  <c:v>0.45861200000000002</c:v>
                </c:pt>
                <c:pt idx="502">
                  <c:v>0.45861200000000002</c:v>
                </c:pt>
                <c:pt idx="503">
                  <c:v>0.45861200000000002</c:v>
                </c:pt>
                <c:pt idx="504">
                  <c:v>0.45861200000000002</c:v>
                </c:pt>
                <c:pt idx="505">
                  <c:v>0.45861200000000002</c:v>
                </c:pt>
                <c:pt idx="506">
                  <c:v>0.45861200000000002</c:v>
                </c:pt>
                <c:pt idx="507">
                  <c:v>0.45861200000000002</c:v>
                </c:pt>
                <c:pt idx="508">
                  <c:v>0.45861200000000002</c:v>
                </c:pt>
                <c:pt idx="509">
                  <c:v>0.45861200000000002</c:v>
                </c:pt>
                <c:pt idx="510">
                  <c:v>0.45861200000000002</c:v>
                </c:pt>
                <c:pt idx="511">
                  <c:v>0.45861200000000002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F-4753-925D-19E7B226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648967"/>
        <c:axId val="868529394"/>
      </c:lineChart>
      <c:dateAx>
        <c:axId val="1591648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868529394"/>
        <c:crosses val="autoZero"/>
        <c:auto val="1"/>
        <c:lblOffset val="100"/>
        <c:baseTimeUnit val="days"/>
      </c:dateAx>
      <c:valAx>
        <c:axId val="868529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59164896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7AA-4A20-B691-9B5438292391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C7AA-4A20-B691-9B5438292391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C7AA-4A20-B691-9B5438292391}"/>
              </c:ext>
            </c:extLst>
          </c:dPt>
          <c:cat>
            <c:numRef>
              <c:f>'Bond (3)'!$A$16:$A$527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(3)'!$C$16:$C$527</c:f>
              <c:numCache>
                <c:formatCode>0.0</c:formatCode>
                <c:ptCount val="51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  <c:pt idx="262">
                  <c:v>25135.869565217396</c:v>
                </c:pt>
                <c:pt idx="263">
                  <c:v>25203.804347826092</c:v>
                </c:pt>
                <c:pt idx="264">
                  <c:v>25271.739130434788</c:v>
                </c:pt>
                <c:pt idx="265">
                  <c:v>25339.673913043483</c:v>
                </c:pt>
                <c:pt idx="266">
                  <c:v>25543.478260869571</c:v>
                </c:pt>
                <c:pt idx="267">
                  <c:v>25611.413043478267</c:v>
                </c:pt>
                <c:pt idx="268">
                  <c:v>25679.347826086963</c:v>
                </c:pt>
                <c:pt idx="269">
                  <c:v>25747.282608695659</c:v>
                </c:pt>
                <c:pt idx="270">
                  <c:v>25815.217391304355</c:v>
                </c:pt>
                <c:pt idx="271">
                  <c:v>26019.021739130443</c:v>
                </c:pt>
                <c:pt idx="272">
                  <c:v>26086.956521739139</c:v>
                </c:pt>
                <c:pt idx="273">
                  <c:v>26154.891304347835</c:v>
                </c:pt>
                <c:pt idx="274">
                  <c:v>26222.826086956531</c:v>
                </c:pt>
                <c:pt idx="275">
                  <c:v>26290.760869565227</c:v>
                </c:pt>
                <c:pt idx="276">
                  <c:v>26494.565217391315</c:v>
                </c:pt>
                <c:pt idx="277">
                  <c:v>26562.500000000011</c:v>
                </c:pt>
                <c:pt idx="278">
                  <c:v>26630.434782608707</c:v>
                </c:pt>
                <c:pt idx="279">
                  <c:v>26698.369565217403</c:v>
                </c:pt>
                <c:pt idx="280">
                  <c:v>26766.304347826099</c:v>
                </c:pt>
                <c:pt idx="281">
                  <c:v>26970.108695652187</c:v>
                </c:pt>
                <c:pt idx="282">
                  <c:v>27038.043478260883</c:v>
                </c:pt>
                <c:pt idx="283">
                  <c:v>27105.978260869579</c:v>
                </c:pt>
                <c:pt idx="284">
                  <c:v>27173.913043478275</c:v>
                </c:pt>
                <c:pt idx="285">
                  <c:v>27241.847826086971</c:v>
                </c:pt>
                <c:pt idx="286">
                  <c:v>27445.652173913059</c:v>
                </c:pt>
                <c:pt idx="287">
                  <c:v>27513.586956521754</c:v>
                </c:pt>
                <c:pt idx="288">
                  <c:v>27581.52173913045</c:v>
                </c:pt>
                <c:pt idx="289">
                  <c:v>27649.456521739146</c:v>
                </c:pt>
                <c:pt idx="290">
                  <c:v>27717.391304347842</c:v>
                </c:pt>
                <c:pt idx="291">
                  <c:v>27921.19565217393</c:v>
                </c:pt>
                <c:pt idx="292">
                  <c:v>27989.130434782626</c:v>
                </c:pt>
                <c:pt idx="293">
                  <c:v>28057.065217391322</c:v>
                </c:pt>
                <c:pt idx="294">
                  <c:v>28125.000000000018</c:v>
                </c:pt>
                <c:pt idx="295">
                  <c:v>28192.934782608714</c:v>
                </c:pt>
                <c:pt idx="296">
                  <c:v>28396.739130434802</c:v>
                </c:pt>
                <c:pt idx="297">
                  <c:v>28464.673913043498</c:v>
                </c:pt>
                <c:pt idx="298">
                  <c:v>28532.608695652194</c:v>
                </c:pt>
                <c:pt idx="299">
                  <c:v>28600.54347826089</c:v>
                </c:pt>
                <c:pt idx="300">
                  <c:v>28668.478260869586</c:v>
                </c:pt>
                <c:pt idx="301">
                  <c:v>28872.282608695674</c:v>
                </c:pt>
                <c:pt idx="302">
                  <c:v>28940.21739130437</c:v>
                </c:pt>
                <c:pt idx="303">
                  <c:v>29008.152173913066</c:v>
                </c:pt>
                <c:pt idx="304">
                  <c:v>29076.086956521762</c:v>
                </c:pt>
                <c:pt idx="305">
                  <c:v>29144.021739130458</c:v>
                </c:pt>
                <c:pt idx="306">
                  <c:v>29347.826086956546</c:v>
                </c:pt>
                <c:pt idx="307">
                  <c:v>29415.760869565242</c:v>
                </c:pt>
                <c:pt idx="308">
                  <c:v>29483.695652173938</c:v>
                </c:pt>
                <c:pt idx="309">
                  <c:v>29551.630434782634</c:v>
                </c:pt>
                <c:pt idx="310">
                  <c:v>29619.565217391329</c:v>
                </c:pt>
                <c:pt idx="311">
                  <c:v>29823.369565217414</c:v>
                </c:pt>
                <c:pt idx="312">
                  <c:v>29891.30434782611</c:v>
                </c:pt>
                <c:pt idx="313">
                  <c:v>29959.239130434806</c:v>
                </c:pt>
                <c:pt idx="314">
                  <c:v>30027.173913043502</c:v>
                </c:pt>
                <c:pt idx="315">
                  <c:v>30095.108695652198</c:v>
                </c:pt>
                <c:pt idx="316">
                  <c:v>30298.913043478286</c:v>
                </c:pt>
                <c:pt idx="317">
                  <c:v>30366.847826086982</c:v>
                </c:pt>
                <c:pt idx="318">
                  <c:v>30434.782608695674</c:v>
                </c:pt>
                <c:pt idx="319">
                  <c:v>30502.71739130437</c:v>
                </c:pt>
                <c:pt idx="320">
                  <c:v>30570.652173913066</c:v>
                </c:pt>
                <c:pt idx="321">
                  <c:v>30774.45652173915</c:v>
                </c:pt>
                <c:pt idx="322">
                  <c:v>30842.391304347846</c:v>
                </c:pt>
                <c:pt idx="323">
                  <c:v>30910.326086956542</c:v>
                </c:pt>
                <c:pt idx="324">
                  <c:v>30978.260869565238</c:v>
                </c:pt>
                <c:pt idx="325">
                  <c:v>31046.195652173934</c:v>
                </c:pt>
                <c:pt idx="326">
                  <c:v>31250.000000000022</c:v>
                </c:pt>
                <c:pt idx="327">
                  <c:v>31317.934782608718</c:v>
                </c:pt>
                <c:pt idx="328">
                  <c:v>31385.869565217414</c:v>
                </c:pt>
                <c:pt idx="329">
                  <c:v>31453.80434782611</c:v>
                </c:pt>
                <c:pt idx="330">
                  <c:v>31521.739130434806</c:v>
                </c:pt>
                <c:pt idx="331">
                  <c:v>31725.543478260894</c:v>
                </c:pt>
                <c:pt idx="332">
                  <c:v>31793.47826086959</c:v>
                </c:pt>
                <c:pt idx="333">
                  <c:v>31861.413043478286</c:v>
                </c:pt>
                <c:pt idx="334">
                  <c:v>31929.347826086982</c:v>
                </c:pt>
                <c:pt idx="335">
                  <c:v>31997.282608695674</c:v>
                </c:pt>
                <c:pt idx="336">
                  <c:v>32201.086956521762</c:v>
                </c:pt>
                <c:pt idx="337">
                  <c:v>32269.021739130458</c:v>
                </c:pt>
                <c:pt idx="338">
                  <c:v>32336.956521739154</c:v>
                </c:pt>
                <c:pt idx="339">
                  <c:v>32404.891304347846</c:v>
                </c:pt>
                <c:pt idx="340">
                  <c:v>32472.826086956542</c:v>
                </c:pt>
                <c:pt idx="341">
                  <c:v>32676.63043478263</c:v>
                </c:pt>
                <c:pt idx="342">
                  <c:v>32744.565217391326</c:v>
                </c:pt>
                <c:pt idx="343">
                  <c:v>32812.500000000022</c:v>
                </c:pt>
                <c:pt idx="344">
                  <c:v>32880.434782608718</c:v>
                </c:pt>
                <c:pt idx="345">
                  <c:v>32948.369565217414</c:v>
                </c:pt>
                <c:pt idx="346">
                  <c:v>33152.173913043502</c:v>
                </c:pt>
                <c:pt idx="347">
                  <c:v>33220.108695652198</c:v>
                </c:pt>
                <c:pt idx="348">
                  <c:v>33288.043478260894</c:v>
                </c:pt>
                <c:pt idx="349">
                  <c:v>33355.97826086959</c:v>
                </c:pt>
                <c:pt idx="350">
                  <c:v>33423.913043478286</c:v>
                </c:pt>
                <c:pt idx="351">
                  <c:v>33627.717391304373</c:v>
                </c:pt>
                <c:pt idx="352">
                  <c:v>33695.652173913069</c:v>
                </c:pt>
                <c:pt idx="353">
                  <c:v>33763.586956521765</c:v>
                </c:pt>
                <c:pt idx="354">
                  <c:v>33831.521739130461</c:v>
                </c:pt>
                <c:pt idx="355">
                  <c:v>33899.456521739157</c:v>
                </c:pt>
                <c:pt idx="356">
                  <c:v>34103.260869565245</c:v>
                </c:pt>
                <c:pt idx="357">
                  <c:v>34171.195652173941</c:v>
                </c:pt>
                <c:pt idx="358">
                  <c:v>34239.130434782637</c:v>
                </c:pt>
                <c:pt idx="359">
                  <c:v>34307.065217391333</c:v>
                </c:pt>
                <c:pt idx="360">
                  <c:v>34375.000000000029</c:v>
                </c:pt>
                <c:pt idx="361">
                  <c:v>34578.804347826117</c:v>
                </c:pt>
                <c:pt idx="362">
                  <c:v>34646.739130434813</c:v>
                </c:pt>
                <c:pt idx="363">
                  <c:v>34714.673913043509</c:v>
                </c:pt>
                <c:pt idx="364">
                  <c:v>34782.608695652205</c:v>
                </c:pt>
                <c:pt idx="365">
                  <c:v>34850.543478260901</c:v>
                </c:pt>
                <c:pt idx="366">
                  <c:v>35054.347826086989</c:v>
                </c:pt>
                <c:pt idx="367">
                  <c:v>35122.282608695685</c:v>
                </c:pt>
                <c:pt idx="368">
                  <c:v>35190.217391304381</c:v>
                </c:pt>
                <c:pt idx="369">
                  <c:v>35258.152173913077</c:v>
                </c:pt>
                <c:pt idx="370">
                  <c:v>35326.086956521773</c:v>
                </c:pt>
                <c:pt idx="371">
                  <c:v>35529.891304347861</c:v>
                </c:pt>
                <c:pt idx="372">
                  <c:v>35597.826086956557</c:v>
                </c:pt>
                <c:pt idx="373">
                  <c:v>35665.760869565253</c:v>
                </c:pt>
                <c:pt idx="374">
                  <c:v>35733.695652173948</c:v>
                </c:pt>
                <c:pt idx="375">
                  <c:v>35801.630434782644</c:v>
                </c:pt>
                <c:pt idx="376">
                  <c:v>36005.434782608732</c:v>
                </c:pt>
                <c:pt idx="377">
                  <c:v>36073.369565217428</c:v>
                </c:pt>
                <c:pt idx="378">
                  <c:v>36141.304347826124</c:v>
                </c:pt>
                <c:pt idx="379">
                  <c:v>36209.23913043482</c:v>
                </c:pt>
                <c:pt idx="380">
                  <c:v>36277.173913043516</c:v>
                </c:pt>
                <c:pt idx="381">
                  <c:v>36480.978260869604</c:v>
                </c:pt>
                <c:pt idx="382">
                  <c:v>36550.039034350266</c:v>
                </c:pt>
                <c:pt idx="383">
                  <c:v>36619.099807830928</c:v>
                </c:pt>
                <c:pt idx="384">
                  <c:v>36688.160581311589</c:v>
                </c:pt>
                <c:pt idx="385">
                  <c:v>36757.221354792251</c:v>
                </c:pt>
                <c:pt idx="386">
                  <c:v>36964.403675234244</c:v>
                </c:pt>
                <c:pt idx="387">
                  <c:v>37033.464448714905</c:v>
                </c:pt>
                <c:pt idx="388">
                  <c:v>37102.525222195567</c:v>
                </c:pt>
                <c:pt idx="389">
                  <c:v>37171.585995676229</c:v>
                </c:pt>
                <c:pt idx="390">
                  <c:v>37240.646769156891</c:v>
                </c:pt>
                <c:pt idx="391">
                  <c:v>37447.829089598883</c:v>
                </c:pt>
                <c:pt idx="392">
                  <c:v>37516.889863079545</c:v>
                </c:pt>
                <c:pt idx="393">
                  <c:v>37585.950636560206</c:v>
                </c:pt>
                <c:pt idx="394">
                  <c:v>37655.011410040868</c:v>
                </c:pt>
                <c:pt idx="395">
                  <c:v>37724.07218352153</c:v>
                </c:pt>
                <c:pt idx="396">
                  <c:v>37931.254503963522</c:v>
                </c:pt>
                <c:pt idx="397">
                  <c:v>38000.315277444184</c:v>
                </c:pt>
                <c:pt idx="398">
                  <c:v>38069.376050924846</c:v>
                </c:pt>
                <c:pt idx="399">
                  <c:v>38138.436824405508</c:v>
                </c:pt>
                <c:pt idx="400">
                  <c:v>38207.497597886169</c:v>
                </c:pt>
                <c:pt idx="401">
                  <c:v>38414.679918328162</c:v>
                </c:pt>
                <c:pt idx="402">
                  <c:v>38483.740691808824</c:v>
                </c:pt>
                <c:pt idx="403">
                  <c:v>38552.801465289485</c:v>
                </c:pt>
                <c:pt idx="404">
                  <c:v>38621.862238770147</c:v>
                </c:pt>
                <c:pt idx="405">
                  <c:v>38690.923012250809</c:v>
                </c:pt>
                <c:pt idx="406">
                  <c:v>38898.105332692801</c:v>
                </c:pt>
                <c:pt idx="407">
                  <c:v>38967.166106173463</c:v>
                </c:pt>
                <c:pt idx="408">
                  <c:v>39036.226879654125</c:v>
                </c:pt>
                <c:pt idx="409">
                  <c:v>39105.287653134787</c:v>
                </c:pt>
                <c:pt idx="410">
                  <c:v>39174.348426615448</c:v>
                </c:pt>
                <c:pt idx="411">
                  <c:v>39381.530747057433</c:v>
                </c:pt>
                <c:pt idx="412">
                  <c:v>39450.591520538095</c:v>
                </c:pt>
                <c:pt idx="413">
                  <c:v>39519.652294018757</c:v>
                </c:pt>
                <c:pt idx="414">
                  <c:v>39588.713067499419</c:v>
                </c:pt>
                <c:pt idx="415">
                  <c:v>39657.77384098008</c:v>
                </c:pt>
                <c:pt idx="416">
                  <c:v>39864.956161422066</c:v>
                </c:pt>
                <c:pt idx="417">
                  <c:v>39934.016934902727</c:v>
                </c:pt>
                <c:pt idx="418">
                  <c:v>40003.077708383389</c:v>
                </c:pt>
                <c:pt idx="419">
                  <c:v>40072.138481864051</c:v>
                </c:pt>
                <c:pt idx="420">
                  <c:v>40141.199255344713</c:v>
                </c:pt>
                <c:pt idx="421">
                  <c:v>40348.381575786705</c:v>
                </c:pt>
                <c:pt idx="422">
                  <c:v>40417.442349267367</c:v>
                </c:pt>
                <c:pt idx="423">
                  <c:v>40486.503122748029</c:v>
                </c:pt>
                <c:pt idx="424">
                  <c:v>40555.56389622869</c:v>
                </c:pt>
                <c:pt idx="425">
                  <c:v>40624.624669709352</c:v>
                </c:pt>
                <c:pt idx="426">
                  <c:v>40831.806990151345</c:v>
                </c:pt>
                <c:pt idx="427">
                  <c:v>40900.867763632006</c:v>
                </c:pt>
                <c:pt idx="428">
                  <c:v>40969.928537112668</c:v>
                </c:pt>
                <c:pt idx="429">
                  <c:v>41038.98931059333</c:v>
                </c:pt>
                <c:pt idx="430">
                  <c:v>41108.050084073991</c:v>
                </c:pt>
                <c:pt idx="431">
                  <c:v>41315.232404515984</c:v>
                </c:pt>
                <c:pt idx="432">
                  <c:v>41384.293177996646</c:v>
                </c:pt>
                <c:pt idx="433">
                  <c:v>41453.353951477307</c:v>
                </c:pt>
                <c:pt idx="434">
                  <c:v>41522.414724957969</c:v>
                </c:pt>
                <c:pt idx="435">
                  <c:v>41591.475498438631</c:v>
                </c:pt>
                <c:pt idx="436">
                  <c:v>41798.657818880623</c:v>
                </c:pt>
                <c:pt idx="437">
                  <c:v>41867.718592361285</c:v>
                </c:pt>
                <c:pt idx="438">
                  <c:v>41936.779365841947</c:v>
                </c:pt>
                <c:pt idx="439">
                  <c:v>42005.840139322609</c:v>
                </c:pt>
                <c:pt idx="440">
                  <c:v>42074.90091280327</c:v>
                </c:pt>
                <c:pt idx="441">
                  <c:v>42282.083233245256</c:v>
                </c:pt>
                <c:pt idx="442">
                  <c:v>42351.144006725917</c:v>
                </c:pt>
                <c:pt idx="443">
                  <c:v>42420.204780206579</c:v>
                </c:pt>
                <c:pt idx="444">
                  <c:v>42489.265553687241</c:v>
                </c:pt>
                <c:pt idx="445">
                  <c:v>42558.326327167902</c:v>
                </c:pt>
                <c:pt idx="446">
                  <c:v>42765.508647609895</c:v>
                </c:pt>
                <c:pt idx="447">
                  <c:v>42834.569421090557</c:v>
                </c:pt>
                <c:pt idx="448">
                  <c:v>42903.630194571218</c:v>
                </c:pt>
                <c:pt idx="449">
                  <c:v>42972.69096805188</c:v>
                </c:pt>
                <c:pt idx="450">
                  <c:v>43041.751741532542</c:v>
                </c:pt>
                <c:pt idx="451">
                  <c:v>43248.934061974527</c:v>
                </c:pt>
                <c:pt idx="452">
                  <c:v>43317.994835455189</c:v>
                </c:pt>
                <c:pt idx="453">
                  <c:v>43387.055608935851</c:v>
                </c:pt>
                <c:pt idx="454">
                  <c:v>43456.116382416512</c:v>
                </c:pt>
                <c:pt idx="455">
                  <c:v>43525.177155897174</c:v>
                </c:pt>
                <c:pt idx="456">
                  <c:v>43732.359476339159</c:v>
                </c:pt>
                <c:pt idx="457">
                  <c:v>43801.420249819821</c:v>
                </c:pt>
                <c:pt idx="458">
                  <c:v>43870.481023300483</c:v>
                </c:pt>
                <c:pt idx="459">
                  <c:v>43939.541796781145</c:v>
                </c:pt>
                <c:pt idx="460">
                  <c:v>44008.602570261806</c:v>
                </c:pt>
                <c:pt idx="461">
                  <c:v>44215.784890703799</c:v>
                </c:pt>
                <c:pt idx="462">
                  <c:v>44284.84566418446</c:v>
                </c:pt>
                <c:pt idx="463">
                  <c:v>44353.906437665122</c:v>
                </c:pt>
                <c:pt idx="464">
                  <c:v>44422.967211145784</c:v>
                </c:pt>
                <c:pt idx="465">
                  <c:v>44492.027984626446</c:v>
                </c:pt>
                <c:pt idx="466">
                  <c:v>44699.210305068431</c:v>
                </c:pt>
                <c:pt idx="467">
                  <c:v>44768.271078549093</c:v>
                </c:pt>
                <c:pt idx="468">
                  <c:v>44837.331852029754</c:v>
                </c:pt>
                <c:pt idx="469">
                  <c:v>44906.392625510416</c:v>
                </c:pt>
                <c:pt idx="470">
                  <c:v>44975.453398991078</c:v>
                </c:pt>
                <c:pt idx="471">
                  <c:v>45182.635719433063</c:v>
                </c:pt>
                <c:pt idx="472">
                  <c:v>45251.696492913725</c:v>
                </c:pt>
                <c:pt idx="473">
                  <c:v>45320.757266394387</c:v>
                </c:pt>
                <c:pt idx="474">
                  <c:v>45389.818039875048</c:v>
                </c:pt>
                <c:pt idx="475">
                  <c:v>45458.87881335571</c:v>
                </c:pt>
                <c:pt idx="476">
                  <c:v>45666.061133797702</c:v>
                </c:pt>
                <c:pt idx="477">
                  <c:v>45735.121907278364</c:v>
                </c:pt>
                <c:pt idx="478">
                  <c:v>45804.182680759026</c:v>
                </c:pt>
                <c:pt idx="479">
                  <c:v>45873.243454239688</c:v>
                </c:pt>
                <c:pt idx="480">
                  <c:v>45942.304227720349</c:v>
                </c:pt>
                <c:pt idx="481">
                  <c:v>46149.486548162342</c:v>
                </c:pt>
                <c:pt idx="482">
                  <c:v>46218.547321643004</c:v>
                </c:pt>
                <c:pt idx="483">
                  <c:v>46287.608095123665</c:v>
                </c:pt>
                <c:pt idx="484">
                  <c:v>46356.668868604327</c:v>
                </c:pt>
                <c:pt idx="485">
                  <c:v>46425.729642084989</c:v>
                </c:pt>
                <c:pt idx="486">
                  <c:v>46632.911962526981</c:v>
                </c:pt>
                <c:pt idx="487">
                  <c:v>46701.972736007643</c:v>
                </c:pt>
                <c:pt idx="488">
                  <c:v>46771.033509488305</c:v>
                </c:pt>
                <c:pt idx="489">
                  <c:v>46840.094282968967</c:v>
                </c:pt>
                <c:pt idx="490">
                  <c:v>46909.155056449628</c:v>
                </c:pt>
                <c:pt idx="491">
                  <c:v>47116.337376891621</c:v>
                </c:pt>
                <c:pt idx="492">
                  <c:v>47185.398150372283</c:v>
                </c:pt>
                <c:pt idx="493">
                  <c:v>47254.458923852944</c:v>
                </c:pt>
                <c:pt idx="494">
                  <c:v>47323.519697333606</c:v>
                </c:pt>
                <c:pt idx="495">
                  <c:v>47392.580470814268</c:v>
                </c:pt>
                <c:pt idx="496">
                  <c:v>47599.76279125626</c:v>
                </c:pt>
                <c:pt idx="497">
                  <c:v>47668.823564736922</c:v>
                </c:pt>
                <c:pt idx="498">
                  <c:v>47737.884338217584</c:v>
                </c:pt>
                <c:pt idx="499">
                  <c:v>47806.945111698245</c:v>
                </c:pt>
                <c:pt idx="500">
                  <c:v>47876.005885178907</c:v>
                </c:pt>
                <c:pt idx="501">
                  <c:v>48083.188205620892</c:v>
                </c:pt>
                <c:pt idx="502">
                  <c:v>48152.248979101554</c:v>
                </c:pt>
                <c:pt idx="503">
                  <c:v>48221.309752582216</c:v>
                </c:pt>
                <c:pt idx="504">
                  <c:v>48290.370526062878</c:v>
                </c:pt>
                <c:pt idx="505">
                  <c:v>48359.431299543539</c:v>
                </c:pt>
                <c:pt idx="506">
                  <c:v>48566.613619985532</c:v>
                </c:pt>
                <c:pt idx="507">
                  <c:v>48635.674393466194</c:v>
                </c:pt>
                <c:pt idx="508">
                  <c:v>48704.735166946855</c:v>
                </c:pt>
                <c:pt idx="509">
                  <c:v>48773.795940427517</c:v>
                </c:pt>
                <c:pt idx="510">
                  <c:v>48842.856713908179</c:v>
                </c:pt>
                <c:pt idx="511">
                  <c:v>48980.978260869502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AA-4A20-B691-9B5438292391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'Bond (3)'!$A$16:$A$527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(3)'!$I$16:$I$527</c:f>
              <c:numCache>
                <c:formatCode>0.0</c:formatCode>
                <c:ptCount val="51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42441.156600379007</c:v>
                </c:pt>
                <c:pt idx="194">
                  <c:v>42453.523085437817</c:v>
                </c:pt>
                <c:pt idx="195">
                  <c:v>42465.889737566824</c:v>
                </c:pt>
                <c:pt idx="196">
                  <c:v>42502.990696399764</c:v>
                </c:pt>
                <c:pt idx="197">
                  <c:v>42515.358016832717</c:v>
                </c:pt>
                <c:pt idx="198">
                  <c:v>42527.725504346825</c:v>
                </c:pt>
                <c:pt idx="199">
                  <c:v>42540.093158944488</c:v>
                </c:pt>
                <c:pt idx="200">
                  <c:v>42552.460980627548</c:v>
                </c:pt>
                <c:pt idx="201">
                  <c:v>42589.56544821104</c:v>
                </c:pt>
                <c:pt idx="202">
                  <c:v>42601.933938257454</c:v>
                </c:pt>
                <c:pt idx="203">
                  <c:v>42614.302595400077</c:v>
                </c:pt>
                <c:pt idx="204">
                  <c:v>42626.671419640596</c:v>
                </c:pt>
                <c:pt idx="205">
                  <c:v>42639.040410981739</c:v>
                </c:pt>
                <c:pt idx="206">
                  <c:v>42676.148387628709</c:v>
                </c:pt>
                <c:pt idx="207">
                  <c:v>42688.518047392456</c:v>
                </c:pt>
                <c:pt idx="208">
                  <c:v>42700.887874267341</c:v>
                </c:pt>
                <c:pt idx="209">
                  <c:v>42713.257868255329</c:v>
                </c:pt>
                <c:pt idx="210">
                  <c:v>42725.628029358712</c:v>
                </c:pt>
                <c:pt idx="211">
                  <c:v>42762.739515381647</c:v>
                </c:pt>
                <c:pt idx="212">
                  <c:v>42775.110344967332</c:v>
                </c:pt>
                <c:pt idx="213">
                  <c:v>42787.481341678911</c:v>
                </c:pt>
                <c:pt idx="214">
                  <c:v>42799.852505518116</c:v>
                </c:pt>
                <c:pt idx="215">
                  <c:v>42812.223836488047</c:v>
                </c:pt>
                <c:pt idx="216">
                  <c:v>42849.33883219945</c:v>
                </c:pt>
                <c:pt idx="217">
                  <c:v>42861.710831710938</c:v>
                </c:pt>
                <c:pt idx="218">
                  <c:v>42874.082998363541</c:v>
                </c:pt>
                <c:pt idx="219">
                  <c:v>42886.455332158672</c:v>
                </c:pt>
                <c:pt idx="220">
                  <c:v>42898.827833099036</c:v>
                </c:pt>
                <c:pt idx="221">
                  <c:v>42935.946338811402</c:v>
                </c:pt>
                <c:pt idx="222">
                  <c:v>42948.319508353292</c:v>
                </c:pt>
                <c:pt idx="223">
                  <c:v>42960.692845050507</c:v>
                </c:pt>
                <c:pt idx="224">
                  <c:v>42973.06634890617</c:v>
                </c:pt>
                <c:pt idx="225">
                  <c:v>42985.44001992113</c:v>
                </c:pt>
                <c:pt idx="226">
                  <c:v>43022.562035947391</c:v>
                </c:pt>
                <c:pt idx="227">
                  <c:v>43034.936375623423</c:v>
                </c:pt>
                <c:pt idx="228">
                  <c:v>43047.310882470279</c:v>
                </c:pt>
                <c:pt idx="229">
                  <c:v>43059.685556489771</c:v>
                </c:pt>
                <c:pt idx="230">
                  <c:v>43072.060397683919</c:v>
                </c:pt>
                <c:pt idx="231">
                  <c:v>43109.185924336707</c:v>
                </c:pt>
                <c:pt idx="232">
                  <c:v>43121.561434251475</c:v>
                </c:pt>
                <c:pt idx="233">
                  <c:v>43133.93711135169</c:v>
                </c:pt>
                <c:pt idx="234">
                  <c:v>43146.312955639631</c:v>
                </c:pt>
                <c:pt idx="235">
                  <c:v>43158.688967116992</c:v>
                </c:pt>
                <c:pt idx="236">
                  <c:v>43195.818004709225</c:v>
                </c:pt>
                <c:pt idx="237">
                  <c:v>43208.194684966744</c:v>
                </c:pt>
                <c:pt idx="238">
                  <c:v>43220.571532424779</c:v>
                </c:pt>
                <c:pt idx="239">
                  <c:v>43232.948547085172</c:v>
                </c:pt>
                <c:pt idx="240">
                  <c:v>43245.325728950047</c:v>
                </c:pt>
                <c:pt idx="241">
                  <c:v>43282.458277794241</c:v>
                </c:pt>
                <c:pt idx="242">
                  <c:v>43294.836128498966</c:v>
                </c:pt>
                <c:pt idx="243">
                  <c:v>43307.214146418846</c:v>
                </c:pt>
                <c:pt idx="244">
                  <c:v>43319.592331556429</c:v>
                </c:pt>
                <c:pt idx="245">
                  <c:v>43331.97068391314</c:v>
                </c:pt>
                <c:pt idx="246">
                  <c:v>43369.106744321762</c:v>
                </c:pt>
                <c:pt idx="247">
                  <c:v>43381.485765577716</c:v>
                </c:pt>
                <c:pt idx="248">
                  <c:v>43393.864954064033</c:v>
                </c:pt>
                <c:pt idx="249">
                  <c:v>43406.244309782545</c:v>
                </c:pt>
                <c:pt idx="250">
                  <c:v>43418.623832735524</c:v>
                </c:pt>
                <c:pt idx="251">
                  <c:v>43566.55496812913</c:v>
                </c:pt>
                <c:pt idx="252">
                  <c:v>43578.029226441853</c:v>
                </c:pt>
                <c:pt idx="253">
                  <c:v>43589.503649971535</c:v>
                </c:pt>
                <c:pt idx="254">
                  <c:v>43600.978238719887</c:v>
                </c:pt>
                <c:pt idx="255">
                  <c:v>43612.452992689039</c:v>
                </c:pt>
                <c:pt idx="256">
                  <c:v>43646.878245943852</c:v>
                </c:pt>
                <c:pt idx="257">
                  <c:v>43658.353660817927</c:v>
                </c:pt>
                <c:pt idx="258">
                  <c:v>43669.829240923747</c:v>
                </c:pt>
                <c:pt idx="259">
                  <c:v>43681.304986263014</c:v>
                </c:pt>
                <c:pt idx="260">
                  <c:v>43692.780896837852</c:v>
                </c:pt>
                <c:pt idx="261">
                  <c:v>43727.20961999728</c:v>
                </c:pt>
                <c:pt idx="262">
                  <c:v>43738.686191535744</c:v>
                </c:pt>
                <c:pt idx="263">
                  <c:v>43750.162928320577</c:v>
                </c:pt>
                <c:pt idx="264">
                  <c:v>43761.639830353779</c:v>
                </c:pt>
                <c:pt idx="265">
                  <c:v>43773.116897637054</c:v>
                </c:pt>
                <c:pt idx="266">
                  <c:v>43807.54909101018</c:v>
                </c:pt>
                <c:pt idx="267">
                  <c:v>43819.026819316336</c:v>
                </c:pt>
                <c:pt idx="268">
                  <c:v>43830.504712883077</c:v>
                </c:pt>
                <c:pt idx="269">
                  <c:v>43841.982771713112</c:v>
                </c:pt>
                <c:pt idx="270">
                  <c:v>43853.460995807989</c:v>
                </c:pt>
                <c:pt idx="271">
                  <c:v>43887.896659704471</c:v>
                </c:pt>
                <c:pt idx="272">
                  <c:v>43899.375544880924</c:v>
                </c:pt>
                <c:pt idx="273">
                  <c:v>43910.854595332741</c:v>
                </c:pt>
                <c:pt idx="274">
                  <c:v>43922.33381106249</c:v>
                </c:pt>
                <c:pt idx="275">
                  <c:v>43933.81319207215</c:v>
                </c:pt>
                <c:pt idx="276">
                  <c:v>43968.252326800779</c:v>
                </c:pt>
                <c:pt idx="277">
                  <c:v>43979.732368950703</c:v>
                </c:pt>
                <c:pt idx="278">
                  <c:v>43991.212576390913</c:v>
                </c:pt>
                <c:pt idx="279">
                  <c:v>44002.692949123535</c:v>
                </c:pt>
                <c:pt idx="280">
                  <c:v>44014.173487150721</c:v>
                </c:pt>
                <c:pt idx="281">
                  <c:v>44048.616093020595</c:v>
                </c:pt>
                <c:pt idx="282">
                  <c:v>44060.097292247017</c:v>
                </c:pt>
                <c:pt idx="283">
                  <c:v>44071.578656778642</c:v>
                </c:pt>
                <c:pt idx="284">
                  <c:v>44083.060186617186</c:v>
                </c:pt>
                <c:pt idx="285">
                  <c:v>44094.541881765195</c:v>
                </c:pt>
                <c:pt idx="286">
                  <c:v>44128.987959085542</c:v>
                </c:pt>
                <c:pt idx="287">
                  <c:v>44140.470315491773</c:v>
                </c:pt>
                <c:pt idx="288">
                  <c:v>44151.952837217563</c:v>
                </c:pt>
                <c:pt idx="289">
                  <c:v>44163.435524265187</c:v>
                </c:pt>
                <c:pt idx="290">
                  <c:v>44174.91837663707</c:v>
                </c:pt>
                <c:pt idx="291">
                  <c:v>44209.367925717394</c:v>
                </c:pt>
                <c:pt idx="292">
                  <c:v>44220.851439405895</c:v>
                </c:pt>
                <c:pt idx="293">
                  <c:v>44232.335118429153</c:v>
                </c:pt>
                <c:pt idx="294">
                  <c:v>44243.818962789039</c:v>
                </c:pt>
                <c:pt idx="295">
                  <c:v>44255.302972487669</c:v>
                </c:pt>
                <c:pt idx="296">
                  <c:v>44289.755993636922</c:v>
                </c:pt>
                <c:pt idx="297">
                  <c:v>44301.240664711571</c:v>
                </c:pt>
                <c:pt idx="298">
                  <c:v>44312.725501135195</c:v>
                </c:pt>
                <c:pt idx="299">
                  <c:v>44324.210502910224</c:v>
                </c:pt>
                <c:pt idx="300">
                  <c:v>44335.695670039051</c:v>
                </c:pt>
                <c:pt idx="301">
                  <c:v>44370.152163566323</c:v>
                </c:pt>
                <c:pt idx="302">
                  <c:v>44381.637992129865</c:v>
                </c:pt>
                <c:pt idx="303">
                  <c:v>44393.123986057311</c:v>
                </c:pt>
                <c:pt idx="304">
                  <c:v>44404.610145350787</c:v>
                </c:pt>
                <c:pt idx="305">
                  <c:v>44416.096470012424</c:v>
                </c:pt>
                <c:pt idx="306">
                  <c:v>44450.556436227358</c:v>
                </c:pt>
                <c:pt idx="307">
                  <c:v>44462.043422382689</c:v>
                </c:pt>
                <c:pt idx="308">
                  <c:v>44473.530573916978</c:v>
                </c:pt>
                <c:pt idx="309">
                  <c:v>44485.017890831936</c:v>
                </c:pt>
                <c:pt idx="310">
                  <c:v>44496.505373129694</c:v>
                </c:pt>
                <c:pt idx="311">
                  <c:v>44530.968812341525</c:v>
                </c:pt>
                <c:pt idx="312">
                  <c:v>44542.456956192087</c:v>
                </c:pt>
                <c:pt idx="313">
                  <c:v>44553.945265435825</c:v>
                </c:pt>
                <c:pt idx="314">
                  <c:v>44565.433740075576</c:v>
                </c:pt>
                <c:pt idx="315">
                  <c:v>44576.922380112774</c:v>
                </c:pt>
                <c:pt idx="316">
                  <c:v>44611.389292631007</c:v>
                </c:pt>
                <c:pt idx="317">
                  <c:v>44622.878594279697</c:v>
                </c:pt>
                <c:pt idx="318">
                  <c:v>44634.368061336339</c:v>
                </c:pt>
                <c:pt idx="319">
                  <c:v>44645.857693803635</c:v>
                </c:pt>
                <c:pt idx="320">
                  <c:v>44657.347491683147</c:v>
                </c:pt>
                <c:pt idx="321">
                  <c:v>44691.817877817011</c:v>
                </c:pt>
                <c:pt idx="322">
                  <c:v>44703.308337367278</c:v>
                </c:pt>
                <c:pt idx="323">
                  <c:v>44714.798962340283</c:v>
                </c:pt>
                <c:pt idx="324">
                  <c:v>44726.289752738288</c:v>
                </c:pt>
                <c:pt idx="325">
                  <c:v>44737.78070856315</c:v>
                </c:pt>
                <c:pt idx="326">
                  <c:v>44772.254568622171</c:v>
                </c:pt>
                <c:pt idx="327">
                  <c:v>44783.746186177043</c:v>
                </c:pt>
                <c:pt idx="328">
                  <c:v>44795.237969169</c:v>
                </c:pt>
                <c:pt idx="329">
                  <c:v>44806.729917601173</c:v>
                </c:pt>
                <c:pt idx="330">
                  <c:v>44818.222031474987</c:v>
                </c:pt>
                <c:pt idx="331">
                  <c:v>44852.699365768232</c:v>
                </c:pt>
                <c:pt idx="332">
                  <c:v>44864.192141430467</c:v>
                </c:pt>
                <c:pt idx="333">
                  <c:v>44875.685082545271</c:v>
                </c:pt>
                <c:pt idx="334">
                  <c:v>44887.178189114347</c:v>
                </c:pt>
                <c:pt idx="335">
                  <c:v>44898.671461139988</c:v>
                </c:pt>
                <c:pt idx="336">
                  <c:v>44933.152269977552</c:v>
                </c:pt>
                <c:pt idx="337">
                  <c:v>44944.646203850585</c:v>
                </c:pt>
                <c:pt idx="338">
                  <c:v>44956.140303190696</c:v>
                </c:pt>
                <c:pt idx="339">
                  <c:v>44967.634567999994</c:v>
                </c:pt>
                <c:pt idx="340">
                  <c:v>44979.128998280779</c:v>
                </c:pt>
                <c:pt idx="341">
                  <c:v>45013.613281971891</c:v>
                </c:pt>
                <c:pt idx="342">
                  <c:v>45025.108374158903</c:v>
                </c:pt>
                <c:pt idx="343">
                  <c:v>45036.603631827769</c:v>
                </c:pt>
                <c:pt idx="344">
                  <c:v>45048.09905498047</c:v>
                </c:pt>
                <c:pt idx="345">
                  <c:v>45059.594643619144</c:v>
                </c:pt>
                <c:pt idx="346">
                  <c:v>45094.082402473447</c:v>
                </c:pt>
                <c:pt idx="347">
                  <c:v>45105.578653077609</c:v>
                </c:pt>
                <c:pt idx="348">
                  <c:v>45117.075069178543</c:v>
                </c:pt>
                <c:pt idx="349">
                  <c:v>45128.571650777812</c:v>
                </c:pt>
                <c:pt idx="350">
                  <c:v>45140.068397878262</c:v>
                </c:pt>
                <c:pt idx="351">
                  <c:v>45174.559632204706</c:v>
                </c:pt>
                <c:pt idx="352">
                  <c:v>45186.057041329186</c:v>
                </c:pt>
                <c:pt idx="353">
                  <c:v>45197.554615965215</c:v>
                </c:pt>
                <c:pt idx="354">
                  <c:v>45209.052356114364</c:v>
                </c:pt>
                <c:pt idx="355">
                  <c:v>45220.550261779186</c:v>
                </c:pt>
                <c:pt idx="356">
                  <c:v>45255.044971887852</c:v>
                </c:pt>
                <c:pt idx="357">
                  <c:v>45266.543539636114</c:v>
                </c:pt>
                <c:pt idx="358">
                  <c:v>45278.042272910126</c:v>
                </c:pt>
                <c:pt idx="359">
                  <c:v>45289.541171712604</c:v>
                </c:pt>
                <c:pt idx="360">
                  <c:v>45301.040236044966</c:v>
                </c:pt>
                <c:pt idx="361">
                  <c:v>45335.538422245801</c:v>
                </c:pt>
                <c:pt idx="362">
                  <c:v>45347.038148720574</c:v>
                </c:pt>
                <c:pt idx="363">
                  <c:v>45358.538040736174</c:v>
                </c:pt>
                <c:pt idx="364">
                  <c:v>45370.038098294594</c:v>
                </c:pt>
                <c:pt idx="365">
                  <c:v>45381.538321398235</c:v>
                </c:pt>
                <c:pt idx="366">
                  <c:v>45416.039984000454</c:v>
                </c:pt>
                <c:pt idx="367">
                  <c:v>45427.540869305201</c:v>
                </c:pt>
                <c:pt idx="368">
                  <c:v>45439.04192016556</c:v>
                </c:pt>
                <c:pt idx="369">
                  <c:v>45450.543136583648</c:v>
                </c:pt>
                <c:pt idx="370">
                  <c:v>45462.044518561182</c:v>
                </c:pt>
                <c:pt idx="371">
                  <c:v>45496.549657874442</c:v>
                </c:pt>
                <c:pt idx="372">
                  <c:v>45508.051702112338</c:v>
                </c:pt>
                <c:pt idx="373">
                  <c:v>45519.553911920615</c:v>
                </c:pt>
                <c:pt idx="374">
                  <c:v>45531.056287301122</c:v>
                </c:pt>
                <c:pt idx="375">
                  <c:v>45542.558828256566</c:v>
                </c:pt>
                <c:pt idx="376">
                  <c:v>45577.06744459024</c:v>
                </c:pt>
                <c:pt idx="377">
                  <c:v>45588.570647864733</c:v>
                </c:pt>
                <c:pt idx="378">
                  <c:v>45600.074016724255</c:v>
                </c:pt>
                <c:pt idx="379">
                  <c:v>45611.577551170776</c:v>
                </c:pt>
                <c:pt idx="380">
                  <c:v>45623.081251206735</c:v>
                </c:pt>
                <c:pt idx="381">
                  <c:v>45883.31668160556</c:v>
                </c:pt>
                <c:pt idx="382">
                  <c:v>45895.772685283126</c:v>
                </c:pt>
                <c:pt idx="383">
                  <c:v>45908.22901535545</c:v>
                </c:pt>
                <c:pt idx="384">
                  <c:v>45920.685671834915</c:v>
                </c:pt>
                <c:pt idx="385">
                  <c:v>45933.1426547343</c:v>
                </c:pt>
                <c:pt idx="386">
                  <c:v>45970.51556207463</c:v>
                </c:pt>
                <c:pt idx="387">
                  <c:v>45982.973850777198</c:v>
                </c:pt>
                <c:pt idx="388">
                  <c:v>45995.43246596164</c:v>
                </c:pt>
                <c:pt idx="389">
                  <c:v>46007.891407640622</c:v>
                </c:pt>
                <c:pt idx="390">
                  <c:v>46020.350675826347</c:v>
                </c:pt>
                <c:pt idx="391">
                  <c:v>46057.730439549094</c:v>
                </c:pt>
                <c:pt idx="392">
                  <c:v>46070.191013886732</c:v>
                </c:pt>
                <c:pt idx="393">
                  <c:v>46082.651914793511</c:v>
                </c:pt>
                <c:pt idx="394">
                  <c:v>46095.113142281931</c:v>
                </c:pt>
                <c:pt idx="395">
                  <c:v>46107.574696364216</c:v>
                </c:pt>
                <c:pt idx="396">
                  <c:v>46144.961318300011</c:v>
                </c:pt>
                <c:pt idx="397">
                  <c:v>46157.424178883084</c:v>
                </c:pt>
                <c:pt idx="398">
                  <c:v>46169.887366122268</c:v>
                </c:pt>
                <c:pt idx="399">
                  <c:v>46182.350880030346</c:v>
                </c:pt>
                <c:pt idx="400">
                  <c:v>46194.814720619688</c:v>
                </c:pt>
                <c:pt idx="401">
                  <c:v>46232.208202599606</c:v>
                </c:pt>
                <c:pt idx="402">
                  <c:v>46244.673350038473</c:v>
                </c:pt>
                <c:pt idx="403">
                  <c:v>46257.138824220841</c:v>
                </c:pt>
                <c:pt idx="404">
                  <c:v>46269.604625158929</c:v>
                </c:pt>
                <c:pt idx="405">
                  <c:v>46282.070752865679</c:v>
                </c:pt>
                <c:pt idx="406">
                  <c:v>46319.471096721652</c:v>
                </c:pt>
                <c:pt idx="407">
                  <c:v>46331.938531627085</c:v>
                </c:pt>
                <c:pt idx="408">
                  <c:v>46344.406293363136</c:v>
                </c:pt>
                <c:pt idx="409">
                  <c:v>46356.874381942594</c:v>
                </c:pt>
                <c:pt idx="410">
                  <c:v>46369.342797377823</c:v>
                </c:pt>
                <c:pt idx="411">
                  <c:v>46406.75000494218</c:v>
                </c:pt>
                <c:pt idx="412">
                  <c:v>46419.219727924967</c:v>
                </c:pt>
                <c:pt idx="413">
                  <c:v>46431.689777825908</c:v>
                </c:pt>
                <c:pt idx="414">
                  <c:v>46444.160154657373</c:v>
                </c:pt>
                <c:pt idx="415">
                  <c:v>46456.630858431861</c:v>
                </c:pt>
                <c:pt idx="416">
                  <c:v>46494.04493153809</c:v>
                </c:pt>
                <c:pt idx="417">
                  <c:v>46506.516943209303</c:v>
                </c:pt>
                <c:pt idx="418">
                  <c:v>46518.989281886068</c:v>
                </c:pt>
                <c:pt idx="419">
                  <c:v>46531.461947580741</c:v>
                </c:pt>
                <c:pt idx="420">
                  <c:v>46543.934940305699</c:v>
                </c:pt>
                <c:pt idx="421">
                  <c:v>46581.355880787727</c:v>
                </c:pt>
                <c:pt idx="422">
                  <c:v>46593.830181758996</c:v>
                </c:pt>
                <c:pt idx="423">
                  <c:v>46606.304809823065</c:v>
                </c:pt>
                <c:pt idx="424">
                  <c:v>46618.77976499217</c:v>
                </c:pt>
                <c:pt idx="425">
                  <c:v>46631.25504727909</c:v>
                </c:pt>
                <c:pt idx="426">
                  <c:v>46668.682856971238</c:v>
                </c:pt>
                <c:pt idx="427">
                  <c:v>46681.159447853912</c:v>
                </c:pt>
                <c:pt idx="428">
                  <c:v>46693.636365916791</c:v>
                </c:pt>
                <c:pt idx="429">
                  <c:v>46706.113611172237</c:v>
                </c:pt>
                <c:pt idx="430">
                  <c:v>46718.591183632889</c:v>
                </c:pt>
                <c:pt idx="431">
                  <c:v>46756.02586437008</c:v>
                </c:pt>
                <c:pt idx="432">
                  <c:v>46768.504745776081</c:v>
                </c:pt>
                <c:pt idx="433">
                  <c:v>46780.983954449533</c:v>
                </c:pt>
                <c:pt idx="434">
                  <c:v>46793.463490403097</c:v>
                </c:pt>
                <c:pt idx="435">
                  <c:v>46805.943353649134</c:v>
                </c:pt>
                <c:pt idx="436">
                  <c:v>46843.384907267529</c:v>
                </c:pt>
                <c:pt idx="437">
                  <c:v>46855.866079808635</c:v>
                </c:pt>
                <c:pt idx="438">
                  <c:v>46868.347579704881</c:v>
                </c:pt>
                <c:pt idx="439">
                  <c:v>46880.829406968478</c:v>
                </c:pt>
                <c:pt idx="440">
                  <c:v>46893.311561612238</c:v>
                </c:pt>
                <c:pt idx="441">
                  <c:v>46930.759989948165</c:v>
                </c:pt>
                <c:pt idx="442">
                  <c:v>46943.243454236865</c:v>
                </c:pt>
                <c:pt idx="443">
                  <c:v>46955.727245967813</c:v>
                </c:pt>
                <c:pt idx="444">
                  <c:v>46968.21136515394</c:v>
                </c:pt>
                <c:pt idx="445">
                  <c:v>46980.695811807476</c:v>
                </c:pt>
                <c:pt idx="446">
                  <c:v>47018.151116698136</c:v>
                </c:pt>
                <c:pt idx="447">
                  <c:v>47030.63687334663</c:v>
                </c:pt>
                <c:pt idx="448">
                  <c:v>47043.122957525193</c:v>
                </c:pt>
                <c:pt idx="449">
                  <c:v>47055.609369246202</c:v>
                </c:pt>
                <c:pt idx="450">
                  <c:v>47068.096108522004</c:v>
                </c:pt>
                <c:pt idx="451">
                  <c:v>47105.55829180513</c:v>
                </c:pt>
                <c:pt idx="452">
                  <c:v>47118.04634142619</c:v>
                </c:pt>
                <c:pt idx="453">
                  <c:v>47130.53471866472</c:v>
                </c:pt>
                <c:pt idx="454">
                  <c:v>47143.023423533363</c:v>
                </c:pt>
                <c:pt idx="455">
                  <c:v>47155.512456044497</c:v>
                </c:pt>
                <c:pt idx="456">
                  <c:v>47192.981519558263</c:v>
                </c:pt>
                <c:pt idx="457">
                  <c:v>47205.471862764804</c:v>
                </c:pt>
                <c:pt idx="458">
                  <c:v>47217.962533676357</c:v>
                </c:pt>
                <c:pt idx="459">
                  <c:v>47230.453532305561</c:v>
                </c:pt>
                <c:pt idx="460">
                  <c:v>47242.944858664792</c:v>
                </c:pt>
                <c:pt idx="461">
                  <c:v>47280.420804248657</c:v>
                </c:pt>
                <c:pt idx="462">
                  <c:v>47292.913441653458</c:v>
                </c:pt>
                <c:pt idx="463">
                  <c:v>47305.406406851085</c:v>
                </c:pt>
                <c:pt idx="464">
                  <c:v>47317.899699854046</c:v>
                </c:pt>
                <c:pt idx="465">
                  <c:v>47330.393320674571</c:v>
                </c:pt>
                <c:pt idx="466">
                  <c:v>47367.876150168129</c:v>
                </c:pt>
                <c:pt idx="467">
                  <c:v>47380.371082384801</c:v>
                </c:pt>
                <c:pt idx="468">
                  <c:v>47392.866342481982</c:v>
                </c:pt>
                <c:pt idx="469">
                  <c:v>47405.361930471765</c:v>
                </c:pt>
                <c:pt idx="470">
                  <c:v>47417.857846367071</c:v>
                </c:pt>
                <c:pt idx="471">
                  <c:v>47455.347561610623</c:v>
                </c:pt>
                <c:pt idx="472">
                  <c:v>47467.844789252653</c:v>
                </c:pt>
                <c:pt idx="473">
                  <c:v>47480.342344862744</c:v>
                </c:pt>
                <c:pt idx="474">
                  <c:v>47492.840228453388</c:v>
                </c:pt>
                <c:pt idx="475">
                  <c:v>47505.338440037092</c:v>
                </c:pt>
                <c:pt idx="476">
                  <c:v>47542.835042871382</c:v>
                </c:pt>
                <c:pt idx="477">
                  <c:v>47555.334566552541</c:v>
                </c:pt>
                <c:pt idx="478">
                  <c:v>47567.834418289291</c:v>
                </c:pt>
                <c:pt idx="479">
                  <c:v>47580.334598094429</c:v>
                </c:pt>
                <c:pt idx="480">
                  <c:v>47592.83510598031</c:v>
                </c:pt>
                <c:pt idx="481">
                  <c:v>47630.338598247617</c:v>
                </c:pt>
                <c:pt idx="482">
                  <c:v>47642.840418581814</c:v>
                </c:pt>
                <c:pt idx="483">
                  <c:v>47655.34256705943</c:v>
                </c:pt>
                <c:pt idx="484">
                  <c:v>47667.845043692963</c:v>
                </c:pt>
                <c:pt idx="485">
                  <c:v>47680.347848495061</c:v>
                </c:pt>
                <c:pt idx="486">
                  <c:v>47717.85823203755</c:v>
                </c:pt>
                <c:pt idx="487">
                  <c:v>47730.362349638977</c:v>
                </c:pt>
                <c:pt idx="488">
                  <c:v>47742.866795471498</c:v>
                </c:pt>
                <c:pt idx="489">
                  <c:v>47755.371569547766</c:v>
                </c:pt>
                <c:pt idx="490">
                  <c:v>47767.876671880425</c:v>
                </c:pt>
                <c:pt idx="491">
                  <c:v>47805.393948541096</c:v>
                </c:pt>
                <c:pt idx="492">
                  <c:v>47817.900364024084</c:v>
                </c:pt>
                <c:pt idx="493">
                  <c:v>47830.40710782614</c:v>
                </c:pt>
                <c:pt idx="494">
                  <c:v>47842.914179959618</c:v>
                </c:pt>
                <c:pt idx="495">
                  <c:v>47855.421580437025</c:v>
                </c:pt>
                <c:pt idx="496">
                  <c:v>47892.945752059597</c:v>
                </c:pt>
                <c:pt idx="497">
                  <c:v>47905.454466038915</c:v>
                </c:pt>
                <c:pt idx="498">
                  <c:v>47917.963508424975</c:v>
                </c:pt>
                <c:pt idx="499">
                  <c:v>47930.472879230423</c:v>
                </c:pt>
                <c:pt idx="500">
                  <c:v>47942.982578467629</c:v>
                </c:pt>
                <c:pt idx="501">
                  <c:v>47980.513646896237</c:v>
                </c:pt>
                <c:pt idx="502">
                  <c:v>47993.024659986644</c:v>
                </c:pt>
                <c:pt idx="503">
                  <c:v>48005.536001571614</c:v>
                </c:pt>
                <c:pt idx="504">
                  <c:v>48018.0476716638</c:v>
                </c:pt>
                <c:pt idx="505">
                  <c:v>48030.559670275841</c:v>
                </c:pt>
                <c:pt idx="506">
                  <c:v>48068.097637355633</c:v>
                </c:pt>
                <c:pt idx="507">
                  <c:v>48080.610950172035</c:v>
                </c:pt>
                <c:pt idx="508">
                  <c:v>48093.124591571104</c:v>
                </c:pt>
                <c:pt idx="509">
                  <c:v>48105.638561565211</c:v>
                </c:pt>
                <c:pt idx="510">
                  <c:v>48118.152860166862</c:v>
                </c:pt>
                <c:pt idx="511">
                  <c:v>48199.728260869502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AA-4A20-B691-9B5438292391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(3)'!$A$16:$A$527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(3)'!$H$16:$H$527</c:f>
              <c:numCache>
                <c:formatCode>_(* #,##0.000_);_(* \(#,##0.000\);_(* "-"??_);_(@_)</c:formatCode>
                <c:ptCount val="51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23954.68383401493</c:v>
                </c:pt>
                <c:pt idx="194">
                  <c:v>23898.36900039242</c:v>
                </c:pt>
                <c:pt idx="195">
                  <c:v>23842.054333840111</c:v>
                </c:pt>
                <c:pt idx="196">
                  <c:v>23673.111336629092</c:v>
                </c:pt>
                <c:pt idx="197">
                  <c:v>23616.797338380733</c:v>
                </c:pt>
                <c:pt idx="198">
                  <c:v>23560.483507213517</c:v>
                </c:pt>
                <c:pt idx="199">
                  <c:v>23504.169843129861</c:v>
                </c:pt>
                <c:pt idx="200">
                  <c:v>23447.856346131601</c:v>
                </c:pt>
                <c:pt idx="201">
                  <c:v>23278.916857671138</c:v>
                </c:pt>
                <c:pt idx="202">
                  <c:v>23222.604029036233</c:v>
                </c:pt>
                <c:pt idx="203">
                  <c:v>23166.291367497539</c:v>
                </c:pt>
                <c:pt idx="204">
                  <c:v>23109.978873056745</c:v>
                </c:pt>
                <c:pt idx="205">
                  <c:v>23053.666545716565</c:v>
                </c:pt>
                <c:pt idx="206">
                  <c:v>22884.730566319577</c:v>
                </c:pt>
                <c:pt idx="207">
                  <c:v>22828.418907402011</c:v>
                </c:pt>
                <c:pt idx="208">
                  <c:v>22772.107415595572</c:v>
                </c:pt>
                <c:pt idx="209">
                  <c:v>22715.796090902244</c:v>
                </c:pt>
                <c:pt idx="210">
                  <c:v>22659.484933324307</c:v>
                </c:pt>
                <c:pt idx="211">
                  <c:v>22490.552463303287</c:v>
                </c:pt>
                <c:pt idx="212">
                  <c:v>22434.241974207653</c:v>
                </c:pt>
                <c:pt idx="213">
                  <c:v>22377.931652237916</c:v>
                </c:pt>
                <c:pt idx="214">
                  <c:v>22321.621497395798</c:v>
                </c:pt>
                <c:pt idx="215">
                  <c:v>22265.311509684409</c:v>
                </c:pt>
                <c:pt idx="216">
                  <c:v>22096.38254935186</c:v>
                </c:pt>
                <c:pt idx="217">
                  <c:v>22040.073230182032</c:v>
                </c:pt>
                <c:pt idx="218">
                  <c:v>21983.764078153315</c:v>
                </c:pt>
                <c:pt idx="219">
                  <c:v>21927.455093267126</c:v>
                </c:pt>
                <c:pt idx="220">
                  <c:v>21871.146275526175</c:v>
                </c:pt>
                <c:pt idx="221">
                  <c:v>21702.220825194585</c:v>
                </c:pt>
                <c:pt idx="222">
                  <c:v>21645.912676055163</c:v>
                </c:pt>
                <c:pt idx="223">
                  <c:v>21589.604694071058</c:v>
                </c:pt>
                <c:pt idx="224">
                  <c:v>21533.296879245398</c:v>
                </c:pt>
                <c:pt idx="225">
                  <c:v>21476.989231579038</c:v>
                </c:pt>
                <c:pt idx="226">
                  <c:v>21308.067291561343</c:v>
                </c:pt>
                <c:pt idx="227">
                  <c:v>21251.760312556056</c:v>
                </c:pt>
                <c:pt idx="228">
                  <c:v>21195.453500721585</c:v>
                </c:pt>
                <c:pt idx="229">
                  <c:v>21139.146856059768</c:v>
                </c:pt>
                <c:pt idx="230">
                  <c:v>21082.840378572597</c:v>
                </c:pt>
                <c:pt idx="231">
                  <c:v>20913.921949181429</c:v>
                </c:pt>
                <c:pt idx="232">
                  <c:v>20857.616140414877</c:v>
                </c:pt>
                <c:pt idx="233">
                  <c:v>20801.310498833773</c:v>
                </c:pt>
                <c:pt idx="234">
                  <c:v>20745.00502444039</c:v>
                </c:pt>
                <c:pt idx="235">
                  <c:v>20688.699717236432</c:v>
                </c:pt>
                <c:pt idx="236">
                  <c:v>20519.784798784713</c:v>
                </c:pt>
                <c:pt idx="237">
                  <c:v>20463.480160360916</c:v>
                </c:pt>
                <c:pt idx="238">
                  <c:v>20407.175689137632</c:v>
                </c:pt>
                <c:pt idx="239">
                  <c:v>20350.871385116705</c:v>
                </c:pt>
                <c:pt idx="240">
                  <c:v>20294.567248300267</c:v>
                </c:pt>
                <c:pt idx="241">
                  <c:v>20125.655841100495</c:v>
                </c:pt>
                <c:pt idx="242">
                  <c:v>20069.352373123904</c:v>
                </c:pt>
                <c:pt idx="243">
                  <c:v>20013.049072362464</c:v>
                </c:pt>
                <c:pt idx="244">
                  <c:v>19956.745938818727</c:v>
                </c:pt>
                <c:pt idx="245">
                  <c:v>19900.442972494118</c:v>
                </c:pt>
                <c:pt idx="246">
                  <c:v>19731.535076858789</c:v>
                </c:pt>
                <c:pt idx="247">
                  <c:v>19675.232779433431</c:v>
                </c:pt>
                <c:pt idx="248">
                  <c:v>19618.93064923842</c:v>
                </c:pt>
                <c:pt idx="249">
                  <c:v>19562.628686275613</c:v>
                </c:pt>
                <c:pt idx="250">
                  <c:v>19506.326890547283</c:v>
                </c:pt>
                <c:pt idx="251">
                  <c:v>19449.707142042171</c:v>
                </c:pt>
                <c:pt idx="252">
                  <c:v>19393.246617746201</c:v>
                </c:pt>
                <c:pt idx="253">
                  <c:v>19336.786258667187</c:v>
                </c:pt>
                <c:pt idx="254">
                  <c:v>19280.326064806843</c:v>
                </c:pt>
                <c:pt idx="255">
                  <c:v>19223.866036167296</c:v>
                </c:pt>
                <c:pt idx="256">
                  <c:v>19054.486941596024</c:v>
                </c:pt>
                <c:pt idx="257">
                  <c:v>18998.027573861407</c:v>
                </c:pt>
                <c:pt idx="258">
                  <c:v>18941.568371358528</c:v>
                </c:pt>
                <c:pt idx="259">
                  <c:v>18885.109334089095</c:v>
                </c:pt>
                <c:pt idx="260">
                  <c:v>18828.650462055237</c:v>
                </c:pt>
                <c:pt idx="261">
                  <c:v>18659.274837388581</c:v>
                </c:pt>
                <c:pt idx="262">
                  <c:v>18602.816626318345</c:v>
                </c:pt>
                <c:pt idx="263">
                  <c:v>18546.358580494485</c:v>
                </c:pt>
                <c:pt idx="264">
                  <c:v>18489.900699918991</c:v>
                </c:pt>
                <c:pt idx="265">
                  <c:v>18433.44298459357</c:v>
                </c:pt>
                <c:pt idx="266">
                  <c:v>18264.070830140608</c:v>
                </c:pt>
                <c:pt idx="267">
                  <c:v>18207.613775838068</c:v>
                </c:pt>
                <c:pt idx="268">
                  <c:v>18151.156886796114</c:v>
                </c:pt>
                <c:pt idx="269">
                  <c:v>18094.700163017449</c:v>
                </c:pt>
                <c:pt idx="270">
                  <c:v>18038.243604503634</c:v>
                </c:pt>
                <c:pt idx="271">
                  <c:v>17868.874920574028</c:v>
                </c:pt>
                <c:pt idx="272">
                  <c:v>17812.419023141785</c:v>
                </c:pt>
                <c:pt idx="273">
                  <c:v>17755.963290984906</c:v>
                </c:pt>
                <c:pt idx="274">
                  <c:v>17699.507724105955</c:v>
                </c:pt>
                <c:pt idx="275">
                  <c:v>17643.052322506919</c:v>
                </c:pt>
                <c:pt idx="276">
                  <c:v>17473.687109409468</c:v>
                </c:pt>
                <c:pt idx="277">
                  <c:v>17417.232368950692</c:v>
                </c:pt>
                <c:pt idx="278">
                  <c:v>17360.777793782203</c:v>
                </c:pt>
                <c:pt idx="279">
                  <c:v>17304.323383906136</c:v>
                </c:pt>
                <c:pt idx="280">
                  <c:v>17247.869139324619</c:v>
                </c:pt>
                <c:pt idx="281">
                  <c:v>17078.507397368412</c:v>
                </c:pt>
                <c:pt idx="282">
                  <c:v>17022.053813986135</c:v>
                </c:pt>
                <c:pt idx="283">
                  <c:v>16965.600395909063</c:v>
                </c:pt>
                <c:pt idx="284">
                  <c:v>16909.147143138911</c:v>
                </c:pt>
                <c:pt idx="285">
                  <c:v>16852.694055678228</c:v>
                </c:pt>
                <c:pt idx="286">
                  <c:v>16683.335785172487</c:v>
                </c:pt>
                <c:pt idx="287">
                  <c:v>16626.883358970019</c:v>
                </c:pt>
                <c:pt idx="288">
                  <c:v>16570.431098087112</c:v>
                </c:pt>
                <c:pt idx="289">
                  <c:v>16513.979002526041</c:v>
                </c:pt>
                <c:pt idx="290">
                  <c:v>16457.527072289224</c:v>
                </c:pt>
                <c:pt idx="291">
                  <c:v>16288.172273543465</c:v>
                </c:pt>
                <c:pt idx="292">
                  <c:v>16231.721004623269</c:v>
                </c:pt>
                <c:pt idx="293">
                  <c:v>16175.269901037835</c:v>
                </c:pt>
                <c:pt idx="294">
                  <c:v>16118.818962789022</c:v>
                </c:pt>
                <c:pt idx="295">
                  <c:v>16062.368189878953</c:v>
                </c:pt>
                <c:pt idx="296">
                  <c:v>15893.01686320212</c:v>
                </c:pt>
                <c:pt idx="297">
                  <c:v>15836.566751668073</c:v>
                </c:pt>
                <c:pt idx="298">
                  <c:v>15780.116805483005</c:v>
                </c:pt>
                <c:pt idx="299">
                  <c:v>15723.66702464933</c:v>
                </c:pt>
                <c:pt idx="300">
                  <c:v>15667.217409169467</c:v>
                </c:pt>
                <c:pt idx="301">
                  <c:v>15497.869554870647</c:v>
                </c:pt>
                <c:pt idx="302">
                  <c:v>15441.420600825495</c:v>
                </c:pt>
                <c:pt idx="303">
                  <c:v>15384.971812144244</c:v>
                </c:pt>
                <c:pt idx="304">
                  <c:v>15328.523188829024</c:v>
                </c:pt>
                <c:pt idx="305">
                  <c:v>15272.074730881966</c:v>
                </c:pt>
                <c:pt idx="306">
                  <c:v>15102.730349270812</c:v>
                </c:pt>
                <c:pt idx="307">
                  <c:v>15046.282552817445</c:v>
                </c:pt>
                <c:pt idx="308">
                  <c:v>14989.834921743039</c:v>
                </c:pt>
                <c:pt idx="309">
                  <c:v>14933.387456049302</c:v>
                </c:pt>
                <c:pt idx="310">
                  <c:v>14876.940155738366</c:v>
                </c:pt>
                <c:pt idx="311">
                  <c:v>14707.59924712411</c:v>
                </c:pt>
                <c:pt idx="312">
                  <c:v>14651.152608365976</c:v>
                </c:pt>
                <c:pt idx="313">
                  <c:v>14594.706135001019</c:v>
                </c:pt>
                <c:pt idx="314">
                  <c:v>14538.259827032078</c:v>
                </c:pt>
                <c:pt idx="315">
                  <c:v>14481.813684460576</c:v>
                </c:pt>
                <c:pt idx="316">
                  <c:v>14312.476249152725</c:v>
                </c:pt>
                <c:pt idx="317">
                  <c:v>14256.030768192715</c:v>
                </c:pt>
                <c:pt idx="318">
                  <c:v>14199.585452640662</c:v>
                </c:pt>
                <c:pt idx="319">
                  <c:v>14143.140302499263</c:v>
                </c:pt>
                <c:pt idx="320">
                  <c:v>14086.69531777008</c:v>
                </c:pt>
                <c:pt idx="321">
                  <c:v>13917.361356077863</c:v>
                </c:pt>
                <c:pt idx="322">
                  <c:v>13860.917033019434</c:v>
                </c:pt>
                <c:pt idx="323">
                  <c:v>13804.472875383739</c:v>
                </c:pt>
                <c:pt idx="324">
                  <c:v>13748.028883173049</c:v>
                </c:pt>
                <c:pt idx="325">
                  <c:v>13691.585056389215</c:v>
                </c:pt>
                <c:pt idx="326">
                  <c:v>13522.254568622146</c:v>
                </c:pt>
                <c:pt idx="327">
                  <c:v>13465.811403568325</c:v>
                </c:pt>
                <c:pt idx="328">
                  <c:v>13409.368403951588</c:v>
                </c:pt>
                <c:pt idx="329">
                  <c:v>13352.925569775067</c:v>
                </c:pt>
                <c:pt idx="330">
                  <c:v>13296.482901040179</c:v>
                </c:pt>
                <c:pt idx="331">
                  <c:v>13127.155887507342</c:v>
                </c:pt>
                <c:pt idx="332">
                  <c:v>13070.713880560874</c:v>
                </c:pt>
                <c:pt idx="333">
                  <c:v>13014.272039066982</c:v>
                </c:pt>
                <c:pt idx="334">
                  <c:v>12957.830363027369</c:v>
                </c:pt>
                <c:pt idx="335">
                  <c:v>12901.388852444312</c:v>
                </c:pt>
                <c:pt idx="336">
                  <c:v>12732.065313455791</c:v>
                </c:pt>
                <c:pt idx="337">
                  <c:v>12675.624464720129</c:v>
                </c:pt>
                <c:pt idx="338">
                  <c:v>12619.183781451538</c:v>
                </c:pt>
                <c:pt idx="339">
                  <c:v>12562.743263652152</c:v>
                </c:pt>
                <c:pt idx="340">
                  <c:v>12506.302911324241</c:v>
                </c:pt>
                <c:pt idx="341">
                  <c:v>12336.982847189262</c:v>
                </c:pt>
                <c:pt idx="342">
                  <c:v>12280.543156767579</c:v>
                </c:pt>
                <c:pt idx="343">
                  <c:v>12224.103631827746</c:v>
                </c:pt>
                <c:pt idx="344">
                  <c:v>12167.664272371752</c:v>
                </c:pt>
                <c:pt idx="345">
                  <c:v>12111.225078401731</c:v>
                </c:pt>
                <c:pt idx="346">
                  <c:v>11941.908489429949</c:v>
                </c:pt>
                <c:pt idx="347">
                  <c:v>11885.469957425415</c:v>
                </c:pt>
                <c:pt idx="348">
                  <c:v>11829.03159091765</c:v>
                </c:pt>
                <c:pt idx="349">
                  <c:v>11772.593389908225</c:v>
                </c:pt>
                <c:pt idx="350">
                  <c:v>11716.155354399973</c:v>
                </c:pt>
                <c:pt idx="351">
                  <c:v>11546.842240900332</c:v>
                </c:pt>
                <c:pt idx="352">
                  <c:v>11490.404867416117</c:v>
                </c:pt>
                <c:pt idx="353">
                  <c:v>11433.967659443453</c:v>
                </c:pt>
                <c:pt idx="354">
                  <c:v>11377.530616983904</c:v>
                </c:pt>
                <c:pt idx="355">
                  <c:v>11321.093740040027</c:v>
                </c:pt>
                <c:pt idx="356">
                  <c:v>11151.784102322608</c:v>
                </c:pt>
                <c:pt idx="357">
                  <c:v>11095.347887462169</c:v>
                </c:pt>
                <c:pt idx="358">
                  <c:v>11038.911838127489</c:v>
                </c:pt>
                <c:pt idx="359">
                  <c:v>10982.475954321273</c:v>
                </c:pt>
                <c:pt idx="360">
                  <c:v>10926.040236044941</c:v>
                </c:pt>
                <c:pt idx="361">
                  <c:v>10756.734074419683</c:v>
                </c:pt>
                <c:pt idx="362">
                  <c:v>10700.299018285761</c:v>
                </c:pt>
                <c:pt idx="363">
                  <c:v>10643.864127692666</c:v>
                </c:pt>
                <c:pt idx="364">
                  <c:v>10587.429402642385</c:v>
                </c:pt>
                <c:pt idx="365">
                  <c:v>10530.994843137336</c:v>
                </c:pt>
                <c:pt idx="366">
                  <c:v>10361.692157913467</c:v>
                </c:pt>
                <c:pt idx="367">
                  <c:v>10305.25826060952</c:v>
                </c:pt>
                <c:pt idx="368">
                  <c:v>10248.824528861178</c:v>
                </c:pt>
                <c:pt idx="369">
                  <c:v>10192.390962670572</c:v>
                </c:pt>
                <c:pt idx="370">
                  <c:v>10135.957562039408</c:v>
                </c:pt>
                <c:pt idx="371">
                  <c:v>9966.6583535265836</c:v>
                </c:pt>
                <c:pt idx="372">
                  <c:v>9910.2256151557813</c:v>
                </c:pt>
                <c:pt idx="373">
                  <c:v>9853.7930423553644</c:v>
                </c:pt>
                <c:pt idx="374">
                  <c:v>9797.3606351271774</c:v>
                </c:pt>
                <c:pt idx="375">
                  <c:v>9740.9283934739215</c:v>
                </c:pt>
                <c:pt idx="376">
                  <c:v>9571.63266198151</c:v>
                </c:pt>
                <c:pt idx="377">
                  <c:v>9515.2010826473088</c:v>
                </c:pt>
                <c:pt idx="378">
                  <c:v>9458.7696688981287</c:v>
                </c:pt>
                <c:pt idx="379">
                  <c:v>9402.3384207359577</c:v>
                </c:pt>
                <c:pt idx="380">
                  <c:v>9345.9073381632152</c:v>
                </c:pt>
                <c:pt idx="381">
                  <c:v>9402.3384207359577</c:v>
                </c:pt>
                <c:pt idx="382">
                  <c:v>9345.7336509328561</c:v>
                </c:pt>
                <c:pt idx="383">
                  <c:v>9289.1292075245237</c:v>
                </c:pt>
                <c:pt idx="384">
                  <c:v>9232.5250905233243</c:v>
                </c:pt>
                <c:pt idx="385">
                  <c:v>9175.921299942047</c:v>
                </c:pt>
                <c:pt idx="386">
                  <c:v>9006.1118868403864</c:v>
                </c:pt>
                <c:pt idx="387">
                  <c:v>8949.5094020622892</c:v>
                </c:pt>
                <c:pt idx="388">
                  <c:v>8892.9072437660743</c:v>
                </c:pt>
                <c:pt idx="389">
                  <c:v>8836.3054119643894</c:v>
                </c:pt>
                <c:pt idx="390">
                  <c:v>8779.7039066694542</c:v>
                </c:pt>
                <c:pt idx="391">
                  <c:v>8609.9013499502071</c:v>
                </c:pt>
                <c:pt idx="392">
                  <c:v>8553.3011508071868</c:v>
                </c:pt>
                <c:pt idx="393">
                  <c:v>8496.701278233304</c:v>
                </c:pt>
                <c:pt idx="394">
                  <c:v>8440.1017322410607</c:v>
                </c:pt>
                <c:pt idx="395">
                  <c:v>8383.5025128426823</c:v>
                </c:pt>
                <c:pt idx="396">
                  <c:v>8213.7068143364904</c:v>
                </c:pt>
                <c:pt idx="397">
                  <c:v>8157.1089014389026</c:v>
                </c:pt>
                <c:pt idx="398">
                  <c:v>8100.5113151974228</c:v>
                </c:pt>
                <c:pt idx="399">
                  <c:v>8043.9140556248394</c:v>
                </c:pt>
                <c:pt idx="400">
                  <c:v>7987.3171227335151</c:v>
                </c:pt>
                <c:pt idx="401">
                  <c:v>7817.5282842714469</c:v>
                </c:pt>
                <c:pt idx="402">
                  <c:v>7760.9326582296499</c:v>
                </c:pt>
                <c:pt idx="403">
                  <c:v>7704.3373589313542</c:v>
                </c:pt>
                <c:pt idx="404">
                  <c:v>7647.7423863887843</c:v>
                </c:pt>
                <c:pt idx="405">
                  <c:v>7591.1477406148715</c:v>
                </c:pt>
                <c:pt idx="406">
                  <c:v>7421.3657640288493</c:v>
                </c:pt>
                <c:pt idx="407">
                  <c:v>7364.7724254536233</c:v>
                </c:pt>
                <c:pt idx="408">
                  <c:v>7308.1794137090128</c:v>
                </c:pt>
                <c:pt idx="409">
                  <c:v>7251.5867288078089</c:v>
                </c:pt>
                <c:pt idx="410">
                  <c:v>7194.9943707623725</c:v>
                </c:pt>
                <c:pt idx="411">
                  <c:v>7025.2192578847425</c:v>
                </c:pt>
                <c:pt idx="412">
                  <c:v>6968.6282073868706</c:v>
                </c:pt>
                <c:pt idx="413">
                  <c:v>6912.0374838071539</c:v>
                </c:pt>
                <c:pt idx="414">
                  <c:v>6855.4470871579551</c:v>
                </c:pt>
                <c:pt idx="415">
                  <c:v>6798.8570174517808</c:v>
                </c:pt>
                <c:pt idx="416">
                  <c:v>6629.0887701160273</c:v>
                </c:pt>
                <c:pt idx="417">
                  <c:v>6572.500008306577</c:v>
                </c:pt>
                <c:pt idx="418">
                  <c:v>6515.9115735026771</c:v>
                </c:pt>
                <c:pt idx="419">
                  <c:v>6459.3234657166931</c:v>
                </c:pt>
                <c:pt idx="420">
                  <c:v>6402.7356849609878</c:v>
                </c:pt>
                <c:pt idx="421">
                  <c:v>6232.974305001022</c:v>
                </c:pt>
                <c:pt idx="422">
                  <c:v>6176.3878324916268</c:v>
                </c:pt>
                <c:pt idx="423">
                  <c:v>6119.8016870750398</c:v>
                </c:pt>
                <c:pt idx="424">
                  <c:v>6063.2158687634792</c:v>
                </c:pt>
                <c:pt idx="425">
                  <c:v>6006.6303775697352</c:v>
                </c:pt>
                <c:pt idx="426">
                  <c:v>5836.8758668198952</c:v>
                </c:pt>
                <c:pt idx="427">
                  <c:v>5780.2916842219083</c:v>
                </c:pt>
                <c:pt idx="428">
                  <c:v>5723.707828804123</c:v>
                </c:pt>
                <c:pt idx="429">
                  <c:v>5667.1243005789047</c:v>
                </c:pt>
                <c:pt idx="430">
                  <c:v>5610.5410995589009</c:v>
                </c:pt>
                <c:pt idx="431">
                  <c:v>5440.7934598540924</c:v>
                </c:pt>
                <c:pt idx="432">
                  <c:v>5384.2115677794318</c:v>
                </c:pt>
                <c:pt idx="433">
                  <c:v>5327.6300029722279</c:v>
                </c:pt>
                <c:pt idx="434">
                  <c:v>5271.0487654451308</c:v>
                </c:pt>
                <c:pt idx="435">
                  <c:v>5214.4678552105006</c:v>
                </c:pt>
                <c:pt idx="436">
                  <c:v>5044.7270883869069</c:v>
                </c:pt>
                <c:pt idx="437">
                  <c:v>4988.1474874473497</c:v>
                </c:pt>
                <c:pt idx="438">
                  <c:v>4931.5682138629318</c:v>
                </c:pt>
                <c:pt idx="439">
                  <c:v>4874.989267645873</c:v>
                </c:pt>
                <c:pt idx="440">
                  <c:v>4818.4106488089637</c:v>
                </c:pt>
                <c:pt idx="441">
                  <c:v>4648.6767567029119</c:v>
                </c:pt>
                <c:pt idx="442">
                  <c:v>4592.0994475109464</c:v>
                </c:pt>
                <c:pt idx="443">
                  <c:v>4535.5224657612325</c:v>
                </c:pt>
                <c:pt idx="444">
                  <c:v>4478.9458114667013</c:v>
                </c:pt>
                <c:pt idx="445">
                  <c:v>4422.3694846395747</c:v>
                </c:pt>
                <c:pt idx="446">
                  <c:v>4252.6424690882441</c:v>
                </c:pt>
                <c:pt idx="447">
                  <c:v>4196.0674522560739</c:v>
                </c:pt>
                <c:pt idx="448">
                  <c:v>4139.4927629539779</c:v>
                </c:pt>
                <c:pt idx="449">
                  <c:v>4082.9184011943198</c:v>
                </c:pt>
                <c:pt idx="450">
                  <c:v>4026.3443669894627</c:v>
                </c:pt>
                <c:pt idx="451">
                  <c:v>3856.6242298306006</c:v>
                </c:pt>
                <c:pt idx="452">
                  <c:v>3800.0515059709987</c:v>
                </c:pt>
                <c:pt idx="453">
                  <c:v>3743.4791097288667</c:v>
                </c:pt>
                <c:pt idx="454">
                  <c:v>3686.9070411168532</c:v>
                </c:pt>
                <c:pt idx="455">
                  <c:v>3630.3353001473229</c:v>
                </c:pt>
                <c:pt idx="456">
                  <c:v>3460.6220432191039</c:v>
                </c:pt>
                <c:pt idx="457">
                  <c:v>3404.0516129449825</c:v>
                </c:pt>
                <c:pt idx="458">
                  <c:v>3347.4815103758715</c:v>
                </c:pt>
                <c:pt idx="459">
                  <c:v>3290.9117355244175</c:v>
                </c:pt>
                <c:pt idx="460">
                  <c:v>3234.3422884029847</c:v>
                </c:pt>
                <c:pt idx="461">
                  <c:v>3064.635913544862</c:v>
                </c:pt>
                <c:pt idx="462">
                  <c:v>3008.0677774689948</c:v>
                </c:pt>
                <c:pt idx="463">
                  <c:v>2951.4999691859598</c:v>
                </c:pt>
                <c:pt idx="464">
                  <c:v>2894.9324887082639</c:v>
                </c:pt>
                <c:pt idx="465">
                  <c:v>2838.3653360481276</c:v>
                </c:pt>
                <c:pt idx="466">
                  <c:v>2668.6658450996956</c:v>
                </c:pt>
                <c:pt idx="467">
                  <c:v>2612.100003835707</c:v>
                </c:pt>
                <c:pt idx="468">
                  <c:v>2555.5344904522317</c:v>
                </c:pt>
                <c:pt idx="469">
                  <c:v>2498.9693049613493</c:v>
                </c:pt>
                <c:pt idx="470">
                  <c:v>2442.4044473759918</c:v>
                </c:pt>
                <c:pt idx="471">
                  <c:v>2272.7118421775572</c:v>
                </c:pt>
                <c:pt idx="472">
                  <c:v>2216.148296338929</c:v>
                </c:pt>
                <c:pt idx="473">
                  <c:v>2159.5850784683535</c:v>
                </c:pt>
                <c:pt idx="474">
                  <c:v>2103.0221885783362</c:v>
                </c:pt>
                <c:pt idx="475">
                  <c:v>2046.459626681383</c:v>
                </c:pt>
                <c:pt idx="476">
                  <c:v>1876.7739090736768</c:v>
                </c:pt>
                <c:pt idx="477">
                  <c:v>1820.2126592741763</c:v>
                </c:pt>
                <c:pt idx="478">
                  <c:v>1763.6517375302674</c:v>
                </c:pt>
                <c:pt idx="479">
                  <c:v>1707.0911438547398</c:v>
                </c:pt>
                <c:pt idx="480">
                  <c:v>1650.530878259957</c:v>
                </c:pt>
                <c:pt idx="481">
                  <c:v>1480.8520500852749</c:v>
                </c:pt>
                <c:pt idx="482">
                  <c:v>1424.2930969388115</c:v>
                </c:pt>
                <c:pt idx="483">
                  <c:v>1367.734471935762</c:v>
                </c:pt>
                <c:pt idx="484">
                  <c:v>1311.176175088633</c:v>
                </c:pt>
                <c:pt idx="485">
                  <c:v>1254.6182064100719</c:v>
                </c:pt>
                <c:pt idx="486">
                  <c:v>1084.9462695105672</c:v>
                </c:pt>
                <c:pt idx="487">
                  <c:v>1028.3896136313331</c:v>
                </c:pt>
                <c:pt idx="488">
                  <c:v>971.83328598319463</c:v>
                </c:pt>
                <c:pt idx="489">
                  <c:v>915.27728657879959</c:v>
                </c:pt>
                <c:pt idx="490">
                  <c:v>858.7216154307954</c:v>
                </c:pt>
                <c:pt idx="491">
                  <c:v>689.05657164947343</c:v>
                </c:pt>
                <c:pt idx="492">
                  <c:v>632.50221365180437</c:v>
                </c:pt>
                <c:pt idx="493">
                  <c:v>575.94818397319614</c:v>
                </c:pt>
                <c:pt idx="494">
                  <c:v>519.39448262601218</c:v>
                </c:pt>
                <c:pt idx="495">
                  <c:v>462.84110962275804</c:v>
                </c:pt>
                <c:pt idx="496">
                  <c:v>293.18296080333539</c:v>
                </c:pt>
                <c:pt idx="497">
                  <c:v>236.63090130199294</c:v>
                </c:pt>
                <c:pt idx="498">
                  <c:v>180.07917020739228</c:v>
                </c:pt>
                <c:pt idx="499">
                  <c:v>123.5277675321811</c:v>
                </c:pt>
                <c:pt idx="500">
                  <c:v>66.976693288722799</c:v>
                </c:pt>
                <c:pt idx="501">
                  <c:v>-102.67455872465801</c:v>
                </c:pt>
                <c:pt idx="502">
                  <c:v>-159.2243191149123</c:v>
                </c:pt>
                <c:pt idx="503">
                  <c:v>-215.7737510106017</c:v>
                </c:pt>
                <c:pt idx="504">
                  <c:v>-272.32285439907855</c:v>
                </c:pt>
                <c:pt idx="505">
                  <c:v>-328.8716292676952</c:v>
                </c:pt>
                <c:pt idx="506">
                  <c:v>-498.51598262989683</c:v>
                </c:pt>
                <c:pt idx="507">
                  <c:v>-555.06344329415924</c:v>
                </c:pt>
                <c:pt idx="508">
                  <c:v>-611.61057537574948</c:v>
                </c:pt>
                <c:pt idx="509">
                  <c:v>-668.15737886230409</c:v>
                </c:pt>
                <c:pt idx="510">
                  <c:v>-724.70385374131763</c:v>
                </c:pt>
                <c:pt idx="511">
                  <c:v>-781.25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AA-4A20-B691-9B543829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522121"/>
        <c:axId val="979313259"/>
      </c:lineChart>
      <c:dateAx>
        <c:axId val="2141522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979313259"/>
        <c:crosses val="autoZero"/>
        <c:auto val="1"/>
        <c:lblOffset val="100"/>
        <c:baseTimeUnit val="days"/>
      </c:dateAx>
      <c:valAx>
        <c:axId val="979313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214152212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B42-4F0A-9C8B-D02FDA82F3BE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4B42-4F0A-9C8B-D02FDA82F3BE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4B42-4F0A-9C8B-D02FDA82F3BE}"/>
              </c:ext>
            </c:extLst>
          </c:dPt>
          <c:cat>
            <c:numRef>
              <c:f>'Bond (4)'!$A$16:$A$277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(4)'!$E$16:$E$277</c:f>
              <c:numCache>
                <c:formatCode>0.00</c:formatCode>
                <c:ptCount val="26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4.4586120000000005</c:v>
                </c:pt>
                <c:pt idx="194">
                  <c:v>4.4586120000000005</c:v>
                </c:pt>
                <c:pt idx="195">
                  <c:v>4.4586120000000005</c:v>
                </c:pt>
                <c:pt idx="196">
                  <c:v>4.4586120000000005</c:v>
                </c:pt>
                <c:pt idx="197">
                  <c:v>4.4586120000000005</c:v>
                </c:pt>
                <c:pt idx="198">
                  <c:v>4.4586120000000005</c:v>
                </c:pt>
                <c:pt idx="199">
                  <c:v>4.4586120000000005</c:v>
                </c:pt>
                <c:pt idx="200">
                  <c:v>4.4586120000000005</c:v>
                </c:pt>
                <c:pt idx="201">
                  <c:v>4.4586120000000005</c:v>
                </c:pt>
                <c:pt idx="202">
                  <c:v>4.4586120000000005</c:v>
                </c:pt>
                <c:pt idx="203">
                  <c:v>4.4586120000000005</c:v>
                </c:pt>
                <c:pt idx="204">
                  <c:v>4.4586120000000005</c:v>
                </c:pt>
                <c:pt idx="205">
                  <c:v>4.4586120000000005</c:v>
                </c:pt>
                <c:pt idx="206">
                  <c:v>4.4586120000000005</c:v>
                </c:pt>
                <c:pt idx="207">
                  <c:v>4.4586120000000005</c:v>
                </c:pt>
                <c:pt idx="208">
                  <c:v>4.4586120000000005</c:v>
                </c:pt>
                <c:pt idx="209">
                  <c:v>4.4586120000000005</c:v>
                </c:pt>
                <c:pt idx="210">
                  <c:v>4.4586120000000005</c:v>
                </c:pt>
                <c:pt idx="211">
                  <c:v>4.4586120000000005</c:v>
                </c:pt>
                <c:pt idx="212">
                  <c:v>4.4586120000000005</c:v>
                </c:pt>
                <c:pt idx="213">
                  <c:v>4.4586120000000005</c:v>
                </c:pt>
                <c:pt idx="214">
                  <c:v>4.4586120000000005</c:v>
                </c:pt>
                <c:pt idx="215">
                  <c:v>4.4586120000000005</c:v>
                </c:pt>
                <c:pt idx="216">
                  <c:v>4.4586120000000005</c:v>
                </c:pt>
                <c:pt idx="217">
                  <c:v>4.4586120000000005</c:v>
                </c:pt>
                <c:pt idx="218">
                  <c:v>4.4586120000000005</c:v>
                </c:pt>
                <c:pt idx="219">
                  <c:v>4.4586120000000005</c:v>
                </c:pt>
                <c:pt idx="220">
                  <c:v>4.4586120000000005</c:v>
                </c:pt>
                <c:pt idx="221">
                  <c:v>4.4586120000000005</c:v>
                </c:pt>
                <c:pt idx="222">
                  <c:v>4.4586120000000005</c:v>
                </c:pt>
                <c:pt idx="223">
                  <c:v>4.4586120000000005</c:v>
                </c:pt>
                <c:pt idx="224">
                  <c:v>4.4586120000000005</c:v>
                </c:pt>
                <c:pt idx="225">
                  <c:v>4.4586120000000005</c:v>
                </c:pt>
                <c:pt idx="226">
                  <c:v>4.4586120000000005</c:v>
                </c:pt>
                <c:pt idx="227">
                  <c:v>4.4586120000000005</c:v>
                </c:pt>
                <c:pt idx="228">
                  <c:v>4.4586120000000005</c:v>
                </c:pt>
                <c:pt idx="229">
                  <c:v>4.4586120000000005</c:v>
                </c:pt>
                <c:pt idx="230">
                  <c:v>4.4586120000000005</c:v>
                </c:pt>
                <c:pt idx="231">
                  <c:v>4.4586120000000005</c:v>
                </c:pt>
                <c:pt idx="232">
                  <c:v>4.4586120000000005</c:v>
                </c:pt>
                <c:pt idx="233">
                  <c:v>4.4586120000000005</c:v>
                </c:pt>
                <c:pt idx="234">
                  <c:v>4.4586120000000005</c:v>
                </c:pt>
                <c:pt idx="235">
                  <c:v>4.4586120000000005</c:v>
                </c:pt>
                <c:pt idx="236">
                  <c:v>4.4586120000000005</c:v>
                </c:pt>
                <c:pt idx="237">
                  <c:v>4.4586120000000005</c:v>
                </c:pt>
                <c:pt idx="238">
                  <c:v>4.4586120000000005</c:v>
                </c:pt>
                <c:pt idx="239">
                  <c:v>4.4586120000000005</c:v>
                </c:pt>
                <c:pt idx="240">
                  <c:v>4.4586120000000005</c:v>
                </c:pt>
                <c:pt idx="241">
                  <c:v>4.4586120000000005</c:v>
                </c:pt>
                <c:pt idx="242">
                  <c:v>4.4586120000000005</c:v>
                </c:pt>
                <c:pt idx="243">
                  <c:v>4.4586120000000005</c:v>
                </c:pt>
                <c:pt idx="244">
                  <c:v>4.4586120000000005</c:v>
                </c:pt>
                <c:pt idx="245">
                  <c:v>4.4586120000000005</c:v>
                </c:pt>
                <c:pt idx="246">
                  <c:v>4.4586120000000005</c:v>
                </c:pt>
                <c:pt idx="247">
                  <c:v>4.4586120000000005</c:v>
                </c:pt>
                <c:pt idx="248">
                  <c:v>4.4586120000000005</c:v>
                </c:pt>
                <c:pt idx="249">
                  <c:v>4.4586120000000005</c:v>
                </c:pt>
                <c:pt idx="250">
                  <c:v>4.4586120000000005</c:v>
                </c:pt>
                <c:pt idx="251">
                  <c:v>4.4586120000000005</c:v>
                </c:pt>
                <c:pt idx="252">
                  <c:v>4.4586120000000005</c:v>
                </c:pt>
                <c:pt idx="253">
                  <c:v>4.4586120000000005</c:v>
                </c:pt>
                <c:pt idx="254">
                  <c:v>4.4586120000000005</c:v>
                </c:pt>
                <c:pt idx="255">
                  <c:v>4.4586120000000005</c:v>
                </c:pt>
                <c:pt idx="256">
                  <c:v>4.4586120000000005</c:v>
                </c:pt>
                <c:pt idx="257">
                  <c:v>4.4586120000000005</c:v>
                </c:pt>
                <c:pt idx="258">
                  <c:v>4.4586120000000005</c:v>
                </c:pt>
                <c:pt idx="259">
                  <c:v>4.4586120000000005</c:v>
                </c:pt>
                <c:pt idx="260">
                  <c:v>4.4586120000000005</c:v>
                </c:pt>
                <c:pt idx="261">
                  <c:v>4.4586120000000005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42-4F0A-9C8B-D02FDA82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586951"/>
        <c:axId val="458412805"/>
      </c:lineChart>
      <c:dateAx>
        <c:axId val="281586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458412805"/>
        <c:crosses val="autoZero"/>
        <c:auto val="1"/>
        <c:lblOffset val="100"/>
        <c:baseTimeUnit val="days"/>
      </c:dateAx>
      <c:valAx>
        <c:axId val="458412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2815869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C86-4802-BA10-B4CB23106DA7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7C86-4802-BA10-B4CB23106DA7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7C86-4802-BA10-B4CB23106DA7}"/>
              </c:ext>
            </c:extLst>
          </c:dPt>
          <c:cat>
            <c:numRef>
              <c:f>'Bond (4)'!$A$16:$A$277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(4)'!$C$16:$C$277</c:f>
              <c:numCache>
                <c:formatCode>0.0</c:formatCode>
                <c:ptCount val="26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86-4802-BA10-B4CB23106DA7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4-7C86-4802-BA10-B4CB23106DA7}"/>
              </c:ext>
            </c:extLst>
          </c:dPt>
          <c:cat>
            <c:numRef>
              <c:f>'Bond (4)'!$A$16:$A$277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(4)'!$I$16:$I$277</c:f>
              <c:numCache>
                <c:formatCode>0.0</c:formatCode>
                <c:ptCount val="26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-5275.6103066120922</c:v>
                </c:pt>
                <c:pt idx="194">
                  <c:v>-5155.8233224559081</c:v>
                </c:pt>
                <c:pt idx="195">
                  <c:v>-5036.0215712108402</c:v>
                </c:pt>
                <c:pt idx="196">
                  <c:v>-4676.5276968523358</c:v>
                </c:pt>
                <c:pt idx="197">
                  <c:v>-4556.6668591604575</c:v>
                </c:pt>
                <c:pt idx="198">
                  <c:v>-4436.7912453329191</c:v>
                </c:pt>
                <c:pt idx="199">
                  <c:v>-4316.9008535596877</c:v>
                </c:pt>
                <c:pt idx="200">
                  <c:v>-4196.995682030727</c:v>
                </c:pt>
                <c:pt idx="201">
                  <c:v>-3837.1914708015647</c:v>
                </c:pt>
                <c:pt idx="202">
                  <c:v>-3717.2271621413602</c:v>
                </c:pt>
                <c:pt idx="203">
                  <c:v>-3597.2480646705553</c:v>
                </c:pt>
                <c:pt idx="204">
                  <c:v>-3477.2541765778296</c:v>
                </c:pt>
                <c:pt idx="205">
                  <c:v>-3357.2454960507312</c:v>
                </c:pt>
                <c:pt idx="206">
                  <c:v>-2997.130681744522</c:v>
                </c:pt>
                <c:pt idx="207">
                  <c:v>-2877.0628133592545</c:v>
                </c:pt>
                <c:pt idx="208">
                  <c:v>-2756.9801434770634</c:v>
                </c:pt>
                <c:pt idx="209">
                  <c:v>-2636.8826702856531</c:v>
                </c:pt>
                <c:pt idx="210">
                  <c:v>-2516.7703919714222</c:v>
                </c:pt>
                <c:pt idx="211">
                  <c:v>-2156.3447081535305</c:v>
                </c:pt>
                <c:pt idx="212">
                  <c:v>-2036.17319120916</c:v>
                </c:pt>
                <c:pt idx="213">
                  <c:v>-1915.986860071891</c:v>
                </c:pt>
                <c:pt idx="214">
                  <c:v>-1795.7857129268596</c:v>
                </c:pt>
                <c:pt idx="215">
                  <c:v>-1675.5697479589217</c:v>
                </c:pt>
                <c:pt idx="216">
                  <c:v>-1314.8329279662103</c:v>
                </c:pt>
                <c:pt idx="217">
                  <c:v>-1194.5576735538016</c:v>
                </c:pt>
                <c:pt idx="218">
                  <c:v>-1074.2675922405833</c:v>
                </c:pt>
                <c:pt idx="219">
                  <c:v>-953.96268221026548</c:v>
                </c:pt>
                <c:pt idx="220">
                  <c:v>-833.64294164684543</c:v>
                </c:pt>
                <c:pt idx="221">
                  <c:v>-472.59471858767574</c:v>
                </c:pt>
                <c:pt idx="222">
                  <c:v>-352.21563772113223</c:v>
                </c:pt>
                <c:pt idx="223">
                  <c:v>-231.82171723548163</c:v>
                </c:pt>
                <c:pt idx="224">
                  <c:v>-111.41295531274591</c:v>
                </c:pt>
                <c:pt idx="225">
                  <c:v>9.0106498647946864</c:v>
                </c:pt>
                <c:pt idx="226">
                  <c:v>370.37054311158136</c:v>
                </c:pt>
                <c:pt idx="227">
                  <c:v>490.85353949424825</c:v>
                </c:pt>
                <c:pt idx="228">
                  <c:v>611.35138822539011</c:v>
                </c:pt>
                <c:pt idx="229">
                  <c:v>731.86409112455294</c:v>
                </c:pt>
                <c:pt idx="230">
                  <c:v>852.39165001130823</c:v>
                </c:pt>
                <c:pt idx="231">
                  <c:v>1214.0634807956521</c:v>
                </c:pt>
                <c:pt idx="232">
                  <c:v>1334.6504818327412</c:v>
                </c:pt>
                <c:pt idx="233">
                  <c:v>1455.2523479587508</c:v>
                </c:pt>
                <c:pt idx="234">
                  <c:v>1575.8690809948166</c:v>
                </c:pt>
                <c:pt idx="235">
                  <c:v>1696.500682761769</c:v>
                </c:pt>
                <c:pt idx="236">
                  <c:v>2058.4847186629813</c:v>
                </c:pt>
                <c:pt idx="237">
                  <c:v>2179.1758135698001</c:v>
                </c:pt>
                <c:pt idx="238">
                  <c:v>2299.8817863166696</c:v>
                </c:pt>
                <c:pt idx="239">
                  <c:v>2420.6026387262646</c:v>
                </c:pt>
                <c:pt idx="240">
                  <c:v>2541.3383726208449</c:v>
                </c:pt>
                <c:pt idx="241">
                  <c:v>2903.6348814480334</c:v>
                </c:pt>
                <c:pt idx="242">
                  <c:v>3024.4301595157995</c:v>
                </c:pt>
                <c:pt idx="243">
                  <c:v>3145.2403281859515</c:v>
                </c:pt>
                <c:pt idx="244">
                  <c:v>3266.065389282594</c:v>
                </c:pt>
                <c:pt idx="245">
                  <c:v>3386.9053446295511</c:v>
                </c:pt>
                <c:pt idx="246">
                  <c:v>3749.5145944210235</c:v>
                </c:pt>
                <c:pt idx="247">
                  <c:v>3870.414145017814</c:v>
                </c:pt>
                <c:pt idx="248">
                  <c:v>3991.3285989902797</c:v>
                </c:pt>
                <c:pt idx="249">
                  <c:v>4112.2579581636601</c:v>
                </c:pt>
                <c:pt idx="250">
                  <c:v>4233.2022243640458</c:v>
                </c:pt>
                <c:pt idx="251">
                  <c:v>4486.9683392114021</c:v>
                </c:pt>
                <c:pt idx="252">
                  <c:v>4605.6642947809487</c:v>
                </c:pt>
                <c:pt idx="253">
                  <c:v>4724.3749752395306</c:v>
                </c:pt>
                <c:pt idx="254">
                  <c:v>4843.1003823912251</c:v>
                </c:pt>
                <c:pt idx="255">
                  <c:v>4961.8405180402406</c:v>
                </c:pt>
                <c:pt idx="256">
                  <c:v>5318.1493140125858</c:v>
                </c:pt>
                <c:pt idx="257">
                  <c:v>5436.9483816941174</c:v>
                </c:pt>
                <c:pt idx="258">
                  <c:v>5555.7621868955794</c:v>
                </c:pt>
                <c:pt idx="259">
                  <c:v>5674.5907314231772</c:v>
                </c:pt>
                <c:pt idx="260">
                  <c:v>5793.4340170813994</c:v>
                </c:pt>
                <c:pt idx="261">
                  <c:v>6150.0523389021109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86-4802-BA10-B4CB23106DA7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(4)'!$A$16:$A$277</c:f>
              <c:numCache>
                <c:formatCode>m/d/yyyy</c:formatCode>
                <c:ptCount val="26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</c:numCache>
            </c:numRef>
          </c:cat>
          <c:val>
            <c:numRef>
              <c:f>'Bond (4)'!$H$16:$H$277</c:f>
              <c:numCache>
                <c:formatCode>_(* #,##0.000_);_(* \(#,##0.000\);_(* "-"??_);_(@_)</c:formatCode>
                <c:ptCount val="26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-23762.083072976166</c:v>
                </c:pt>
                <c:pt idx="194">
                  <c:v>-23710.977407501301</c:v>
                </c:pt>
                <c:pt idx="195">
                  <c:v>-23659.856974937553</c:v>
                </c:pt>
                <c:pt idx="196">
                  <c:v>-23506.407056623004</c:v>
                </c:pt>
                <c:pt idx="197">
                  <c:v>-23455.227537612445</c:v>
                </c:pt>
                <c:pt idx="198">
                  <c:v>-23404.033242466227</c:v>
                </c:pt>
                <c:pt idx="199">
                  <c:v>-23352.824169374315</c:v>
                </c:pt>
                <c:pt idx="200">
                  <c:v>-23301.600316526674</c:v>
                </c:pt>
                <c:pt idx="201">
                  <c:v>-23147.840061341467</c:v>
                </c:pt>
                <c:pt idx="202">
                  <c:v>-23096.557071362578</c:v>
                </c:pt>
                <c:pt idx="203">
                  <c:v>-23045.25929257309</c:v>
                </c:pt>
                <c:pt idx="204">
                  <c:v>-22993.946723161684</c:v>
                </c:pt>
                <c:pt idx="205">
                  <c:v>-22942.619361315905</c:v>
                </c:pt>
                <c:pt idx="206">
                  <c:v>-22788.548503053651</c:v>
                </c:pt>
                <c:pt idx="207">
                  <c:v>-22737.1619533497</c:v>
                </c:pt>
                <c:pt idx="208">
                  <c:v>-22685.760602148832</c:v>
                </c:pt>
                <c:pt idx="209">
                  <c:v>-22634.344447638738</c:v>
                </c:pt>
                <c:pt idx="210">
                  <c:v>-22582.913488005826</c:v>
                </c:pt>
                <c:pt idx="211">
                  <c:v>-22428.53176023189</c:v>
                </c:pt>
                <c:pt idx="212">
                  <c:v>-22377.041561968839</c:v>
                </c:pt>
                <c:pt idx="213">
                  <c:v>-22325.53654951289</c:v>
                </c:pt>
                <c:pt idx="214">
                  <c:v>-22274.016721049178</c:v>
                </c:pt>
                <c:pt idx="215">
                  <c:v>-22222.482074762556</c:v>
                </c:pt>
                <c:pt idx="216">
                  <c:v>-22067.7892108138</c:v>
                </c:pt>
                <c:pt idx="217">
                  <c:v>-22016.195275082708</c:v>
                </c:pt>
                <c:pt idx="218">
                  <c:v>-21964.586512450809</c:v>
                </c:pt>
                <c:pt idx="219">
                  <c:v>-21912.962921101811</c:v>
                </c:pt>
                <c:pt idx="220">
                  <c:v>-21861.324499219707</c:v>
                </c:pt>
                <c:pt idx="221">
                  <c:v>-21706.320232204493</c:v>
                </c:pt>
                <c:pt idx="222">
                  <c:v>-21654.622470019265</c:v>
                </c:pt>
                <c:pt idx="223">
                  <c:v>-21602.909868214934</c:v>
                </c:pt>
                <c:pt idx="224">
                  <c:v>-21551.182424973518</c:v>
                </c:pt>
                <c:pt idx="225">
                  <c:v>-21499.440138477297</c:v>
                </c:pt>
                <c:pt idx="226">
                  <c:v>-21344.124201274466</c:v>
                </c:pt>
                <c:pt idx="227">
                  <c:v>-21292.322523573119</c:v>
                </c:pt>
                <c:pt idx="228">
                  <c:v>-21240.5059935233</c:v>
                </c:pt>
                <c:pt idx="229">
                  <c:v>-21188.674609305453</c:v>
                </c:pt>
                <c:pt idx="230">
                  <c:v>-21136.828369100014</c:v>
                </c:pt>
                <c:pt idx="231">
                  <c:v>-20981.200494359626</c:v>
                </c:pt>
                <c:pt idx="232">
                  <c:v>-20929.29481200386</c:v>
                </c:pt>
                <c:pt idx="233">
                  <c:v>-20877.374264559166</c:v>
                </c:pt>
                <c:pt idx="234">
                  <c:v>-20825.43885020442</c:v>
                </c:pt>
                <c:pt idx="235">
                  <c:v>-20773.488567118788</c:v>
                </c:pt>
                <c:pt idx="236">
                  <c:v>-20617.548487261531</c:v>
                </c:pt>
                <c:pt idx="237">
                  <c:v>-20565.538711036028</c:v>
                </c:pt>
                <c:pt idx="238">
                  <c:v>-20513.514056970478</c:v>
                </c:pt>
                <c:pt idx="239">
                  <c:v>-20461.474523242203</c:v>
                </c:pt>
                <c:pt idx="240">
                  <c:v>-20409.420108028939</c:v>
                </c:pt>
                <c:pt idx="241">
                  <c:v>-20253.167555245709</c:v>
                </c:pt>
                <c:pt idx="242">
                  <c:v>-20201.053595859263</c:v>
                </c:pt>
                <c:pt idx="243">
                  <c:v>-20148.92474587043</c:v>
                </c:pt>
                <c:pt idx="244">
                  <c:v>-20096.781003455108</c:v>
                </c:pt>
                <c:pt idx="245">
                  <c:v>-20044.622366789466</c:v>
                </c:pt>
                <c:pt idx="246">
                  <c:v>-19888.057073041949</c:v>
                </c:pt>
                <c:pt idx="247">
                  <c:v>-19835.838841126475</c:v>
                </c:pt>
                <c:pt idx="248">
                  <c:v>-19783.605705835329</c:v>
                </c:pt>
                <c:pt idx="249">
                  <c:v>-19731.357665343268</c:v>
                </c:pt>
                <c:pt idx="250">
                  <c:v>-19679.094717824199</c:v>
                </c:pt>
                <c:pt idx="251">
                  <c:v>-19629.879486875554</c:v>
                </c:pt>
                <c:pt idx="252">
                  <c:v>-19579.118313914703</c:v>
                </c:pt>
                <c:pt idx="253">
                  <c:v>-19528.342416064817</c:v>
                </c:pt>
                <c:pt idx="254">
                  <c:v>-19477.551791521819</c:v>
                </c:pt>
                <c:pt idx="255">
                  <c:v>-19426.746438481499</c:v>
                </c:pt>
                <c:pt idx="256">
                  <c:v>-19274.241990335242</c:v>
                </c:pt>
                <c:pt idx="257">
                  <c:v>-19223.377705262406</c:v>
                </c:pt>
                <c:pt idx="258">
                  <c:v>-19172.49868266964</c:v>
                </c:pt>
                <c:pt idx="259">
                  <c:v>-19121.604920750739</c:v>
                </c:pt>
                <c:pt idx="260">
                  <c:v>-19070.696417701212</c:v>
                </c:pt>
                <c:pt idx="261">
                  <c:v>-18917.882443706589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6-4802-BA10-B4CB2310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239247"/>
        <c:axId val="883657272"/>
      </c:lineChart>
      <c:dateAx>
        <c:axId val="139223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883657272"/>
        <c:crosses val="autoZero"/>
        <c:auto val="1"/>
        <c:lblOffset val="100"/>
        <c:baseTimeUnit val="days"/>
      </c:dateAx>
      <c:valAx>
        <c:axId val="883657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392239247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0884814817959844"/>
          <c:w val="0.71661492313460806"/>
          <c:h val="0.49135251568374261"/>
        </c:manualLayout>
      </c:layout>
      <c:lineChart>
        <c:grouping val="standard"/>
        <c:varyColors val="0"/>
        <c:ser>
          <c:idx val="0"/>
          <c:order val="0"/>
          <c:tx>
            <c:v>YAS_BOND_YLD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90A-49EA-B18E-95230557AE62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690A-49EA-B18E-95230557AE62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690A-49EA-B18E-95230557AE62}"/>
              </c:ext>
            </c:extLst>
          </c:dPt>
          <c:cat>
            <c:numRef>
              <c:f>'Bond (4)'!$A$16:$A$527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(4)'!$E$16:$E$527</c:f>
              <c:numCache>
                <c:formatCode>0.00</c:formatCode>
                <c:ptCount val="512"/>
                <c:pt idx="0">
                  <c:v>2.458612</c:v>
                </c:pt>
                <c:pt idx="1">
                  <c:v>2.458612</c:v>
                </c:pt>
                <c:pt idx="2">
                  <c:v>2.458612</c:v>
                </c:pt>
                <c:pt idx="3">
                  <c:v>2.458612</c:v>
                </c:pt>
                <c:pt idx="4">
                  <c:v>2.458612</c:v>
                </c:pt>
                <c:pt idx="5">
                  <c:v>2.458612</c:v>
                </c:pt>
                <c:pt idx="6">
                  <c:v>2.458612</c:v>
                </c:pt>
                <c:pt idx="7">
                  <c:v>2.458612</c:v>
                </c:pt>
                <c:pt idx="8">
                  <c:v>2.458612</c:v>
                </c:pt>
                <c:pt idx="9">
                  <c:v>2.458612</c:v>
                </c:pt>
                <c:pt idx="10">
                  <c:v>2.458612</c:v>
                </c:pt>
                <c:pt idx="11">
                  <c:v>2.458612</c:v>
                </c:pt>
                <c:pt idx="12">
                  <c:v>2.458612</c:v>
                </c:pt>
                <c:pt idx="13">
                  <c:v>2.458612</c:v>
                </c:pt>
                <c:pt idx="14">
                  <c:v>2.458612</c:v>
                </c:pt>
                <c:pt idx="15">
                  <c:v>2.458612</c:v>
                </c:pt>
                <c:pt idx="16">
                  <c:v>2.458612</c:v>
                </c:pt>
                <c:pt idx="17">
                  <c:v>2.458612</c:v>
                </c:pt>
                <c:pt idx="18">
                  <c:v>2.458612</c:v>
                </c:pt>
                <c:pt idx="19">
                  <c:v>2.458612</c:v>
                </c:pt>
                <c:pt idx="20">
                  <c:v>2.458612</c:v>
                </c:pt>
                <c:pt idx="21">
                  <c:v>2.458612</c:v>
                </c:pt>
                <c:pt idx="22">
                  <c:v>2.458612</c:v>
                </c:pt>
                <c:pt idx="23">
                  <c:v>2.458612</c:v>
                </c:pt>
                <c:pt idx="24">
                  <c:v>2.458612</c:v>
                </c:pt>
                <c:pt idx="25">
                  <c:v>2.458612</c:v>
                </c:pt>
                <c:pt idx="26">
                  <c:v>2.458612</c:v>
                </c:pt>
                <c:pt idx="27">
                  <c:v>2.458612</c:v>
                </c:pt>
                <c:pt idx="28">
                  <c:v>2.458612</c:v>
                </c:pt>
                <c:pt idx="29">
                  <c:v>2.458612</c:v>
                </c:pt>
                <c:pt idx="30">
                  <c:v>2.458612</c:v>
                </c:pt>
                <c:pt idx="31">
                  <c:v>2.458612</c:v>
                </c:pt>
                <c:pt idx="32">
                  <c:v>2.458612</c:v>
                </c:pt>
                <c:pt idx="33">
                  <c:v>2.458612</c:v>
                </c:pt>
                <c:pt idx="34">
                  <c:v>2.458612</c:v>
                </c:pt>
                <c:pt idx="35">
                  <c:v>2.458612</c:v>
                </c:pt>
                <c:pt idx="36">
                  <c:v>2.458612</c:v>
                </c:pt>
                <c:pt idx="37">
                  <c:v>2.458612</c:v>
                </c:pt>
                <c:pt idx="38">
                  <c:v>2.458612</c:v>
                </c:pt>
                <c:pt idx="39">
                  <c:v>2.458612</c:v>
                </c:pt>
                <c:pt idx="40">
                  <c:v>2.458612</c:v>
                </c:pt>
                <c:pt idx="41">
                  <c:v>2.458612</c:v>
                </c:pt>
                <c:pt idx="42">
                  <c:v>2.458612</c:v>
                </c:pt>
                <c:pt idx="43">
                  <c:v>2.458612</c:v>
                </c:pt>
                <c:pt idx="44">
                  <c:v>2.458612</c:v>
                </c:pt>
                <c:pt idx="45">
                  <c:v>2.458612</c:v>
                </c:pt>
                <c:pt idx="46">
                  <c:v>2.458612</c:v>
                </c:pt>
                <c:pt idx="47">
                  <c:v>2.458612</c:v>
                </c:pt>
                <c:pt idx="48">
                  <c:v>2.458612</c:v>
                </c:pt>
                <c:pt idx="49">
                  <c:v>2.458612</c:v>
                </c:pt>
                <c:pt idx="50">
                  <c:v>2.458612</c:v>
                </c:pt>
                <c:pt idx="51">
                  <c:v>2.458612</c:v>
                </c:pt>
                <c:pt idx="52">
                  <c:v>2.458612</c:v>
                </c:pt>
                <c:pt idx="53">
                  <c:v>2.458612</c:v>
                </c:pt>
                <c:pt idx="54">
                  <c:v>2.458612</c:v>
                </c:pt>
                <c:pt idx="55">
                  <c:v>2.458612</c:v>
                </c:pt>
                <c:pt idx="56">
                  <c:v>2.458612</c:v>
                </c:pt>
                <c:pt idx="57">
                  <c:v>2.458612</c:v>
                </c:pt>
                <c:pt idx="58">
                  <c:v>2.458612</c:v>
                </c:pt>
                <c:pt idx="59">
                  <c:v>2.458612</c:v>
                </c:pt>
                <c:pt idx="60">
                  <c:v>2.458612</c:v>
                </c:pt>
                <c:pt idx="61">
                  <c:v>2.458612</c:v>
                </c:pt>
                <c:pt idx="62">
                  <c:v>2.458612</c:v>
                </c:pt>
                <c:pt idx="63">
                  <c:v>2.458612</c:v>
                </c:pt>
                <c:pt idx="64">
                  <c:v>2.458612</c:v>
                </c:pt>
                <c:pt idx="65">
                  <c:v>2.458612</c:v>
                </c:pt>
                <c:pt idx="66">
                  <c:v>2.458612</c:v>
                </c:pt>
                <c:pt idx="67">
                  <c:v>2.458612</c:v>
                </c:pt>
                <c:pt idx="68">
                  <c:v>2.458612</c:v>
                </c:pt>
                <c:pt idx="69">
                  <c:v>2.458612</c:v>
                </c:pt>
                <c:pt idx="70">
                  <c:v>2.458612</c:v>
                </c:pt>
                <c:pt idx="71">
                  <c:v>2.458612</c:v>
                </c:pt>
                <c:pt idx="72">
                  <c:v>2.458612</c:v>
                </c:pt>
                <c:pt idx="73">
                  <c:v>2.458612</c:v>
                </c:pt>
                <c:pt idx="74">
                  <c:v>2.458612</c:v>
                </c:pt>
                <c:pt idx="75">
                  <c:v>2.458612</c:v>
                </c:pt>
                <c:pt idx="76">
                  <c:v>2.458612</c:v>
                </c:pt>
                <c:pt idx="77">
                  <c:v>2.458612</c:v>
                </c:pt>
                <c:pt idx="78">
                  <c:v>2.458612</c:v>
                </c:pt>
                <c:pt idx="79">
                  <c:v>2.458612</c:v>
                </c:pt>
                <c:pt idx="80">
                  <c:v>2.458612</c:v>
                </c:pt>
                <c:pt idx="81">
                  <c:v>2.458612</c:v>
                </c:pt>
                <c:pt idx="82">
                  <c:v>2.458612</c:v>
                </c:pt>
                <c:pt idx="83">
                  <c:v>2.458612</c:v>
                </c:pt>
                <c:pt idx="84">
                  <c:v>2.458612</c:v>
                </c:pt>
                <c:pt idx="85">
                  <c:v>2.458612</c:v>
                </c:pt>
                <c:pt idx="86">
                  <c:v>2.458612</c:v>
                </c:pt>
                <c:pt idx="87">
                  <c:v>2.458612</c:v>
                </c:pt>
                <c:pt idx="88">
                  <c:v>2.458612</c:v>
                </c:pt>
                <c:pt idx="89">
                  <c:v>2.458612</c:v>
                </c:pt>
                <c:pt idx="90">
                  <c:v>2.458612</c:v>
                </c:pt>
                <c:pt idx="91">
                  <c:v>2.458612</c:v>
                </c:pt>
                <c:pt idx="92">
                  <c:v>2.458612</c:v>
                </c:pt>
                <c:pt idx="93">
                  <c:v>2.458612</c:v>
                </c:pt>
                <c:pt idx="94">
                  <c:v>2.458612</c:v>
                </c:pt>
                <c:pt idx="95">
                  <c:v>2.458612</c:v>
                </c:pt>
                <c:pt idx="96">
                  <c:v>2.458612</c:v>
                </c:pt>
                <c:pt idx="97">
                  <c:v>2.458612</c:v>
                </c:pt>
                <c:pt idx="98">
                  <c:v>2.458612</c:v>
                </c:pt>
                <c:pt idx="99">
                  <c:v>2.458612</c:v>
                </c:pt>
                <c:pt idx="100">
                  <c:v>2.458612</c:v>
                </c:pt>
                <c:pt idx="101">
                  <c:v>2.458612</c:v>
                </c:pt>
                <c:pt idx="102">
                  <c:v>2.458612</c:v>
                </c:pt>
                <c:pt idx="103">
                  <c:v>2.458612</c:v>
                </c:pt>
                <c:pt idx="104">
                  <c:v>2.458612</c:v>
                </c:pt>
                <c:pt idx="105">
                  <c:v>2.458612</c:v>
                </c:pt>
                <c:pt idx="106">
                  <c:v>2.458612</c:v>
                </c:pt>
                <c:pt idx="107">
                  <c:v>2.458612</c:v>
                </c:pt>
                <c:pt idx="108">
                  <c:v>2.458612</c:v>
                </c:pt>
                <c:pt idx="109">
                  <c:v>2.458612</c:v>
                </c:pt>
                <c:pt idx="110">
                  <c:v>2.458612</c:v>
                </c:pt>
                <c:pt idx="111">
                  <c:v>2.458612</c:v>
                </c:pt>
                <c:pt idx="112">
                  <c:v>2.458612</c:v>
                </c:pt>
                <c:pt idx="113">
                  <c:v>2.458612</c:v>
                </c:pt>
                <c:pt idx="114">
                  <c:v>2.458612</c:v>
                </c:pt>
                <c:pt idx="115">
                  <c:v>2.458612</c:v>
                </c:pt>
                <c:pt idx="116">
                  <c:v>2.458612</c:v>
                </c:pt>
                <c:pt idx="117">
                  <c:v>2.458612</c:v>
                </c:pt>
                <c:pt idx="118">
                  <c:v>2.458612</c:v>
                </c:pt>
                <c:pt idx="119">
                  <c:v>2.458612</c:v>
                </c:pt>
                <c:pt idx="120">
                  <c:v>2.458612</c:v>
                </c:pt>
                <c:pt idx="121">
                  <c:v>2.458612</c:v>
                </c:pt>
                <c:pt idx="122">
                  <c:v>2.458612</c:v>
                </c:pt>
                <c:pt idx="123">
                  <c:v>2.458612</c:v>
                </c:pt>
                <c:pt idx="124">
                  <c:v>2.458612</c:v>
                </c:pt>
                <c:pt idx="125">
                  <c:v>2.458612</c:v>
                </c:pt>
                <c:pt idx="126">
                  <c:v>2.458612</c:v>
                </c:pt>
                <c:pt idx="127">
                  <c:v>2.458612</c:v>
                </c:pt>
                <c:pt idx="128">
                  <c:v>2.458612</c:v>
                </c:pt>
                <c:pt idx="129">
                  <c:v>2.458612</c:v>
                </c:pt>
                <c:pt idx="130">
                  <c:v>2.458612</c:v>
                </c:pt>
                <c:pt idx="131">
                  <c:v>2.458612</c:v>
                </c:pt>
                <c:pt idx="132">
                  <c:v>2.458612</c:v>
                </c:pt>
                <c:pt idx="133">
                  <c:v>2.458612</c:v>
                </c:pt>
                <c:pt idx="134">
                  <c:v>2.458612</c:v>
                </c:pt>
                <c:pt idx="135">
                  <c:v>2.458612</c:v>
                </c:pt>
                <c:pt idx="136">
                  <c:v>2.458612</c:v>
                </c:pt>
                <c:pt idx="137">
                  <c:v>2.458612</c:v>
                </c:pt>
                <c:pt idx="138">
                  <c:v>2.458612</c:v>
                </c:pt>
                <c:pt idx="139">
                  <c:v>2.458612</c:v>
                </c:pt>
                <c:pt idx="140">
                  <c:v>2.458612</c:v>
                </c:pt>
                <c:pt idx="141">
                  <c:v>2.458612</c:v>
                </c:pt>
                <c:pt idx="142">
                  <c:v>2.458612</c:v>
                </c:pt>
                <c:pt idx="143">
                  <c:v>2.458612</c:v>
                </c:pt>
                <c:pt idx="144">
                  <c:v>2.458612</c:v>
                </c:pt>
                <c:pt idx="145">
                  <c:v>2.458612</c:v>
                </c:pt>
                <c:pt idx="146">
                  <c:v>2.458612</c:v>
                </c:pt>
                <c:pt idx="147">
                  <c:v>2.458612</c:v>
                </c:pt>
                <c:pt idx="148">
                  <c:v>2.458612</c:v>
                </c:pt>
                <c:pt idx="149">
                  <c:v>2.458612</c:v>
                </c:pt>
                <c:pt idx="150">
                  <c:v>2.458612</c:v>
                </c:pt>
                <c:pt idx="151">
                  <c:v>2.458612</c:v>
                </c:pt>
                <c:pt idx="152">
                  <c:v>2.458612</c:v>
                </c:pt>
                <c:pt idx="153">
                  <c:v>2.458612</c:v>
                </c:pt>
                <c:pt idx="154">
                  <c:v>2.458612</c:v>
                </c:pt>
                <c:pt idx="155">
                  <c:v>2.458612</c:v>
                </c:pt>
                <c:pt idx="156">
                  <c:v>2.458612</c:v>
                </c:pt>
                <c:pt idx="157">
                  <c:v>2.458612</c:v>
                </c:pt>
                <c:pt idx="158">
                  <c:v>2.458612</c:v>
                </c:pt>
                <c:pt idx="159">
                  <c:v>2.458612</c:v>
                </c:pt>
                <c:pt idx="160">
                  <c:v>2.458612</c:v>
                </c:pt>
                <c:pt idx="161">
                  <c:v>2.458612</c:v>
                </c:pt>
                <c:pt idx="162">
                  <c:v>2.458612</c:v>
                </c:pt>
                <c:pt idx="163">
                  <c:v>2.458612</c:v>
                </c:pt>
                <c:pt idx="164">
                  <c:v>2.458612</c:v>
                </c:pt>
                <c:pt idx="165">
                  <c:v>2.458612</c:v>
                </c:pt>
                <c:pt idx="166">
                  <c:v>2.458612</c:v>
                </c:pt>
                <c:pt idx="167">
                  <c:v>2.458612</c:v>
                </c:pt>
                <c:pt idx="168">
                  <c:v>2.458612</c:v>
                </c:pt>
                <c:pt idx="169">
                  <c:v>2.458612</c:v>
                </c:pt>
                <c:pt idx="170">
                  <c:v>2.458612</c:v>
                </c:pt>
                <c:pt idx="171">
                  <c:v>2.458612</c:v>
                </c:pt>
                <c:pt idx="172">
                  <c:v>2.458612</c:v>
                </c:pt>
                <c:pt idx="173">
                  <c:v>2.458612</c:v>
                </c:pt>
                <c:pt idx="174">
                  <c:v>2.458612</c:v>
                </c:pt>
                <c:pt idx="175">
                  <c:v>2.458612</c:v>
                </c:pt>
                <c:pt idx="176">
                  <c:v>2.458612</c:v>
                </c:pt>
                <c:pt idx="177">
                  <c:v>2.458612</c:v>
                </c:pt>
                <c:pt idx="178">
                  <c:v>2.458612</c:v>
                </c:pt>
                <c:pt idx="179">
                  <c:v>2.458612</c:v>
                </c:pt>
                <c:pt idx="180">
                  <c:v>2.458612</c:v>
                </c:pt>
                <c:pt idx="181">
                  <c:v>2.458612</c:v>
                </c:pt>
                <c:pt idx="182">
                  <c:v>2.458612</c:v>
                </c:pt>
                <c:pt idx="183">
                  <c:v>2.458612</c:v>
                </c:pt>
                <c:pt idx="184">
                  <c:v>2.458612</c:v>
                </c:pt>
                <c:pt idx="185">
                  <c:v>2.458612</c:v>
                </c:pt>
                <c:pt idx="186">
                  <c:v>2.458612</c:v>
                </c:pt>
                <c:pt idx="187">
                  <c:v>2.458612</c:v>
                </c:pt>
                <c:pt idx="188">
                  <c:v>2.458612</c:v>
                </c:pt>
                <c:pt idx="189">
                  <c:v>2.458612</c:v>
                </c:pt>
                <c:pt idx="190">
                  <c:v>2.458612</c:v>
                </c:pt>
                <c:pt idx="191">
                  <c:v>2.458612</c:v>
                </c:pt>
                <c:pt idx="192">
                  <c:v>2.458612</c:v>
                </c:pt>
                <c:pt idx="193">
                  <c:v>4.4586120000000005</c:v>
                </c:pt>
                <c:pt idx="194">
                  <c:v>4.4586120000000005</c:v>
                </c:pt>
                <c:pt idx="195">
                  <c:v>4.4586120000000005</c:v>
                </c:pt>
                <c:pt idx="196">
                  <c:v>4.4586120000000005</c:v>
                </c:pt>
                <c:pt idx="197">
                  <c:v>4.4586120000000005</c:v>
                </c:pt>
                <c:pt idx="198">
                  <c:v>4.4586120000000005</c:v>
                </c:pt>
                <c:pt idx="199">
                  <c:v>4.4586120000000005</c:v>
                </c:pt>
                <c:pt idx="200">
                  <c:v>4.4586120000000005</c:v>
                </c:pt>
                <c:pt idx="201">
                  <c:v>4.4586120000000005</c:v>
                </c:pt>
                <c:pt idx="202">
                  <c:v>4.4586120000000005</c:v>
                </c:pt>
                <c:pt idx="203">
                  <c:v>4.4586120000000005</c:v>
                </c:pt>
                <c:pt idx="204">
                  <c:v>4.4586120000000005</c:v>
                </c:pt>
                <c:pt idx="205">
                  <c:v>4.4586120000000005</c:v>
                </c:pt>
                <c:pt idx="206">
                  <c:v>4.4586120000000005</c:v>
                </c:pt>
                <c:pt idx="207">
                  <c:v>4.4586120000000005</c:v>
                </c:pt>
                <c:pt idx="208">
                  <c:v>4.4586120000000005</c:v>
                </c:pt>
                <c:pt idx="209">
                  <c:v>4.4586120000000005</c:v>
                </c:pt>
                <c:pt idx="210">
                  <c:v>4.4586120000000005</c:v>
                </c:pt>
                <c:pt idx="211">
                  <c:v>4.4586120000000005</c:v>
                </c:pt>
                <c:pt idx="212">
                  <c:v>4.4586120000000005</c:v>
                </c:pt>
                <c:pt idx="213">
                  <c:v>4.4586120000000005</c:v>
                </c:pt>
                <c:pt idx="214">
                  <c:v>4.4586120000000005</c:v>
                </c:pt>
                <c:pt idx="215">
                  <c:v>4.4586120000000005</c:v>
                </c:pt>
                <c:pt idx="216">
                  <c:v>4.4586120000000005</c:v>
                </c:pt>
                <c:pt idx="217">
                  <c:v>4.4586120000000005</c:v>
                </c:pt>
                <c:pt idx="218">
                  <c:v>4.4586120000000005</c:v>
                </c:pt>
                <c:pt idx="219">
                  <c:v>4.4586120000000005</c:v>
                </c:pt>
                <c:pt idx="220">
                  <c:v>4.4586120000000005</c:v>
                </c:pt>
                <c:pt idx="221">
                  <c:v>4.4586120000000005</c:v>
                </c:pt>
                <c:pt idx="222">
                  <c:v>4.4586120000000005</c:v>
                </c:pt>
                <c:pt idx="223">
                  <c:v>4.4586120000000005</c:v>
                </c:pt>
                <c:pt idx="224">
                  <c:v>4.4586120000000005</c:v>
                </c:pt>
                <c:pt idx="225">
                  <c:v>4.4586120000000005</c:v>
                </c:pt>
                <c:pt idx="226">
                  <c:v>4.4586120000000005</c:v>
                </c:pt>
                <c:pt idx="227">
                  <c:v>4.4586120000000005</c:v>
                </c:pt>
                <c:pt idx="228">
                  <c:v>4.4586120000000005</c:v>
                </c:pt>
                <c:pt idx="229">
                  <c:v>4.4586120000000005</c:v>
                </c:pt>
                <c:pt idx="230">
                  <c:v>4.4586120000000005</c:v>
                </c:pt>
                <c:pt idx="231">
                  <c:v>4.4586120000000005</c:v>
                </c:pt>
                <c:pt idx="232">
                  <c:v>4.4586120000000005</c:v>
                </c:pt>
                <c:pt idx="233">
                  <c:v>4.4586120000000005</c:v>
                </c:pt>
                <c:pt idx="234">
                  <c:v>4.4586120000000005</c:v>
                </c:pt>
                <c:pt idx="235">
                  <c:v>4.4586120000000005</c:v>
                </c:pt>
                <c:pt idx="236">
                  <c:v>4.4586120000000005</c:v>
                </c:pt>
                <c:pt idx="237">
                  <c:v>4.4586120000000005</c:v>
                </c:pt>
                <c:pt idx="238">
                  <c:v>4.4586120000000005</c:v>
                </c:pt>
                <c:pt idx="239">
                  <c:v>4.4586120000000005</c:v>
                </c:pt>
                <c:pt idx="240">
                  <c:v>4.4586120000000005</c:v>
                </c:pt>
                <c:pt idx="241">
                  <c:v>4.4586120000000005</c:v>
                </c:pt>
                <c:pt idx="242">
                  <c:v>4.4586120000000005</c:v>
                </c:pt>
                <c:pt idx="243">
                  <c:v>4.4586120000000005</c:v>
                </c:pt>
                <c:pt idx="244">
                  <c:v>4.4586120000000005</c:v>
                </c:pt>
                <c:pt idx="245">
                  <c:v>4.4586120000000005</c:v>
                </c:pt>
                <c:pt idx="246">
                  <c:v>4.4586120000000005</c:v>
                </c:pt>
                <c:pt idx="247">
                  <c:v>4.4586120000000005</c:v>
                </c:pt>
                <c:pt idx="248">
                  <c:v>4.4586120000000005</c:v>
                </c:pt>
                <c:pt idx="249">
                  <c:v>4.4586120000000005</c:v>
                </c:pt>
                <c:pt idx="250">
                  <c:v>4.4586120000000005</c:v>
                </c:pt>
                <c:pt idx="251">
                  <c:v>4.4586120000000005</c:v>
                </c:pt>
                <c:pt idx="252">
                  <c:v>4.4586120000000005</c:v>
                </c:pt>
                <c:pt idx="253">
                  <c:v>4.4586120000000005</c:v>
                </c:pt>
                <c:pt idx="254">
                  <c:v>4.4586120000000005</c:v>
                </c:pt>
                <c:pt idx="255">
                  <c:v>4.4586120000000005</c:v>
                </c:pt>
                <c:pt idx="256">
                  <c:v>4.4586120000000005</c:v>
                </c:pt>
                <c:pt idx="257">
                  <c:v>4.4586120000000005</c:v>
                </c:pt>
                <c:pt idx="258">
                  <c:v>4.4586120000000005</c:v>
                </c:pt>
                <c:pt idx="259">
                  <c:v>4.4586120000000005</c:v>
                </c:pt>
                <c:pt idx="260">
                  <c:v>4.4586120000000005</c:v>
                </c:pt>
                <c:pt idx="261">
                  <c:v>4.4586120000000005</c:v>
                </c:pt>
                <c:pt idx="262">
                  <c:v>4.4586120000000005</c:v>
                </c:pt>
                <c:pt idx="263">
                  <c:v>4.4586120000000005</c:v>
                </c:pt>
                <c:pt idx="264">
                  <c:v>4.4586120000000005</c:v>
                </c:pt>
                <c:pt idx="265">
                  <c:v>4.4586120000000005</c:v>
                </c:pt>
                <c:pt idx="266">
                  <c:v>4.4586120000000005</c:v>
                </c:pt>
                <c:pt idx="267">
                  <c:v>4.4586120000000005</c:v>
                </c:pt>
                <c:pt idx="268">
                  <c:v>4.4586120000000005</c:v>
                </c:pt>
                <c:pt idx="269">
                  <c:v>4.4586120000000005</c:v>
                </c:pt>
                <c:pt idx="270">
                  <c:v>4.4586120000000005</c:v>
                </c:pt>
                <c:pt idx="271">
                  <c:v>4.4586120000000005</c:v>
                </c:pt>
                <c:pt idx="272">
                  <c:v>4.4586120000000005</c:v>
                </c:pt>
                <c:pt idx="273">
                  <c:v>4.4586120000000005</c:v>
                </c:pt>
                <c:pt idx="274">
                  <c:v>4.4586120000000005</c:v>
                </c:pt>
                <c:pt idx="275">
                  <c:v>4.4586120000000005</c:v>
                </c:pt>
                <c:pt idx="276">
                  <c:v>4.4586120000000005</c:v>
                </c:pt>
                <c:pt idx="277">
                  <c:v>4.4586120000000005</c:v>
                </c:pt>
                <c:pt idx="278">
                  <c:v>4.4586120000000005</c:v>
                </c:pt>
                <c:pt idx="279">
                  <c:v>4.4586120000000005</c:v>
                </c:pt>
                <c:pt idx="280">
                  <c:v>4.4586120000000005</c:v>
                </c:pt>
                <c:pt idx="281">
                  <c:v>4.4586120000000005</c:v>
                </c:pt>
                <c:pt idx="282">
                  <c:v>4.4586120000000005</c:v>
                </c:pt>
                <c:pt idx="283">
                  <c:v>4.4586120000000005</c:v>
                </c:pt>
                <c:pt idx="284">
                  <c:v>4.4586120000000005</c:v>
                </c:pt>
                <c:pt idx="285">
                  <c:v>4.4586120000000005</c:v>
                </c:pt>
                <c:pt idx="286">
                  <c:v>4.4586120000000005</c:v>
                </c:pt>
                <c:pt idx="287">
                  <c:v>4.4586120000000005</c:v>
                </c:pt>
                <c:pt idx="288">
                  <c:v>4.4586120000000005</c:v>
                </c:pt>
                <c:pt idx="289">
                  <c:v>4.4586120000000005</c:v>
                </c:pt>
                <c:pt idx="290">
                  <c:v>4.4586120000000005</c:v>
                </c:pt>
                <c:pt idx="291">
                  <c:v>4.4586120000000005</c:v>
                </c:pt>
                <c:pt idx="292">
                  <c:v>4.4586120000000005</c:v>
                </c:pt>
                <c:pt idx="293">
                  <c:v>4.4586120000000005</c:v>
                </c:pt>
                <c:pt idx="294">
                  <c:v>4.4586120000000005</c:v>
                </c:pt>
                <c:pt idx="295">
                  <c:v>4.4586120000000005</c:v>
                </c:pt>
                <c:pt idx="296">
                  <c:v>4.4586120000000005</c:v>
                </c:pt>
                <c:pt idx="297">
                  <c:v>4.4586120000000005</c:v>
                </c:pt>
                <c:pt idx="298">
                  <c:v>4.4586120000000005</c:v>
                </c:pt>
                <c:pt idx="299">
                  <c:v>4.4586120000000005</c:v>
                </c:pt>
                <c:pt idx="300">
                  <c:v>4.4586120000000005</c:v>
                </c:pt>
                <c:pt idx="301">
                  <c:v>4.4586120000000005</c:v>
                </c:pt>
                <c:pt idx="302">
                  <c:v>4.4586120000000005</c:v>
                </c:pt>
                <c:pt idx="303">
                  <c:v>4.4586120000000005</c:v>
                </c:pt>
                <c:pt idx="304">
                  <c:v>4.4586120000000005</c:v>
                </c:pt>
                <c:pt idx="305">
                  <c:v>4.4586120000000005</c:v>
                </c:pt>
                <c:pt idx="306">
                  <c:v>4.4586120000000005</c:v>
                </c:pt>
                <c:pt idx="307">
                  <c:v>4.4586120000000005</c:v>
                </c:pt>
                <c:pt idx="308">
                  <c:v>4.4586120000000005</c:v>
                </c:pt>
                <c:pt idx="309">
                  <c:v>4.4586120000000005</c:v>
                </c:pt>
                <c:pt idx="310">
                  <c:v>4.4586120000000005</c:v>
                </c:pt>
                <c:pt idx="311">
                  <c:v>4.4586120000000005</c:v>
                </c:pt>
                <c:pt idx="312">
                  <c:v>4.4586120000000005</c:v>
                </c:pt>
                <c:pt idx="313">
                  <c:v>4.4586120000000005</c:v>
                </c:pt>
                <c:pt idx="314">
                  <c:v>4.4586120000000005</c:v>
                </c:pt>
                <c:pt idx="315">
                  <c:v>4.4586120000000005</c:v>
                </c:pt>
                <c:pt idx="316">
                  <c:v>4.4586120000000005</c:v>
                </c:pt>
                <c:pt idx="317">
                  <c:v>4.4586120000000005</c:v>
                </c:pt>
                <c:pt idx="318">
                  <c:v>4.4586120000000005</c:v>
                </c:pt>
                <c:pt idx="319">
                  <c:v>4.4586120000000005</c:v>
                </c:pt>
                <c:pt idx="320">
                  <c:v>4.4586120000000005</c:v>
                </c:pt>
                <c:pt idx="321">
                  <c:v>4.4586120000000005</c:v>
                </c:pt>
                <c:pt idx="322">
                  <c:v>4.4586120000000005</c:v>
                </c:pt>
                <c:pt idx="323">
                  <c:v>4.4586120000000005</c:v>
                </c:pt>
                <c:pt idx="324">
                  <c:v>4.4586120000000005</c:v>
                </c:pt>
                <c:pt idx="325">
                  <c:v>4.4586120000000005</c:v>
                </c:pt>
                <c:pt idx="326">
                  <c:v>4.4586120000000005</c:v>
                </c:pt>
                <c:pt idx="327">
                  <c:v>4.4586120000000005</c:v>
                </c:pt>
                <c:pt idx="328">
                  <c:v>4.4586120000000005</c:v>
                </c:pt>
                <c:pt idx="329">
                  <c:v>4.4586120000000005</c:v>
                </c:pt>
                <c:pt idx="330">
                  <c:v>4.4586120000000005</c:v>
                </c:pt>
                <c:pt idx="331">
                  <c:v>4.4586120000000005</c:v>
                </c:pt>
                <c:pt idx="332">
                  <c:v>4.4586120000000005</c:v>
                </c:pt>
                <c:pt idx="333">
                  <c:v>4.4586120000000005</c:v>
                </c:pt>
                <c:pt idx="334">
                  <c:v>4.4586120000000005</c:v>
                </c:pt>
                <c:pt idx="335">
                  <c:v>4.4586120000000005</c:v>
                </c:pt>
                <c:pt idx="336">
                  <c:v>4.4586120000000005</c:v>
                </c:pt>
                <c:pt idx="337">
                  <c:v>4.4586120000000005</c:v>
                </c:pt>
                <c:pt idx="338">
                  <c:v>4.4586120000000005</c:v>
                </c:pt>
                <c:pt idx="339">
                  <c:v>4.4586120000000005</c:v>
                </c:pt>
                <c:pt idx="340">
                  <c:v>4.4586120000000005</c:v>
                </c:pt>
                <c:pt idx="341">
                  <c:v>4.4586120000000005</c:v>
                </c:pt>
                <c:pt idx="342">
                  <c:v>4.4586120000000005</c:v>
                </c:pt>
                <c:pt idx="343">
                  <c:v>4.4586120000000005</c:v>
                </c:pt>
                <c:pt idx="344">
                  <c:v>4.4586120000000005</c:v>
                </c:pt>
                <c:pt idx="345">
                  <c:v>4.4586120000000005</c:v>
                </c:pt>
                <c:pt idx="346">
                  <c:v>4.4586120000000005</c:v>
                </c:pt>
                <c:pt idx="347">
                  <c:v>4.4586120000000005</c:v>
                </c:pt>
                <c:pt idx="348">
                  <c:v>4.4586120000000005</c:v>
                </c:pt>
                <c:pt idx="349">
                  <c:v>4.4586120000000005</c:v>
                </c:pt>
                <c:pt idx="350">
                  <c:v>4.4586120000000005</c:v>
                </c:pt>
                <c:pt idx="351">
                  <c:v>4.4586120000000005</c:v>
                </c:pt>
                <c:pt idx="352">
                  <c:v>4.4586120000000005</c:v>
                </c:pt>
                <c:pt idx="353">
                  <c:v>4.4586120000000005</c:v>
                </c:pt>
                <c:pt idx="354">
                  <c:v>4.4586120000000005</c:v>
                </c:pt>
                <c:pt idx="355">
                  <c:v>4.4586120000000005</c:v>
                </c:pt>
                <c:pt idx="356">
                  <c:v>4.4586120000000005</c:v>
                </c:pt>
                <c:pt idx="357">
                  <c:v>4.4586120000000005</c:v>
                </c:pt>
                <c:pt idx="358">
                  <c:v>4.4586120000000005</c:v>
                </c:pt>
                <c:pt idx="359">
                  <c:v>4.4586120000000005</c:v>
                </c:pt>
                <c:pt idx="360">
                  <c:v>4.4586120000000005</c:v>
                </c:pt>
                <c:pt idx="361">
                  <c:v>4.4586120000000005</c:v>
                </c:pt>
                <c:pt idx="362">
                  <c:v>4.4586120000000005</c:v>
                </c:pt>
                <c:pt idx="363">
                  <c:v>4.4586120000000005</c:v>
                </c:pt>
                <c:pt idx="364">
                  <c:v>4.4586120000000005</c:v>
                </c:pt>
                <c:pt idx="365">
                  <c:v>4.4586120000000005</c:v>
                </c:pt>
                <c:pt idx="366">
                  <c:v>4.4586120000000005</c:v>
                </c:pt>
                <c:pt idx="367">
                  <c:v>4.4586120000000005</c:v>
                </c:pt>
                <c:pt idx="368">
                  <c:v>4.4586120000000005</c:v>
                </c:pt>
                <c:pt idx="369">
                  <c:v>4.4586120000000005</c:v>
                </c:pt>
                <c:pt idx="370">
                  <c:v>4.4586120000000005</c:v>
                </c:pt>
                <c:pt idx="371">
                  <c:v>4.4586120000000005</c:v>
                </c:pt>
                <c:pt idx="372">
                  <c:v>4.4586120000000005</c:v>
                </c:pt>
                <c:pt idx="373">
                  <c:v>4.4586120000000005</c:v>
                </c:pt>
                <c:pt idx="374">
                  <c:v>4.4586120000000005</c:v>
                </c:pt>
                <c:pt idx="375">
                  <c:v>4.4586120000000005</c:v>
                </c:pt>
                <c:pt idx="376">
                  <c:v>4.4586120000000005</c:v>
                </c:pt>
                <c:pt idx="377">
                  <c:v>4.4586120000000005</c:v>
                </c:pt>
                <c:pt idx="378">
                  <c:v>4.4586120000000005</c:v>
                </c:pt>
                <c:pt idx="379">
                  <c:v>4.4586120000000005</c:v>
                </c:pt>
                <c:pt idx="380">
                  <c:v>4.4586120000000005</c:v>
                </c:pt>
                <c:pt idx="381">
                  <c:v>4.4586120000000005</c:v>
                </c:pt>
                <c:pt idx="382">
                  <c:v>4.4586120000000005</c:v>
                </c:pt>
                <c:pt idx="383">
                  <c:v>4.4586120000000005</c:v>
                </c:pt>
                <c:pt idx="384">
                  <c:v>4.4586120000000005</c:v>
                </c:pt>
                <c:pt idx="385">
                  <c:v>4.4586120000000005</c:v>
                </c:pt>
                <c:pt idx="386">
                  <c:v>4.4586120000000005</c:v>
                </c:pt>
                <c:pt idx="387">
                  <c:v>4.4586120000000005</c:v>
                </c:pt>
                <c:pt idx="388">
                  <c:v>4.4586120000000005</c:v>
                </c:pt>
                <c:pt idx="389">
                  <c:v>4.4586120000000005</c:v>
                </c:pt>
                <c:pt idx="390">
                  <c:v>4.4586120000000005</c:v>
                </c:pt>
                <c:pt idx="391">
                  <c:v>4.4586120000000005</c:v>
                </c:pt>
                <c:pt idx="392">
                  <c:v>4.4586120000000005</c:v>
                </c:pt>
                <c:pt idx="393">
                  <c:v>4.4586120000000005</c:v>
                </c:pt>
                <c:pt idx="394">
                  <c:v>4.4586120000000005</c:v>
                </c:pt>
                <c:pt idx="395">
                  <c:v>4.4586120000000005</c:v>
                </c:pt>
                <c:pt idx="396">
                  <c:v>4.4586120000000005</c:v>
                </c:pt>
                <c:pt idx="397">
                  <c:v>4.4586120000000005</c:v>
                </c:pt>
                <c:pt idx="398">
                  <c:v>4.4586120000000005</c:v>
                </c:pt>
                <c:pt idx="399">
                  <c:v>4.4586120000000005</c:v>
                </c:pt>
                <c:pt idx="400">
                  <c:v>4.4586120000000005</c:v>
                </c:pt>
                <c:pt idx="401">
                  <c:v>4.4586120000000005</c:v>
                </c:pt>
                <c:pt idx="402">
                  <c:v>4.4586120000000005</c:v>
                </c:pt>
                <c:pt idx="403">
                  <c:v>4.4586120000000005</c:v>
                </c:pt>
                <c:pt idx="404">
                  <c:v>4.4586120000000005</c:v>
                </c:pt>
                <c:pt idx="405">
                  <c:v>4.4586120000000005</c:v>
                </c:pt>
                <c:pt idx="406">
                  <c:v>4.4586120000000005</c:v>
                </c:pt>
                <c:pt idx="407">
                  <c:v>4.4586120000000005</c:v>
                </c:pt>
                <c:pt idx="408">
                  <c:v>4.4586120000000005</c:v>
                </c:pt>
                <c:pt idx="409">
                  <c:v>4.4586120000000005</c:v>
                </c:pt>
                <c:pt idx="410">
                  <c:v>4.4586120000000005</c:v>
                </c:pt>
                <c:pt idx="411">
                  <c:v>4.4586120000000005</c:v>
                </c:pt>
                <c:pt idx="412">
                  <c:v>4.4586120000000005</c:v>
                </c:pt>
                <c:pt idx="413">
                  <c:v>4.4586120000000005</c:v>
                </c:pt>
                <c:pt idx="414">
                  <c:v>4.4586120000000005</c:v>
                </c:pt>
                <c:pt idx="415">
                  <c:v>4.4586120000000005</c:v>
                </c:pt>
                <c:pt idx="416">
                  <c:v>4.4586120000000005</c:v>
                </c:pt>
                <c:pt idx="417">
                  <c:v>4.4586120000000005</c:v>
                </c:pt>
                <c:pt idx="418">
                  <c:v>4.4586120000000005</c:v>
                </c:pt>
                <c:pt idx="419">
                  <c:v>4.4586120000000005</c:v>
                </c:pt>
                <c:pt idx="420">
                  <c:v>4.4586120000000005</c:v>
                </c:pt>
                <c:pt idx="421">
                  <c:v>4.4586120000000005</c:v>
                </c:pt>
                <c:pt idx="422">
                  <c:v>4.4586120000000005</c:v>
                </c:pt>
                <c:pt idx="423">
                  <c:v>4.4586120000000005</c:v>
                </c:pt>
                <c:pt idx="424">
                  <c:v>4.4586120000000005</c:v>
                </c:pt>
                <c:pt idx="425">
                  <c:v>4.4586120000000005</c:v>
                </c:pt>
                <c:pt idx="426">
                  <c:v>4.4586120000000005</c:v>
                </c:pt>
                <c:pt idx="427">
                  <c:v>4.4586120000000005</c:v>
                </c:pt>
                <c:pt idx="428">
                  <c:v>4.4586120000000005</c:v>
                </c:pt>
                <c:pt idx="429">
                  <c:v>4.4586120000000005</c:v>
                </c:pt>
                <c:pt idx="430">
                  <c:v>4.4586120000000005</c:v>
                </c:pt>
                <c:pt idx="431">
                  <c:v>4.4586120000000005</c:v>
                </c:pt>
                <c:pt idx="432">
                  <c:v>4.4586120000000005</c:v>
                </c:pt>
                <c:pt idx="433">
                  <c:v>4.4586120000000005</c:v>
                </c:pt>
                <c:pt idx="434">
                  <c:v>4.4586120000000005</c:v>
                </c:pt>
                <c:pt idx="435">
                  <c:v>4.4586120000000005</c:v>
                </c:pt>
                <c:pt idx="436">
                  <c:v>4.4586120000000005</c:v>
                </c:pt>
                <c:pt idx="437">
                  <c:v>4.4586120000000005</c:v>
                </c:pt>
                <c:pt idx="438">
                  <c:v>4.4586120000000005</c:v>
                </c:pt>
                <c:pt idx="439">
                  <c:v>4.4586120000000005</c:v>
                </c:pt>
                <c:pt idx="440">
                  <c:v>4.4586120000000005</c:v>
                </c:pt>
                <c:pt idx="441">
                  <c:v>4.4586120000000005</c:v>
                </c:pt>
                <c:pt idx="442">
                  <c:v>4.4586120000000005</c:v>
                </c:pt>
                <c:pt idx="443">
                  <c:v>4.4586120000000005</c:v>
                </c:pt>
                <c:pt idx="444">
                  <c:v>4.4586120000000005</c:v>
                </c:pt>
                <c:pt idx="445">
                  <c:v>4.4586120000000005</c:v>
                </c:pt>
                <c:pt idx="446">
                  <c:v>4.4586120000000005</c:v>
                </c:pt>
                <c:pt idx="447">
                  <c:v>4.4586120000000005</c:v>
                </c:pt>
                <c:pt idx="448">
                  <c:v>4.4586120000000005</c:v>
                </c:pt>
                <c:pt idx="449">
                  <c:v>4.4586120000000005</c:v>
                </c:pt>
                <c:pt idx="450">
                  <c:v>4.4586120000000005</c:v>
                </c:pt>
                <c:pt idx="451">
                  <c:v>4.4586120000000005</c:v>
                </c:pt>
                <c:pt idx="452">
                  <c:v>4.4586120000000005</c:v>
                </c:pt>
                <c:pt idx="453">
                  <c:v>4.4586120000000005</c:v>
                </c:pt>
                <c:pt idx="454">
                  <c:v>4.4586120000000005</c:v>
                </c:pt>
                <c:pt idx="455">
                  <c:v>4.4586120000000005</c:v>
                </c:pt>
                <c:pt idx="456">
                  <c:v>4.4586120000000005</c:v>
                </c:pt>
                <c:pt idx="457">
                  <c:v>4.4586120000000005</c:v>
                </c:pt>
                <c:pt idx="458">
                  <c:v>4.4586120000000005</c:v>
                </c:pt>
                <c:pt idx="459">
                  <c:v>4.4586120000000005</c:v>
                </c:pt>
                <c:pt idx="460">
                  <c:v>4.4586120000000005</c:v>
                </c:pt>
                <c:pt idx="461">
                  <c:v>4.4586120000000005</c:v>
                </c:pt>
                <c:pt idx="462">
                  <c:v>4.4586120000000005</c:v>
                </c:pt>
                <c:pt idx="463">
                  <c:v>4.4586120000000005</c:v>
                </c:pt>
                <c:pt idx="464">
                  <c:v>4.4586120000000005</c:v>
                </c:pt>
                <c:pt idx="465">
                  <c:v>4.4586120000000005</c:v>
                </c:pt>
                <c:pt idx="466">
                  <c:v>4.4586120000000005</c:v>
                </c:pt>
                <c:pt idx="467">
                  <c:v>4.4586120000000005</c:v>
                </c:pt>
                <c:pt idx="468">
                  <c:v>4.4586120000000005</c:v>
                </c:pt>
                <c:pt idx="469">
                  <c:v>4.4586120000000005</c:v>
                </c:pt>
                <c:pt idx="470">
                  <c:v>4.4586120000000005</c:v>
                </c:pt>
                <c:pt idx="471">
                  <c:v>4.4586120000000005</c:v>
                </c:pt>
                <c:pt idx="472">
                  <c:v>4.4586120000000005</c:v>
                </c:pt>
                <c:pt idx="473">
                  <c:v>4.4586120000000005</c:v>
                </c:pt>
                <c:pt idx="474">
                  <c:v>4.4586120000000005</c:v>
                </c:pt>
                <c:pt idx="475">
                  <c:v>4.4586120000000005</c:v>
                </c:pt>
                <c:pt idx="476">
                  <c:v>4.4586120000000005</c:v>
                </c:pt>
                <c:pt idx="477">
                  <c:v>4.4586120000000005</c:v>
                </c:pt>
                <c:pt idx="478">
                  <c:v>4.4586120000000005</c:v>
                </c:pt>
                <c:pt idx="479">
                  <c:v>4.4586120000000005</c:v>
                </c:pt>
                <c:pt idx="480">
                  <c:v>4.4586120000000005</c:v>
                </c:pt>
                <c:pt idx="481">
                  <c:v>4.4586120000000005</c:v>
                </c:pt>
                <c:pt idx="482">
                  <c:v>4.4586120000000005</c:v>
                </c:pt>
                <c:pt idx="483">
                  <c:v>4.4586120000000005</c:v>
                </c:pt>
                <c:pt idx="484">
                  <c:v>4.4586120000000005</c:v>
                </c:pt>
                <c:pt idx="485">
                  <c:v>4.4586120000000005</c:v>
                </c:pt>
                <c:pt idx="486">
                  <c:v>4.4586120000000005</c:v>
                </c:pt>
                <c:pt idx="487">
                  <c:v>4.4586120000000005</c:v>
                </c:pt>
                <c:pt idx="488">
                  <c:v>4.4586120000000005</c:v>
                </c:pt>
                <c:pt idx="489">
                  <c:v>4.4586120000000005</c:v>
                </c:pt>
                <c:pt idx="490">
                  <c:v>4.4586120000000005</c:v>
                </c:pt>
                <c:pt idx="491">
                  <c:v>4.4586120000000005</c:v>
                </c:pt>
                <c:pt idx="492">
                  <c:v>4.4586120000000005</c:v>
                </c:pt>
                <c:pt idx="493">
                  <c:v>4.4586120000000005</c:v>
                </c:pt>
                <c:pt idx="494">
                  <c:v>4.4586120000000005</c:v>
                </c:pt>
                <c:pt idx="495">
                  <c:v>4.4586120000000005</c:v>
                </c:pt>
                <c:pt idx="496">
                  <c:v>4.4586120000000005</c:v>
                </c:pt>
                <c:pt idx="497">
                  <c:v>4.4586120000000005</c:v>
                </c:pt>
                <c:pt idx="498">
                  <c:v>4.4586120000000005</c:v>
                </c:pt>
                <c:pt idx="499">
                  <c:v>4.4586120000000005</c:v>
                </c:pt>
                <c:pt idx="500">
                  <c:v>4.4586120000000005</c:v>
                </c:pt>
                <c:pt idx="501">
                  <c:v>4.4586120000000005</c:v>
                </c:pt>
                <c:pt idx="502">
                  <c:v>4.4586120000000005</c:v>
                </c:pt>
                <c:pt idx="503">
                  <c:v>4.4586120000000005</c:v>
                </c:pt>
                <c:pt idx="504">
                  <c:v>4.4586120000000005</c:v>
                </c:pt>
                <c:pt idx="505">
                  <c:v>4.4586120000000005</c:v>
                </c:pt>
                <c:pt idx="506">
                  <c:v>4.4586120000000005</c:v>
                </c:pt>
                <c:pt idx="507">
                  <c:v>4.4586120000000005</c:v>
                </c:pt>
                <c:pt idx="508">
                  <c:v>4.4586120000000005</c:v>
                </c:pt>
                <c:pt idx="509">
                  <c:v>4.4586120000000005</c:v>
                </c:pt>
                <c:pt idx="510">
                  <c:v>4.4586120000000005</c:v>
                </c:pt>
                <c:pt idx="511">
                  <c:v>4.4586120000000005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0A-49EA-B18E-95230557A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254591"/>
        <c:axId val="1687529156"/>
      </c:lineChart>
      <c:dateAx>
        <c:axId val="172525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687529156"/>
        <c:crosses val="autoZero"/>
        <c:auto val="1"/>
        <c:lblOffset val="100"/>
        <c:baseTimeUnit val="days"/>
      </c:dateAx>
      <c:valAx>
        <c:axId val="1687529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7252545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5957555305586801"/>
          <c:y val="0.19588001891408482"/>
          <c:w val="0.61504544312280118"/>
          <c:h val="0.41789505424093532"/>
        </c:manualLayout>
      </c:layout>
      <c:lineChart>
        <c:grouping val="standard"/>
        <c:varyColors val="1"/>
        <c:ser>
          <c:idx val="0"/>
          <c:order val="0"/>
          <c:tx>
            <c:v>INT_ACC 2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B0E-453C-A00D-E12DF60EA650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001-DB0E-453C-A00D-E12DF60EA650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002-DB0E-453C-A00D-E12DF60EA650}"/>
              </c:ext>
            </c:extLst>
          </c:dPt>
          <c:cat>
            <c:numRef>
              <c:f>'Bond (4)'!$A$16:$A$527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(4)'!$C$16:$C$527</c:f>
              <c:numCache>
                <c:formatCode>0.0</c:formatCode>
                <c:ptCount val="512"/>
                <c:pt idx="0">
                  <c:v>0</c:v>
                </c:pt>
                <c:pt idx="1">
                  <c:v>203.80434782608688</c:v>
                </c:pt>
                <c:pt idx="2">
                  <c:v>271.7391304347824</c:v>
                </c:pt>
                <c:pt idx="3">
                  <c:v>339.67391304347814</c:v>
                </c:pt>
                <c:pt idx="4">
                  <c:v>407.60869565217388</c:v>
                </c:pt>
                <c:pt idx="5">
                  <c:v>475.54347826086939</c:v>
                </c:pt>
                <c:pt idx="6">
                  <c:v>679.34782608695639</c:v>
                </c:pt>
                <c:pt idx="7">
                  <c:v>747.2826086956519</c:v>
                </c:pt>
                <c:pt idx="8">
                  <c:v>815.21739130434787</c:v>
                </c:pt>
                <c:pt idx="9">
                  <c:v>883.15217391304361</c:v>
                </c:pt>
                <c:pt idx="10">
                  <c:v>951.08695652173913</c:v>
                </c:pt>
                <c:pt idx="11">
                  <c:v>1154.891304347826</c:v>
                </c:pt>
                <c:pt idx="12">
                  <c:v>1222.8260869565215</c:v>
                </c:pt>
                <c:pt idx="13">
                  <c:v>1290.760869565217</c:v>
                </c:pt>
                <c:pt idx="14">
                  <c:v>1358.695652173913</c:v>
                </c:pt>
                <c:pt idx="15">
                  <c:v>1426.6304347826085</c:v>
                </c:pt>
                <c:pt idx="16">
                  <c:v>1630.4347826086951</c:v>
                </c:pt>
                <c:pt idx="17">
                  <c:v>1698.369565217391</c:v>
                </c:pt>
                <c:pt idx="18">
                  <c:v>1766.3043478260865</c:v>
                </c:pt>
                <c:pt idx="19">
                  <c:v>1834.2391304347825</c:v>
                </c:pt>
                <c:pt idx="20">
                  <c:v>1902.173913043478</c:v>
                </c:pt>
                <c:pt idx="21">
                  <c:v>2105.978260869565</c:v>
                </c:pt>
                <c:pt idx="22">
                  <c:v>2173.9130434782614</c:v>
                </c:pt>
                <c:pt idx="23">
                  <c:v>2241.8478260869565</c:v>
                </c:pt>
                <c:pt idx="24">
                  <c:v>2309.782608695652</c:v>
                </c:pt>
                <c:pt idx="25">
                  <c:v>2377.7173913043475</c:v>
                </c:pt>
                <c:pt idx="26">
                  <c:v>2581.521739130435</c:v>
                </c:pt>
                <c:pt idx="27">
                  <c:v>2649.4565217391305</c:v>
                </c:pt>
                <c:pt idx="28">
                  <c:v>2717.3913043478256</c:v>
                </c:pt>
                <c:pt idx="29">
                  <c:v>2785.326086956522</c:v>
                </c:pt>
                <c:pt idx="30">
                  <c:v>2853.260869565217</c:v>
                </c:pt>
                <c:pt idx="31">
                  <c:v>3057.0652173913045</c:v>
                </c:pt>
                <c:pt idx="32">
                  <c:v>3125</c:v>
                </c:pt>
                <c:pt idx="33">
                  <c:v>3192.9347826086951</c:v>
                </c:pt>
                <c:pt idx="34">
                  <c:v>3260.8695652173919</c:v>
                </c:pt>
                <c:pt idx="35">
                  <c:v>3328.804347826087</c:v>
                </c:pt>
                <c:pt idx="36">
                  <c:v>3532.608695652174</c:v>
                </c:pt>
                <c:pt idx="37">
                  <c:v>3600.5434782608691</c:v>
                </c:pt>
                <c:pt idx="38">
                  <c:v>3668.478260869565</c:v>
                </c:pt>
                <c:pt idx="39">
                  <c:v>3736.413043478261</c:v>
                </c:pt>
                <c:pt idx="40">
                  <c:v>3804.347826086956</c:v>
                </c:pt>
                <c:pt idx="41">
                  <c:v>4008.152173913044</c:v>
                </c:pt>
                <c:pt idx="42">
                  <c:v>4076.086956521739</c:v>
                </c:pt>
                <c:pt idx="43">
                  <c:v>4144.0217391304341</c:v>
                </c:pt>
                <c:pt idx="44">
                  <c:v>4211.95652173913</c:v>
                </c:pt>
                <c:pt idx="45">
                  <c:v>4279.8913043478251</c:v>
                </c:pt>
                <c:pt idx="46">
                  <c:v>4483.695652173913</c:v>
                </c:pt>
                <c:pt idx="47">
                  <c:v>4551.6304347826081</c:v>
                </c:pt>
                <c:pt idx="48">
                  <c:v>4619.5652173913049</c:v>
                </c:pt>
                <c:pt idx="49">
                  <c:v>4687.5</c:v>
                </c:pt>
                <c:pt idx="50">
                  <c:v>4755.434782608696</c:v>
                </c:pt>
                <c:pt idx="51">
                  <c:v>4959.2391304347821</c:v>
                </c:pt>
                <c:pt idx="52">
                  <c:v>5027.1739130434771</c:v>
                </c:pt>
                <c:pt idx="53">
                  <c:v>5095.108695652174</c:v>
                </c:pt>
                <c:pt idx="54">
                  <c:v>5163.0434782608691</c:v>
                </c:pt>
                <c:pt idx="55">
                  <c:v>5230.978260869565</c:v>
                </c:pt>
                <c:pt idx="56">
                  <c:v>5434.7826086956511</c:v>
                </c:pt>
                <c:pt idx="57">
                  <c:v>5502.717391304348</c:v>
                </c:pt>
                <c:pt idx="58">
                  <c:v>5570.652173913044</c:v>
                </c:pt>
                <c:pt idx="59">
                  <c:v>5638.586956521739</c:v>
                </c:pt>
                <c:pt idx="60">
                  <c:v>5706.5217391304341</c:v>
                </c:pt>
                <c:pt idx="61">
                  <c:v>5910.326086956522</c:v>
                </c:pt>
                <c:pt idx="62">
                  <c:v>5978.2608695652179</c:v>
                </c:pt>
                <c:pt idx="63">
                  <c:v>6046.1956521739121</c:v>
                </c:pt>
                <c:pt idx="64">
                  <c:v>6114.1304347826081</c:v>
                </c:pt>
                <c:pt idx="65">
                  <c:v>6182.0652173913049</c:v>
                </c:pt>
                <c:pt idx="66">
                  <c:v>6385.869565217391</c:v>
                </c:pt>
                <c:pt idx="67">
                  <c:v>6453.8043478260861</c:v>
                </c:pt>
                <c:pt idx="68">
                  <c:v>6521.7391304347821</c:v>
                </c:pt>
                <c:pt idx="69">
                  <c:v>6589.6739130434789</c:v>
                </c:pt>
                <c:pt idx="70">
                  <c:v>6657.6086956521722</c:v>
                </c:pt>
                <c:pt idx="71">
                  <c:v>6861.413043478261</c:v>
                </c:pt>
                <c:pt idx="72">
                  <c:v>6929.3478260869579</c:v>
                </c:pt>
                <c:pt idx="73">
                  <c:v>6997.2826086956511</c:v>
                </c:pt>
                <c:pt idx="74">
                  <c:v>7065.217391304348</c:v>
                </c:pt>
                <c:pt idx="75">
                  <c:v>7133.152173913044</c:v>
                </c:pt>
                <c:pt idx="76">
                  <c:v>7336.9565217391309</c:v>
                </c:pt>
                <c:pt idx="77">
                  <c:v>7404.8913043478251</c:v>
                </c:pt>
                <c:pt idx="78">
                  <c:v>7472.8260869565211</c:v>
                </c:pt>
                <c:pt idx="79">
                  <c:v>7540.7608695652189</c:v>
                </c:pt>
                <c:pt idx="80">
                  <c:v>7608.6956521739112</c:v>
                </c:pt>
                <c:pt idx="81">
                  <c:v>7812.4999999999991</c:v>
                </c:pt>
                <c:pt idx="82">
                  <c:v>7880.4347826086951</c:v>
                </c:pt>
                <c:pt idx="83">
                  <c:v>7948.369565217391</c:v>
                </c:pt>
                <c:pt idx="84">
                  <c:v>8016.3043478260852</c:v>
                </c:pt>
                <c:pt idx="85">
                  <c:v>8084.239130434783</c:v>
                </c:pt>
                <c:pt idx="86">
                  <c:v>8288.0434782608681</c:v>
                </c:pt>
                <c:pt idx="87">
                  <c:v>8355.9782608695641</c:v>
                </c:pt>
                <c:pt idx="88">
                  <c:v>8423.9130434782601</c:v>
                </c:pt>
                <c:pt idx="89">
                  <c:v>8491.847826086956</c:v>
                </c:pt>
                <c:pt idx="90">
                  <c:v>8559.7826086956502</c:v>
                </c:pt>
                <c:pt idx="91">
                  <c:v>8763.5869565217381</c:v>
                </c:pt>
                <c:pt idx="92">
                  <c:v>8831.5217391304341</c:v>
                </c:pt>
                <c:pt idx="93">
                  <c:v>8899.45652173913</c:v>
                </c:pt>
                <c:pt idx="94">
                  <c:v>8967.3913043478242</c:v>
                </c:pt>
                <c:pt idx="95">
                  <c:v>9035.326086956522</c:v>
                </c:pt>
                <c:pt idx="96">
                  <c:v>9239.1304347826062</c:v>
                </c:pt>
                <c:pt idx="97">
                  <c:v>9307.0652173913022</c:v>
                </c:pt>
                <c:pt idx="98">
                  <c:v>9374.9999999999982</c:v>
                </c:pt>
                <c:pt idx="99">
                  <c:v>9442.9347826086941</c:v>
                </c:pt>
                <c:pt idx="100">
                  <c:v>9510.8695652173883</c:v>
                </c:pt>
                <c:pt idx="101">
                  <c:v>9714.673913043478</c:v>
                </c:pt>
                <c:pt idx="102">
                  <c:v>9782.6086956521722</c:v>
                </c:pt>
                <c:pt idx="103">
                  <c:v>9850.5434782608681</c:v>
                </c:pt>
                <c:pt idx="104">
                  <c:v>9918.4782608695641</c:v>
                </c:pt>
                <c:pt idx="105">
                  <c:v>9986.4130434782601</c:v>
                </c:pt>
                <c:pt idx="106">
                  <c:v>10190.217391304346</c:v>
                </c:pt>
                <c:pt idx="107">
                  <c:v>10258.152173913044</c:v>
                </c:pt>
                <c:pt idx="108">
                  <c:v>10326.08695652174</c:v>
                </c:pt>
                <c:pt idx="109">
                  <c:v>10394.021739130434</c:v>
                </c:pt>
                <c:pt idx="110">
                  <c:v>10461.95652173913</c:v>
                </c:pt>
                <c:pt idx="111">
                  <c:v>10665.760869565216</c:v>
                </c:pt>
                <c:pt idx="112">
                  <c:v>10733.695652173912</c:v>
                </c:pt>
                <c:pt idx="113">
                  <c:v>10801.630434782606</c:v>
                </c:pt>
                <c:pt idx="114">
                  <c:v>10869.565217391302</c:v>
                </c:pt>
                <c:pt idx="115">
                  <c:v>10937.499999999998</c:v>
                </c:pt>
                <c:pt idx="116">
                  <c:v>11141.304347826084</c:v>
                </c:pt>
                <c:pt idx="117">
                  <c:v>11209.239130434782</c:v>
                </c:pt>
                <c:pt idx="118">
                  <c:v>11277.173913043478</c:v>
                </c:pt>
                <c:pt idx="119">
                  <c:v>11345.108695652172</c:v>
                </c:pt>
                <c:pt idx="120">
                  <c:v>11413.043478260868</c:v>
                </c:pt>
                <c:pt idx="121">
                  <c:v>11618.340898232202</c:v>
                </c:pt>
                <c:pt idx="122">
                  <c:v>11687.02221691352</c:v>
                </c:pt>
                <c:pt idx="123">
                  <c:v>11755.703535594837</c:v>
                </c:pt>
                <c:pt idx="124">
                  <c:v>11824.384854276155</c:v>
                </c:pt>
                <c:pt idx="125">
                  <c:v>11893.066172957473</c:v>
                </c:pt>
                <c:pt idx="126">
                  <c:v>12099.110129001429</c:v>
                </c:pt>
                <c:pt idx="127">
                  <c:v>12167.791447682746</c:v>
                </c:pt>
                <c:pt idx="128">
                  <c:v>12236.472766364064</c:v>
                </c:pt>
                <c:pt idx="129">
                  <c:v>12305.154085045382</c:v>
                </c:pt>
                <c:pt idx="130">
                  <c:v>12373.8354037267</c:v>
                </c:pt>
                <c:pt idx="131">
                  <c:v>12579.879359770655</c:v>
                </c:pt>
                <c:pt idx="132">
                  <c:v>12648.560678451973</c:v>
                </c:pt>
                <c:pt idx="133">
                  <c:v>12717.241997133293</c:v>
                </c:pt>
                <c:pt idx="134">
                  <c:v>12785.923315814613</c:v>
                </c:pt>
                <c:pt idx="135">
                  <c:v>12854.604634495932</c:v>
                </c:pt>
                <c:pt idx="136">
                  <c:v>13060.648590539888</c:v>
                </c:pt>
                <c:pt idx="137">
                  <c:v>13129.329909221207</c:v>
                </c:pt>
                <c:pt idx="138">
                  <c:v>13198.011227902527</c:v>
                </c:pt>
                <c:pt idx="139">
                  <c:v>13266.692546583845</c:v>
                </c:pt>
                <c:pt idx="140">
                  <c:v>13335.373865265165</c:v>
                </c:pt>
                <c:pt idx="141">
                  <c:v>13541.41782130912</c:v>
                </c:pt>
                <c:pt idx="142">
                  <c:v>13610.099139990438</c:v>
                </c:pt>
                <c:pt idx="143">
                  <c:v>13678.780458671758</c:v>
                </c:pt>
                <c:pt idx="144">
                  <c:v>13747.461777353075</c:v>
                </c:pt>
                <c:pt idx="145">
                  <c:v>13816.143096034393</c:v>
                </c:pt>
                <c:pt idx="146">
                  <c:v>14022.187052078349</c:v>
                </c:pt>
                <c:pt idx="147">
                  <c:v>14090.868370759668</c:v>
                </c:pt>
                <c:pt idx="148">
                  <c:v>14159.549689440986</c:v>
                </c:pt>
                <c:pt idx="149">
                  <c:v>14228.231008122306</c:v>
                </c:pt>
                <c:pt idx="150">
                  <c:v>14296.912326803624</c:v>
                </c:pt>
                <c:pt idx="151">
                  <c:v>14502.956282847579</c:v>
                </c:pt>
                <c:pt idx="152">
                  <c:v>14571.637601528899</c:v>
                </c:pt>
                <c:pt idx="153">
                  <c:v>14640.318920210217</c:v>
                </c:pt>
                <c:pt idx="154">
                  <c:v>14709.000238891536</c:v>
                </c:pt>
                <c:pt idx="155">
                  <c:v>14777.681557572854</c:v>
                </c:pt>
                <c:pt idx="156">
                  <c:v>14983.72551361681</c:v>
                </c:pt>
                <c:pt idx="157">
                  <c:v>15052.406832298129</c:v>
                </c:pt>
                <c:pt idx="158">
                  <c:v>15121.088150979449</c:v>
                </c:pt>
                <c:pt idx="159">
                  <c:v>15189.769469660769</c:v>
                </c:pt>
                <c:pt idx="160">
                  <c:v>15258.450788342087</c:v>
                </c:pt>
                <c:pt idx="161">
                  <c:v>15464.494744386042</c:v>
                </c:pt>
                <c:pt idx="162">
                  <c:v>15533.176063067362</c:v>
                </c:pt>
                <c:pt idx="163">
                  <c:v>15601.857381748679</c:v>
                </c:pt>
                <c:pt idx="164">
                  <c:v>15670.538700429997</c:v>
                </c:pt>
                <c:pt idx="165">
                  <c:v>15739.220019111317</c:v>
                </c:pt>
                <c:pt idx="166">
                  <c:v>15945.263975155274</c:v>
                </c:pt>
                <c:pt idx="167">
                  <c:v>16013.945293836592</c:v>
                </c:pt>
                <c:pt idx="168">
                  <c:v>16082.626612517912</c:v>
                </c:pt>
                <c:pt idx="169">
                  <c:v>16151.30793119923</c:v>
                </c:pt>
                <c:pt idx="170">
                  <c:v>16219.989249880549</c:v>
                </c:pt>
                <c:pt idx="171">
                  <c:v>16426.033205924505</c:v>
                </c:pt>
                <c:pt idx="172">
                  <c:v>16494.714524605824</c:v>
                </c:pt>
                <c:pt idx="173">
                  <c:v>16563.395843287144</c:v>
                </c:pt>
                <c:pt idx="174">
                  <c:v>16632.077161968464</c:v>
                </c:pt>
                <c:pt idx="175">
                  <c:v>16700.758480649783</c:v>
                </c:pt>
                <c:pt idx="176">
                  <c:v>16906.802436693739</c:v>
                </c:pt>
                <c:pt idx="177">
                  <c:v>16975.483755375059</c:v>
                </c:pt>
                <c:pt idx="178">
                  <c:v>17044.165074056378</c:v>
                </c:pt>
                <c:pt idx="179">
                  <c:v>17112.846392737694</c:v>
                </c:pt>
                <c:pt idx="180">
                  <c:v>17181.527711419014</c:v>
                </c:pt>
                <c:pt idx="181">
                  <c:v>17387.571667462969</c:v>
                </c:pt>
                <c:pt idx="182">
                  <c:v>17456.252986144289</c:v>
                </c:pt>
                <c:pt idx="183">
                  <c:v>17524.934304825609</c:v>
                </c:pt>
                <c:pt idx="184">
                  <c:v>17593.615623506928</c:v>
                </c:pt>
                <c:pt idx="185">
                  <c:v>17662.296942188248</c:v>
                </c:pt>
                <c:pt idx="186">
                  <c:v>17868.340898232203</c:v>
                </c:pt>
                <c:pt idx="187">
                  <c:v>17937.022216913523</c:v>
                </c:pt>
                <c:pt idx="188">
                  <c:v>18005.703535594843</c:v>
                </c:pt>
                <c:pt idx="189">
                  <c:v>18074.384854276163</c:v>
                </c:pt>
                <c:pt idx="190">
                  <c:v>18143.066172957482</c:v>
                </c:pt>
                <c:pt idx="191">
                  <c:v>18349.110129001441</c:v>
                </c:pt>
                <c:pt idx="192">
                  <c:v>18417.791447682757</c:v>
                </c:pt>
                <c:pt idx="193">
                  <c:v>18486.472766364073</c:v>
                </c:pt>
                <c:pt idx="194">
                  <c:v>18555.154085045393</c:v>
                </c:pt>
                <c:pt idx="195">
                  <c:v>18623.835403726713</c:v>
                </c:pt>
                <c:pt idx="196">
                  <c:v>18829.879359770668</c:v>
                </c:pt>
                <c:pt idx="197">
                  <c:v>18898.560678451988</c:v>
                </c:pt>
                <c:pt idx="198">
                  <c:v>18967.241997133307</c:v>
                </c:pt>
                <c:pt idx="199">
                  <c:v>19035.923315814627</c:v>
                </c:pt>
                <c:pt idx="200">
                  <c:v>19104.604634495947</c:v>
                </c:pt>
                <c:pt idx="201">
                  <c:v>19310.648590539902</c:v>
                </c:pt>
                <c:pt idx="202">
                  <c:v>19379.329909221218</c:v>
                </c:pt>
                <c:pt idx="203">
                  <c:v>19448.011227902534</c:v>
                </c:pt>
                <c:pt idx="204">
                  <c:v>19516.692546583854</c:v>
                </c:pt>
                <c:pt idx="205">
                  <c:v>19585.373865265174</c:v>
                </c:pt>
                <c:pt idx="206">
                  <c:v>19791.417821309129</c:v>
                </c:pt>
                <c:pt idx="207">
                  <c:v>19860.099139990445</c:v>
                </c:pt>
                <c:pt idx="208">
                  <c:v>19928.780458671768</c:v>
                </c:pt>
                <c:pt idx="209">
                  <c:v>19997.461777353084</c:v>
                </c:pt>
                <c:pt idx="210">
                  <c:v>20066.143096034404</c:v>
                </c:pt>
                <c:pt idx="211">
                  <c:v>20272.18705207836</c:v>
                </c:pt>
                <c:pt idx="212">
                  <c:v>20340.868370759679</c:v>
                </c:pt>
                <c:pt idx="213">
                  <c:v>20409.549689440999</c:v>
                </c:pt>
                <c:pt idx="214">
                  <c:v>20478.231008122319</c:v>
                </c:pt>
                <c:pt idx="215">
                  <c:v>20546.912326803635</c:v>
                </c:pt>
                <c:pt idx="216">
                  <c:v>20752.95628284759</c:v>
                </c:pt>
                <c:pt idx="217">
                  <c:v>20821.637601528906</c:v>
                </c:pt>
                <c:pt idx="218">
                  <c:v>20890.318920210226</c:v>
                </c:pt>
                <c:pt idx="219">
                  <c:v>20959.000238891545</c:v>
                </c:pt>
                <c:pt idx="220">
                  <c:v>21027.681557572861</c:v>
                </c:pt>
                <c:pt idx="221">
                  <c:v>21233.725513616817</c:v>
                </c:pt>
                <c:pt idx="222">
                  <c:v>21302.406832298133</c:v>
                </c:pt>
                <c:pt idx="223">
                  <c:v>21371.088150979453</c:v>
                </c:pt>
                <c:pt idx="224">
                  <c:v>21439.769469660772</c:v>
                </c:pt>
                <c:pt idx="225">
                  <c:v>21508.450788342092</c:v>
                </c:pt>
                <c:pt idx="226">
                  <c:v>21714.494744386047</c:v>
                </c:pt>
                <c:pt idx="227">
                  <c:v>21783.176063067367</c:v>
                </c:pt>
                <c:pt idx="228">
                  <c:v>21851.85738174869</c:v>
                </c:pt>
                <c:pt idx="229">
                  <c:v>21920.538700430006</c:v>
                </c:pt>
                <c:pt idx="230">
                  <c:v>21989.220019111322</c:v>
                </c:pt>
                <c:pt idx="231">
                  <c:v>22195.263975155278</c:v>
                </c:pt>
                <c:pt idx="232">
                  <c:v>22263.945293836601</c:v>
                </c:pt>
                <c:pt idx="233">
                  <c:v>22332.626612517917</c:v>
                </c:pt>
                <c:pt idx="234">
                  <c:v>22401.307931199237</c:v>
                </c:pt>
                <c:pt idx="235">
                  <c:v>22469.989249880557</c:v>
                </c:pt>
                <c:pt idx="236">
                  <c:v>22676.033205924512</c:v>
                </c:pt>
                <c:pt idx="237">
                  <c:v>22744.714524605828</c:v>
                </c:pt>
                <c:pt idx="238">
                  <c:v>22813.395843287148</c:v>
                </c:pt>
                <c:pt idx="239">
                  <c:v>22882.077161968467</c:v>
                </c:pt>
                <c:pt idx="240">
                  <c:v>22950.758480649783</c:v>
                </c:pt>
                <c:pt idx="241">
                  <c:v>23156.802436693742</c:v>
                </c:pt>
                <c:pt idx="242">
                  <c:v>23225.483755375062</c:v>
                </c:pt>
                <c:pt idx="243">
                  <c:v>23294.165074056382</c:v>
                </c:pt>
                <c:pt idx="244">
                  <c:v>23362.846392737702</c:v>
                </c:pt>
                <c:pt idx="245">
                  <c:v>23431.527711419018</c:v>
                </c:pt>
                <c:pt idx="246">
                  <c:v>23637.571667462973</c:v>
                </c:pt>
                <c:pt idx="247">
                  <c:v>23706.252986144289</c:v>
                </c:pt>
                <c:pt idx="248">
                  <c:v>23774.934304825609</c:v>
                </c:pt>
                <c:pt idx="249">
                  <c:v>23843.615623506928</c:v>
                </c:pt>
                <c:pt idx="250">
                  <c:v>23912.296942188244</c:v>
                </c:pt>
                <c:pt idx="251">
                  <c:v>24116.847826086956</c:v>
                </c:pt>
                <c:pt idx="252">
                  <c:v>24184.782608695652</c:v>
                </c:pt>
                <c:pt idx="253">
                  <c:v>24252.717391304348</c:v>
                </c:pt>
                <c:pt idx="254">
                  <c:v>24320.652173913044</c:v>
                </c:pt>
                <c:pt idx="255">
                  <c:v>24388.58695652174</c:v>
                </c:pt>
                <c:pt idx="256">
                  <c:v>24592.391304347828</c:v>
                </c:pt>
                <c:pt idx="257">
                  <c:v>24660.326086956524</c:v>
                </c:pt>
                <c:pt idx="258">
                  <c:v>24728.26086956522</c:v>
                </c:pt>
                <c:pt idx="259">
                  <c:v>24796.195652173916</c:v>
                </c:pt>
                <c:pt idx="260">
                  <c:v>24864.130434782612</c:v>
                </c:pt>
                <c:pt idx="261">
                  <c:v>25067.9347826087</c:v>
                </c:pt>
                <c:pt idx="262">
                  <c:v>25135.869565217396</c:v>
                </c:pt>
                <c:pt idx="263">
                  <c:v>25203.804347826092</c:v>
                </c:pt>
                <c:pt idx="264">
                  <c:v>25271.739130434788</c:v>
                </c:pt>
                <c:pt idx="265">
                  <c:v>25339.673913043483</c:v>
                </c:pt>
                <c:pt idx="266">
                  <c:v>25543.478260869571</c:v>
                </c:pt>
                <c:pt idx="267">
                  <c:v>25611.413043478267</c:v>
                </c:pt>
                <c:pt idx="268">
                  <c:v>25679.347826086963</c:v>
                </c:pt>
                <c:pt idx="269">
                  <c:v>25747.282608695659</c:v>
                </c:pt>
                <c:pt idx="270">
                  <c:v>25815.217391304355</c:v>
                </c:pt>
                <c:pt idx="271">
                  <c:v>26019.021739130443</c:v>
                </c:pt>
                <c:pt idx="272">
                  <c:v>26086.956521739139</c:v>
                </c:pt>
                <c:pt idx="273">
                  <c:v>26154.891304347835</c:v>
                </c:pt>
                <c:pt idx="274">
                  <c:v>26222.826086956531</c:v>
                </c:pt>
                <c:pt idx="275">
                  <c:v>26290.760869565227</c:v>
                </c:pt>
                <c:pt idx="276">
                  <c:v>26494.565217391315</c:v>
                </c:pt>
                <c:pt idx="277">
                  <c:v>26562.500000000011</c:v>
                </c:pt>
                <c:pt idx="278">
                  <c:v>26630.434782608707</c:v>
                </c:pt>
                <c:pt idx="279">
                  <c:v>26698.369565217403</c:v>
                </c:pt>
                <c:pt idx="280">
                  <c:v>26766.304347826099</c:v>
                </c:pt>
                <c:pt idx="281">
                  <c:v>26970.108695652187</c:v>
                </c:pt>
                <c:pt idx="282">
                  <c:v>27038.043478260883</c:v>
                </c:pt>
                <c:pt idx="283">
                  <c:v>27105.978260869579</c:v>
                </c:pt>
                <c:pt idx="284">
                  <c:v>27173.913043478275</c:v>
                </c:pt>
                <c:pt idx="285">
                  <c:v>27241.847826086971</c:v>
                </c:pt>
                <c:pt idx="286">
                  <c:v>27445.652173913059</c:v>
                </c:pt>
                <c:pt idx="287">
                  <c:v>27513.586956521754</c:v>
                </c:pt>
                <c:pt idx="288">
                  <c:v>27581.52173913045</c:v>
                </c:pt>
                <c:pt idx="289">
                  <c:v>27649.456521739146</c:v>
                </c:pt>
                <c:pt idx="290">
                  <c:v>27717.391304347842</c:v>
                </c:pt>
                <c:pt idx="291">
                  <c:v>27921.19565217393</c:v>
                </c:pt>
                <c:pt idx="292">
                  <c:v>27989.130434782626</c:v>
                </c:pt>
                <c:pt idx="293">
                  <c:v>28057.065217391322</c:v>
                </c:pt>
                <c:pt idx="294">
                  <c:v>28125.000000000018</c:v>
                </c:pt>
                <c:pt idx="295">
                  <c:v>28192.934782608714</c:v>
                </c:pt>
                <c:pt idx="296">
                  <c:v>28396.739130434802</c:v>
                </c:pt>
                <c:pt idx="297">
                  <c:v>28464.673913043498</c:v>
                </c:pt>
                <c:pt idx="298">
                  <c:v>28532.608695652194</c:v>
                </c:pt>
                <c:pt idx="299">
                  <c:v>28600.54347826089</c:v>
                </c:pt>
                <c:pt idx="300">
                  <c:v>28668.478260869586</c:v>
                </c:pt>
                <c:pt idx="301">
                  <c:v>28872.282608695674</c:v>
                </c:pt>
                <c:pt idx="302">
                  <c:v>28940.21739130437</c:v>
                </c:pt>
                <c:pt idx="303">
                  <c:v>29008.152173913066</c:v>
                </c:pt>
                <c:pt idx="304">
                  <c:v>29076.086956521762</c:v>
                </c:pt>
                <c:pt idx="305">
                  <c:v>29144.021739130458</c:v>
                </c:pt>
                <c:pt idx="306">
                  <c:v>29347.826086956546</c:v>
                </c:pt>
                <c:pt idx="307">
                  <c:v>29415.760869565242</c:v>
                </c:pt>
                <c:pt idx="308">
                  <c:v>29483.695652173938</c:v>
                </c:pt>
                <c:pt idx="309">
                  <c:v>29551.630434782634</c:v>
                </c:pt>
                <c:pt idx="310">
                  <c:v>29619.565217391329</c:v>
                </c:pt>
                <c:pt idx="311">
                  <c:v>29823.369565217414</c:v>
                </c:pt>
                <c:pt idx="312">
                  <c:v>29891.30434782611</c:v>
                </c:pt>
                <c:pt idx="313">
                  <c:v>29959.239130434806</c:v>
                </c:pt>
                <c:pt idx="314">
                  <c:v>30027.173913043502</c:v>
                </c:pt>
                <c:pt idx="315">
                  <c:v>30095.108695652198</c:v>
                </c:pt>
                <c:pt idx="316">
                  <c:v>30298.913043478286</c:v>
                </c:pt>
                <c:pt idx="317">
                  <c:v>30366.847826086982</c:v>
                </c:pt>
                <c:pt idx="318">
                  <c:v>30434.782608695674</c:v>
                </c:pt>
                <c:pt idx="319">
                  <c:v>30502.71739130437</c:v>
                </c:pt>
                <c:pt idx="320">
                  <c:v>30570.652173913066</c:v>
                </c:pt>
                <c:pt idx="321">
                  <c:v>30774.45652173915</c:v>
                </c:pt>
                <c:pt idx="322">
                  <c:v>30842.391304347846</c:v>
                </c:pt>
                <c:pt idx="323">
                  <c:v>30910.326086956542</c:v>
                </c:pt>
                <c:pt idx="324">
                  <c:v>30978.260869565238</c:v>
                </c:pt>
                <c:pt idx="325">
                  <c:v>31046.195652173934</c:v>
                </c:pt>
                <c:pt idx="326">
                  <c:v>31250.000000000022</c:v>
                </c:pt>
                <c:pt idx="327">
                  <c:v>31317.934782608718</c:v>
                </c:pt>
                <c:pt idx="328">
                  <c:v>31385.869565217414</c:v>
                </c:pt>
                <c:pt idx="329">
                  <c:v>31453.80434782611</c:v>
                </c:pt>
                <c:pt idx="330">
                  <c:v>31521.739130434806</c:v>
                </c:pt>
                <c:pt idx="331">
                  <c:v>31725.543478260894</c:v>
                </c:pt>
                <c:pt idx="332">
                  <c:v>31793.47826086959</c:v>
                </c:pt>
                <c:pt idx="333">
                  <c:v>31861.413043478286</c:v>
                </c:pt>
                <c:pt idx="334">
                  <c:v>31929.347826086982</c:v>
                </c:pt>
                <c:pt idx="335">
                  <c:v>31997.282608695674</c:v>
                </c:pt>
                <c:pt idx="336">
                  <c:v>32201.086956521762</c:v>
                </c:pt>
                <c:pt idx="337">
                  <c:v>32269.021739130458</c:v>
                </c:pt>
                <c:pt idx="338">
                  <c:v>32336.956521739154</c:v>
                </c:pt>
                <c:pt idx="339">
                  <c:v>32404.891304347846</c:v>
                </c:pt>
                <c:pt idx="340">
                  <c:v>32472.826086956542</c:v>
                </c:pt>
                <c:pt idx="341">
                  <c:v>32676.63043478263</c:v>
                </c:pt>
                <c:pt idx="342">
                  <c:v>32744.565217391326</c:v>
                </c:pt>
                <c:pt idx="343">
                  <c:v>32812.500000000022</c:v>
                </c:pt>
                <c:pt idx="344">
                  <c:v>32880.434782608718</c:v>
                </c:pt>
                <c:pt idx="345">
                  <c:v>32948.369565217414</c:v>
                </c:pt>
                <c:pt idx="346">
                  <c:v>33152.173913043502</c:v>
                </c:pt>
                <c:pt idx="347">
                  <c:v>33220.108695652198</c:v>
                </c:pt>
                <c:pt idx="348">
                  <c:v>33288.043478260894</c:v>
                </c:pt>
                <c:pt idx="349">
                  <c:v>33355.97826086959</c:v>
                </c:pt>
                <c:pt idx="350">
                  <c:v>33423.913043478286</c:v>
                </c:pt>
                <c:pt idx="351">
                  <c:v>33627.717391304373</c:v>
                </c:pt>
                <c:pt idx="352">
                  <c:v>33695.652173913069</c:v>
                </c:pt>
                <c:pt idx="353">
                  <c:v>33763.586956521765</c:v>
                </c:pt>
                <c:pt idx="354">
                  <c:v>33831.521739130461</c:v>
                </c:pt>
                <c:pt idx="355">
                  <c:v>33899.456521739157</c:v>
                </c:pt>
                <c:pt idx="356">
                  <c:v>34103.260869565245</c:v>
                </c:pt>
                <c:pt idx="357">
                  <c:v>34171.195652173941</c:v>
                </c:pt>
                <c:pt idx="358">
                  <c:v>34239.130434782637</c:v>
                </c:pt>
                <c:pt idx="359">
                  <c:v>34307.065217391333</c:v>
                </c:pt>
                <c:pt idx="360">
                  <c:v>34375.000000000029</c:v>
                </c:pt>
                <c:pt idx="361">
                  <c:v>34578.804347826117</c:v>
                </c:pt>
                <c:pt idx="362">
                  <c:v>34646.739130434813</c:v>
                </c:pt>
                <c:pt idx="363">
                  <c:v>34714.673913043509</c:v>
                </c:pt>
                <c:pt idx="364">
                  <c:v>34782.608695652205</c:v>
                </c:pt>
                <c:pt idx="365">
                  <c:v>34850.543478260901</c:v>
                </c:pt>
                <c:pt idx="366">
                  <c:v>35054.347826086989</c:v>
                </c:pt>
                <c:pt idx="367">
                  <c:v>35122.282608695685</c:v>
                </c:pt>
                <c:pt idx="368">
                  <c:v>35190.217391304381</c:v>
                </c:pt>
                <c:pt idx="369">
                  <c:v>35258.152173913077</c:v>
                </c:pt>
                <c:pt idx="370">
                  <c:v>35326.086956521773</c:v>
                </c:pt>
                <c:pt idx="371">
                  <c:v>35529.891304347861</c:v>
                </c:pt>
                <c:pt idx="372">
                  <c:v>35597.826086956557</c:v>
                </c:pt>
                <c:pt idx="373">
                  <c:v>35665.760869565253</c:v>
                </c:pt>
                <c:pt idx="374">
                  <c:v>35733.695652173948</c:v>
                </c:pt>
                <c:pt idx="375">
                  <c:v>35801.630434782644</c:v>
                </c:pt>
                <c:pt idx="376">
                  <c:v>36005.434782608732</c:v>
                </c:pt>
                <c:pt idx="377">
                  <c:v>36073.369565217428</c:v>
                </c:pt>
                <c:pt idx="378">
                  <c:v>36141.304347826124</c:v>
                </c:pt>
                <c:pt idx="379">
                  <c:v>36209.23913043482</c:v>
                </c:pt>
                <c:pt idx="380">
                  <c:v>36277.173913043516</c:v>
                </c:pt>
                <c:pt idx="381">
                  <c:v>36480.978260869604</c:v>
                </c:pt>
                <c:pt idx="382">
                  <c:v>36550.039034350266</c:v>
                </c:pt>
                <c:pt idx="383">
                  <c:v>36619.099807830928</c:v>
                </c:pt>
                <c:pt idx="384">
                  <c:v>36688.160581311589</c:v>
                </c:pt>
                <c:pt idx="385">
                  <c:v>36757.221354792251</c:v>
                </c:pt>
                <c:pt idx="386">
                  <c:v>36964.403675234244</c:v>
                </c:pt>
                <c:pt idx="387">
                  <c:v>37033.464448714905</c:v>
                </c:pt>
                <c:pt idx="388">
                  <c:v>37102.525222195567</c:v>
                </c:pt>
                <c:pt idx="389">
                  <c:v>37171.585995676229</c:v>
                </c:pt>
                <c:pt idx="390">
                  <c:v>37240.646769156891</c:v>
                </c:pt>
                <c:pt idx="391">
                  <c:v>37447.829089598883</c:v>
                </c:pt>
                <c:pt idx="392">
                  <c:v>37516.889863079545</c:v>
                </c:pt>
                <c:pt idx="393">
                  <c:v>37585.950636560206</c:v>
                </c:pt>
                <c:pt idx="394">
                  <c:v>37655.011410040868</c:v>
                </c:pt>
                <c:pt idx="395">
                  <c:v>37724.07218352153</c:v>
                </c:pt>
                <c:pt idx="396">
                  <c:v>37931.254503963522</c:v>
                </c:pt>
                <c:pt idx="397">
                  <c:v>38000.315277444184</c:v>
                </c:pt>
                <c:pt idx="398">
                  <c:v>38069.376050924846</c:v>
                </c:pt>
                <c:pt idx="399">
                  <c:v>38138.436824405508</c:v>
                </c:pt>
                <c:pt idx="400">
                  <c:v>38207.497597886169</c:v>
                </c:pt>
                <c:pt idx="401">
                  <c:v>38414.679918328162</c:v>
                </c:pt>
                <c:pt idx="402">
                  <c:v>38483.740691808824</c:v>
                </c:pt>
                <c:pt idx="403">
                  <c:v>38552.801465289485</c:v>
                </c:pt>
                <c:pt idx="404">
                  <c:v>38621.862238770147</c:v>
                </c:pt>
                <c:pt idx="405">
                  <c:v>38690.923012250809</c:v>
                </c:pt>
                <c:pt idx="406">
                  <c:v>38898.105332692801</c:v>
                </c:pt>
                <c:pt idx="407">
                  <c:v>38967.166106173463</c:v>
                </c:pt>
                <c:pt idx="408">
                  <c:v>39036.226879654125</c:v>
                </c:pt>
                <c:pt idx="409">
                  <c:v>39105.287653134787</c:v>
                </c:pt>
                <c:pt idx="410">
                  <c:v>39174.348426615448</c:v>
                </c:pt>
                <c:pt idx="411">
                  <c:v>39381.530747057433</c:v>
                </c:pt>
                <c:pt idx="412">
                  <c:v>39450.591520538095</c:v>
                </c:pt>
                <c:pt idx="413">
                  <c:v>39519.652294018757</c:v>
                </c:pt>
                <c:pt idx="414">
                  <c:v>39588.713067499419</c:v>
                </c:pt>
                <c:pt idx="415">
                  <c:v>39657.77384098008</c:v>
                </c:pt>
                <c:pt idx="416">
                  <c:v>39864.956161422066</c:v>
                </c:pt>
                <c:pt idx="417">
                  <c:v>39934.016934902727</c:v>
                </c:pt>
                <c:pt idx="418">
                  <c:v>40003.077708383389</c:v>
                </c:pt>
                <c:pt idx="419">
                  <c:v>40072.138481864051</c:v>
                </c:pt>
                <c:pt idx="420">
                  <c:v>40141.199255344713</c:v>
                </c:pt>
                <c:pt idx="421">
                  <c:v>40348.381575786705</c:v>
                </c:pt>
                <c:pt idx="422">
                  <c:v>40417.442349267367</c:v>
                </c:pt>
                <c:pt idx="423">
                  <c:v>40486.503122748029</c:v>
                </c:pt>
                <c:pt idx="424">
                  <c:v>40555.56389622869</c:v>
                </c:pt>
                <c:pt idx="425">
                  <c:v>40624.624669709352</c:v>
                </c:pt>
                <c:pt idx="426">
                  <c:v>40831.806990151345</c:v>
                </c:pt>
                <c:pt idx="427">
                  <c:v>40900.867763632006</c:v>
                </c:pt>
                <c:pt idx="428">
                  <c:v>40969.928537112668</c:v>
                </c:pt>
                <c:pt idx="429">
                  <c:v>41038.98931059333</c:v>
                </c:pt>
                <c:pt idx="430">
                  <c:v>41108.050084073991</c:v>
                </c:pt>
                <c:pt idx="431">
                  <c:v>41315.232404515984</c:v>
                </c:pt>
                <c:pt idx="432">
                  <c:v>41384.293177996646</c:v>
                </c:pt>
                <c:pt idx="433">
                  <c:v>41453.353951477307</c:v>
                </c:pt>
                <c:pt idx="434">
                  <c:v>41522.414724957969</c:v>
                </c:pt>
                <c:pt idx="435">
                  <c:v>41591.475498438631</c:v>
                </c:pt>
                <c:pt idx="436">
                  <c:v>41798.657818880623</c:v>
                </c:pt>
                <c:pt idx="437">
                  <c:v>41867.718592361285</c:v>
                </c:pt>
                <c:pt idx="438">
                  <c:v>41936.779365841947</c:v>
                </c:pt>
                <c:pt idx="439">
                  <c:v>42005.840139322609</c:v>
                </c:pt>
                <c:pt idx="440">
                  <c:v>42074.90091280327</c:v>
                </c:pt>
                <c:pt idx="441">
                  <c:v>42282.083233245256</c:v>
                </c:pt>
                <c:pt idx="442">
                  <c:v>42351.144006725917</c:v>
                </c:pt>
                <c:pt idx="443">
                  <c:v>42420.204780206579</c:v>
                </c:pt>
                <c:pt idx="444">
                  <c:v>42489.265553687241</c:v>
                </c:pt>
                <c:pt idx="445">
                  <c:v>42558.326327167902</c:v>
                </c:pt>
                <c:pt idx="446">
                  <c:v>42765.508647609895</c:v>
                </c:pt>
                <c:pt idx="447">
                  <c:v>42834.569421090557</c:v>
                </c:pt>
                <c:pt idx="448">
                  <c:v>42903.630194571218</c:v>
                </c:pt>
                <c:pt idx="449">
                  <c:v>42972.69096805188</c:v>
                </c:pt>
                <c:pt idx="450">
                  <c:v>43041.751741532542</c:v>
                </c:pt>
                <c:pt idx="451">
                  <c:v>43248.934061974527</c:v>
                </c:pt>
                <c:pt idx="452">
                  <c:v>43317.994835455189</c:v>
                </c:pt>
                <c:pt idx="453">
                  <c:v>43387.055608935851</c:v>
                </c:pt>
                <c:pt idx="454">
                  <c:v>43456.116382416512</c:v>
                </c:pt>
                <c:pt idx="455">
                  <c:v>43525.177155897174</c:v>
                </c:pt>
                <c:pt idx="456">
                  <c:v>43732.359476339159</c:v>
                </c:pt>
                <c:pt idx="457">
                  <c:v>43801.420249819821</c:v>
                </c:pt>
                <c:pt idx="458">
                  <c:v>43870.481023300483</c:v>
                </c:pt>
                <c:pt idx="459">
                  <c:v>43939.541796781145</c:v>
                </c:pt>
                <c:pt idx="460">
                  <c:v>44008.602570261806</c:v>
                </c:pt>
                <c:pt idx="461">
                  <c:v>44215.784890703799</c:v>
                </c:pt>
                <c:pt idx="462">
                  <c:v>44284.84566418446</c:v>
                </c:pt>
                <c:pt idx="463">
                  <c:v>44353.906437665122</c:v>
                </c:pt>
                <c:pt idx="464">
                  <c:v>44422.967211145784</c:v>
                </c:pt>
                <c:pt idx="465">
                  <c:v>44492.027984626446</c:v>
                </c:pt>
                <c:pt idx="466">
                  <c:v>44699.210305068431</c:v>
                </c:pt>
                <c:pt idx="467">
                  <c:v>44768.271078549093</c:v>
                </c:pt>
                <c:pt idx="468">
                  <c:v>44837.331852029754</c:v>
                </c:pt>
                <c:pt idx="469">
                  <c:v>44906.392625510416</c:v>
                </c:pt>
                <c:pt idx="470">
                  <c:v>44975.453398991078</c:v>
                </c:pt>
                <c:pt idx="471">
                  <c:v>45182.635719433063</c:v>
                </c:pt>
                <c:pt idx="472">
                  <c:v>45251.696492913725</c:v>
                </c:pt>
                <c:pt idx="473">
                  <c:v>45320.757266394387</c:v>
                </c:pt>
                <c:pt idx="474">
                  <c:v>45389.818039875048</c:v>
                </c:pt>
                <c:pt idx="475">
                  <c:v>45458.87881335571</c:v>
                </c:pt>
                <c:pt idx="476">
                  <c:v>45666.061133797702</c:v>
                </c:pt>
                <c:pt idx="477">
                  <c:v>45735.121907278364</c:v>
                </c:pt>
                <c:pt idx="478">
                  <c:v>45804.182680759026</c:v>
                </c:pt>
                <c:pt idx="479">
                  <c:v>45873.243454239688</c:v>
                </c:pt>
                <c:pt idx="480">
                  <c:v>45942.304227720349</c:v>
                </c:pt>
                <c:pt idx="481">
                  <c:v>46149.486548162342</c:v>
                </c:pt>
                <c:pt idx="482">
                  <c:v>46218.547321643004</c:v>
                </c:pt>
                <c:pt idx="483">
                  <c:v>46287.608095123665</c:v>
                </c:pt>
                <c:pt idx="484">
                  <c:v>46356.668868604327</c:v>
                </c:pt>
                <c:pt idx="485">
                  <c:v>46425.729642084989</c:v>
                </c:pt>
                <c:pt idx="486">
                  <c:v>46632.911962526981</c:v>
                </c:pt>
                <c:pt idx="487">
                  <c:v>46701.972736007643</c:v>
                </c:pt>
                <c:pt idx="488">
                  <c:v>46771.033509488305</c:v>
                </c:pt>
                <c:pt idx="489">
                  <c:v>46840.094282968967</c:v>
                </c:pt>
                <c:pt idx="490">
                  <c:v>46909.155056449628</c:v>
                </c:pt>
                <c:pt idx="491">
                  <c:v>47116.337376891621</c:v>
                </c:pt>
                <c:pt idx="492">
                  <c:v>47185.398150372283</c:v>
                </c:pt>
                <c:pt idx="493">
                  <c:v>47254.458923852944</c:v>
                </c:pt>
                <c:pt idx="494">
                  <c:v>47323.519697333606</c:v>
                </c:pt>
                <c:pt idx="495">
                  <c:v>47392.580470814268</c:v>
                </c:pt>
                <c:pt idx="496">
                  <c:v>47599.76279125626</c:v>
                </c:pt>
                <c:pt idx="497">
                  <c:v>47668.823564736922</c:v>
                </c:pt>
                <c:pt idx="498">
                  <c:v>47737.884338217584</c:v>
                </c:pt>
                <c:pt idx="499">
                  <c:v>47806.945111698245</c:v>
                </c:pt>
                <c:pt idx="500">
                  <c:v>47876.005885178907</c:v>
                </c:pt>
                <c:pt idx="501">
                  <c:v>48083.188205620892</c:v>
                </c:pt>
                <c:pt idx="502">
                  <c:v>48152.248979101554</c:v>
                </c:pt>
                <c:pt idx="503">
                  <c:v>48221.309752582216</c:v>
                </c:pt>
                <c:pt idx="504">
                  <c:v>48290.370526062878</c:v>
                </c:pt>
                <c:pt idx="505">
                  <c:v>48359.431299543539</c:v>
                </c:pt>
                <c:pt idx="506">
                  <c:v>48566.613619985532</c:v>
                </c:pt>
                <c:pt idx="507">
                  <c:v>48635.674393466194</c:v>
                </c:pt>
                <c:pt idx="508">
                  <c:v>48704.735166946855</c:v>
                </c:pt>
                <c:pt idx="509">
                  <c:v>48773.795940427517</c:v>
                </c:pt>
                <c:pt idx="510">
                  <c:v>48842.856713908179</c:v>
                </c:pt>
                <c:pt idx="511">
                  <c:v>48980.978260869502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E-453C-A00D-E12DF60EA650}"/>
            </c:ext>
          </c:extLst>
        </c:ser>
        <c:ser>
          <c:idx val="1"/>
          <c:order val="1"/>
          <c:tx>
            <c:v>TOTAL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'Bond (4)'!$A$16:$A$527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(4)'!$I$16:$I$527</c:f>
              <c:numCache>
                <c:formatCode>0.0</c:formatCode>
                <c:ptCount val="512"/>
                <c:pt idx="0">
                  <c:v>0</c:v>
                </c:pt>
                <c:pt idx="1">
                  <c:v>199.02708696221168</c:v>
                </c:pt>
                <c:pt idx="2">
                  <c:v>265.53569802354207</c:v>
                </c:pt>
                <c:pt idx="3">
                  <c:v>332.04892621373858</c:v>
                </c:pt>
                <c:pt idx="4">
                  <c:v>398.56677184629245</c:v>
                </c:pt>
                <c:pt idx="5">
                  <c:v>465.08923523483702</c:v>
                </c:pt>
                <c:pt idx="6">
                  <c:v>664.68433506962594</c:v>
                </c:pt>
                <c:pt idx="7">
                  <c:v>731.22527261591188</c:v>
                </c:pt>
                <c:pt idx="8">
                  <c:v>797.77082948578857</c:v>
                </c:pt>
                <c:pt idx="9">
                  <c:v>864.32100599246257</c:v>
                </c:pt>
                <c:pt idx="10">
                  <c:v>930.87580244956746</c:v>
                </c:pt>
                <c:pt idx="11">
                  <c:v>1130.5679146596626</c:v>
                </c:pt>
                <c:pt idx="12">
                  <c:v>1197.1411940548276</c:v>
                </c:pt>
                <c:pt idx="13">
                  <c:v>1263.7190949688757</c:v>
                </c:pt>
                <c:pt idx="14">
                  <c:v>1330.3016177150146</c:v>
                </c:pt>
                <c:pt idx="15">
                  <c:v>1396.8887626075875</c:v>
                </c:pt>
                <c:pt idx="16">
                  <c:v>1596.6779332991121</c:v>
                </c:pt>
                <c:pt idx="17">
                  <c:v>1663.2835699140433</c:v>
                </c:pt>
                <c:pt idx="18">
                  <c:v>1729.8938302435763</c:v>
                </c:pt>
                <c:pt idx="19">
                  <c:v>1796.5087146027668</c:v>
                </c:pt>
                <c:pt idx="20">
                  <c:v>1863.1282233042525</c:v>
                </c:pt>
                <c:pt idx="21">
                  <c:v>2063.0144986059258</c:v>
                </c:pt>
                <c:pt idx="22">
                  <c:v>2129.6525078181894</c:v>
                </c:pt>
                <c:pt idx="23">
                  <c:v>2196.2951429433306</c:v>
                </c:pt>
                <c:pt idx="24">
                  <c:v>2262.9424042951277</c:v>
                </c:pt>
                <c:pt idx="25">
                  <c:v>2329.5942921872129</c:v>
                </c:pt>
                <c:pt idx="26">
                  <c:v>2529.5777182486436</c:v>
                </c:pt>
                <c:pt idx="27">
                  <c:v>2596.2481154444722</c:v>
                </c:pt>
                <c:pt idx="28">
                  <c:v>2662.9231407510306</c:v>
                </c:pt>
                <c:pt idx="29">
                  <c:v>2729.6027944832331</c:v>
                </c:pt>
                <c:pt idx="30">
                  <c:v>2796.2870769545689</c:v>
                </c:pt>
                <c:pt idx="31">
                  <c:v>2996.3676999476756</c:v>
                </c:pt>
                <c:pt idx="32">
                  <c:v>3063.0705005194159</c:v>
                </c:pt>
                <c:pt idx="33">
                  <c:v>3129.7779314017262</c:v>
                </c:pt>
                <c:pt idx="34">
                  <c:v>3196.4899929089524</c:v>
                </c:pt>
                <c:pt idx="35">
                  <c:v>3263.2066853554361</c:v>
                </c:pt>
                <c:pt idx="36">
                  <c:v>3463.3845514747341</c:v>
                </c:pt>
                <c:pt idx="37">
                  <c:v>3530.1197708222617</c:v>
                </c:pt>
                <c:pt idx="38">
                  <c:v>3596.8596226810541</c:v>
                </c:pt>
                <c:pt idx="39">
                  <c:v>3663.6041073657379</c:v>
                </c:pt>
                <c:pt idx="40">
                  <c:v>3730.3532251906572</c:v>
                </c:pt>
                <c:pt idx="41">
                  <c:v>3930.6283806515526</c:v>
                </c:pt>
                <c:pt idx="42">
                  <c:v>3997.3960341828461</c:v>
                </c:pt>
                <c:pt idx="43">
                  <c:v>4064.1683224265216</c:v>
                </c:pt>
                <c:pt idx="44">
                  <c:v>4130.9452456980625</c:v>
                </c:pt>
                <c:pt idx="45">
                  <c:v>4197.7268043116683</c:v>
                </c:pt>
                <c:pt idx="46">
                  <c:v>4398.0992953525856</c:v>
                </c:pt>
                <c:pt idx="47">
                  <c:v>4464.8993984817325</c:v>
                </c:pt>
                <c:pt idx="48">
                  <c:v>4531.7041385266566</c:v>
                </c:pt>
                <c:pt idx="49">
                  <c:v>4598.5135158018411</c:v>
                </c:pt>
                <c:pt idx="50">
                  <c:v>4665.3275306223422</c:v>
                </c:pt>
                <c:pt idx="51">
                  <c:v>4865.7974035024563</c:v>
                </c:pt>
                <c:pt idx="52">
                  <c:v>4932.6299716519279</c:v>
                </c:pt>
                <c:pt idx="53">
                  <c:v>4999.4671789208542</c:v>
                </c:pt>
                <c:pt idx="54">
                  <c:v>5066.309025624003</c:v>
                </c:pt>
                <c:pt idx="55">
                  <c:v>5133.1555120762878</c:v>
                </c:pt>
                <c:pt idx="56">
                  <c:v>5333.7228130779358</c:v>
                </c:pt>
                <c:pt idx="57">
                  <c:v>5400.5878616771706</c:v>
                </c:pt>
                <c:pt idx="58">
                  <c:v>5467.4575516001032</c:v>
                </c:pt>
                <c:pt idx="59">
                  <c:v>5534.3318831626402</c:v>
                </c:pt>
                <c:pt idx="60">
                  <c:v>5601.2108566794122</c:v>
                </c:pt>
                <c:pt idx="61">
                  <c:v>5801.8756321068195</c:v>
                </c:pt>
                <c:pt idx="62">
                  <c:v>5868.7731765919289</c:v>
                </c:pt>
                <c:pt idx="63">
                  <c:v>5935.675364607112</c:v>
                </c:pt>
                <c:pt idx="64">
                  <c:v>6002.5821964678544</c:v>
                </c:pt>
                <c:pt idx="65">
                  <c:v>6069.493672488783</c:v>
                </c:pt>
                <c:pt idx="66">
                  <c:v>6270.2559686674849</c:v>
                </c:pt>
                <c:pt idx="67">
                  <c:v>6337.1860244831096</c:v>
                </c:pt>
                <c:pt idx="68">
                  <c:v>6404.120726035615</c:v>
                </c:pt>
                <c:pt idx="69">
                  <c:v>6471.0600736404822</c:v>
                </c:pt>
                <c:pt idx="70">
                  <c:v>6538.0040676130448</c:v>
                </c:pt>
                <c:pt idx="71">
                  <c:v>6738.8639308907541</c:v>
                </c:pt>
                <c:pt idx="72">
                  <c:v>6805.8265134880758</c:v>
                </c:pt>
                <c:pt idx="73">
                  <c:v>6872.7937440303558</c:v>
                </c:pt>
                <c:pt idx="74">
                  <c:v>6939.7656228329406</c:v>
                </c:pt>
                <c:pt idx="75">
                  <c:v>7006.7421502115903</c:v>
                </c:pt>
                <c:pt idx="76">
                  <c:v>7207.6996269581796</c:v>
                </c:pt>
                <c:pt idx="77">
                  <c:v>7274.6947517961871</c:v>
                </c:pt>
                <c:pt idx="78">
                  <c:v>7341.6945267879519</c:v>
                </c:pt>
                <c:pt idx="79">
                  <c:v>7408.6989522490967</c:v>
                </c:pt>
                <c:pt idx="80">
                  <c:v>7475.7080284955227</c:v>
                </c:pt>
                <c:pt idx="81">
                  <c:v>7676.7631651031807</c:v>
                </c:pt>
                <c:pt idx="82">
                  <c:v>7743.7908476475523</c:v>
                </c:pt>
                <c:pt idx="83">
                  <c:v>7810.8231825558933</c:v>
                </c:pt>
                <c:pt idx="84">
                  <c:v>7877.8601701441094</c:v>
                </c:pt>
                <c:pt idx="85">
                  <c:v>7944.901810727687</c:v>
                </c:pt>
                <c:pt idx="86">
                  <c:v>8146.0546536104848</c:v>
                </c:pt>
                <c:pt idx="87">
                  <c:v>8213.1149093348504</c:v>
                </c:pt>
                <c:pt idx="88">
                  <c:v>8280.1798196345353</c:v>
                </c:pt>
                <c:pt idx="89">
                  <c:v>8347.2493848245958</c:v>
                </c:pt>
                <c:pt idx="90">
                  <c:v>8414.3236052217908</c:v>
                </c:pt>
                <c:pt idx="91">
                  <c:v>8615.5742008158322</c:v>
                </c:pt>
                <c:pt idx="92">
                  <c:v>8682.6670452009257</c:v>
                </c:pt>
                <c:pt idx="93">
                  <c:v>8749.7645463735462</c:v>
                </c:pt>
                <c:pt idx="94">
                  <c:v>8816.8667046491682</c:v>
                </c:pt>
                <c:pt idx="95">
                  <c:v>8883.9735203439923</c:v>
                </c:pt>
                <c:pt idx="96">
                  <c:v>9085.3219151069716</c:v>
                </c:pt>
                <c:pt idx="97">
                  <c:v>9152.4473636410639</c:v>
                </c:pt>
                <c:pt idx="98">
                  <c:v>9219.5774711755948</c:v>
                </c:pt>
                <c:pt idx="99">
                  <c:v>9286.7122380267574</c:v>
                </c:pt>
                <c:pt idx="100">
                  <c:v>9353.8516645107393</c:v>
                </c:pt>
                <c:pt idx="101">
                  <c:v>9555.2979049228179</c:v>
                </c:pt>
                <c:pt idx="102">
                  <c:v>9622.4559731015652</c:v>
                </c:pt>
                <c:pt idx="103">
                  <c:v>9689.6187024948049</c:v>
                </c:pt>
                <c:pt idx="104">
                  <c:v>9756.7860934190103</c:v>
                </c:pt>
                <c:pt idx="105">
                  <c:v>9823.9581461905145</c:v>
                </c:pt>
                <c:pt idx="106">
                  <c:v>10025.502278754433</c:v>
                </c:pt>
                <c:pt idx="107">
                  <c:v>10092.692982080462</c:v>
                </c:pt>
                <c:pt idx="108">
                  <c:v>10159.888348836168</c:v>
                </c:pt>
                <c:pt idx="109">
                  <c:v>10227.088379338593</c:v>
                </c:pt>
                <c:pt idx="110">
                  <c:v>10294.293073903649</c:v>
                </c:pt>
                <c:pt idx="111">
                  <c:v>10495.935145143616</c:v>
                </c:pt>
                <c:pt idx="112">
                  <c:v>10563.158499127359</c:v>
                </c:pt>
                <c:pt idx="113">
                  <c:v>10630.386518756961</c:v>
                </c:pt>
                <c:pt idx="114">
                  <c:v>10697.61920434947</c:v>
                </c:pt>
                <c:pt idx="115">
                  <c:v>10764.856556221785</c:v>
                </c:pt>
                <c:pt idx="116">
                  <c:v>10966.596612684461</c:v>
                </c:pt>
                <c:pt idx="117">
                  <c:v>11033.852632843036</c:v>
                </c:pt>
                <c:pt idx="118">
                  <c:v>11101.113320865503</c:v>
                </c:pt>
                <c:pt idx="119">
                  <c:v>11168.378677068333</c:v>
                </c:pt>
                <c:pt idx="120">
                  <c:v>11235.648701768434</c:v>
                </c:pt>
                <c:pt idx="121">
                  <c:v>11439.913804189</c:v>
                </c:pt>
                <c:pt idx="122">
                  <c:v>11507.081740831965</c:v>
                </c:pt>
                <c:pt idx="123">
                  <c:v>11574.25428868412</c:v>
                </c:pt>
                <c:pt idx="124">
                  <c:v>11641.431448058251</c:v>
                </c:pt>
                <c:pt idx="125">
                  <c:v>11708.613219267418</c:v>
                </c:pt>
                <c:pt idx="126">
                  <c:v>11910.186207036657</c:v>
                </c:pt>
                <c:pt idx="127">
                  <c:v>11977.386428716913</c:v>
                </c:pt>
                <c:pt idx="128">
                  <c:v>12044.591263798102</c:v>
                </c:pt>
                <c:pt idx="129">
                  <c:v>12111.800712593003</c:v>
                </c:pt>
                <c:pt idx="130">
                  <c:v>12179.014775414684</c:v>
                </c:pt>
                <c:pt idx="131">
                  <c:v>12380.684651173324</c:v>
                </c:pt>
                <c:pt idx="132">
                  <c:v>12447.917173235042</c:v>
                </c:pt>
                <c:pt idx="133">
                  <c:v>12515.15431088972</c:v>
                </c:pt>
                <c:pt idx="134">
                  <c:v>12582.396064450988</c:v>
                </c:pt>
                <c:pt idx="135">
                  <c:v>12649.642434232053</c:v>
                </c:pt>
                <c:pt idx="136">
                  <c:v>12851.409244027525</c:v>
                </c:pt>
                <c:pt idx="137">
                  <c:v>12918.674081821559</c:v>
                </c:pt>
                <c:pt idx="138">
                  <c:v>12985.94353740228</c:v>
                </c:pt>
                <c:pt idx="139">
                  <c:v>13053.217611083317</c:v>
                </c:pt>
                <c:pt idx="140">
                  <c:v>13120.496303178026</c:v>
                </c:pt>
                <c:pt idx="141">
                  <c:v>13322.360093079647</c:v>
                </c:pt>
                <c:pt idx="142">
                  <c:v>13389.657261964514</c:v>
                </c:pt>
                <c:pt idx="143">
                  <c:v>13456.959050830368</c:v>
                </c:pt>
                <c:pt idx="144">
                  <c:v>13524.26545999169</c:v>
                </c:pt>
                <c:pt idx="145">
                  <c:v>13591.576489761548</c:v>
                </c:pt>
                <c:pt idx="146">
                  <c:v>13793.537305859812</c:v>
                </c:pt>
                <c:pt idx="147">
                  <c:v>13860.866821201145</c:v>
                </c:pt>
                <c:pt idx="148">
                  <c:v>13928.200958719608</c:v>
                </c:pt>
                <c:pt idx="149">
                  <c:v>13995.539718728834</c:v>
                </c:pt>
                <c:pt idx="150">
                  <c:v>14062.883101542599</c:v>
                </c:pt>
                <c:pt idx="151">
                  <c:v>14264.94098995059</c:v>
                </c:pt>
                <c:pt idx="152">
                  <c:v>14332.302867121263</c:v>
                </c:pt>
                <c:pt idx="153">
                  <c:v>14399.669368666066</c:v>
                </c:pt>
                <c:pt idx="154">
                  <c:v>14467.040494898487</c:v>
                </c:pt>
                <c:pt idx="155">
                  <c:v>14534.416246132587</c:v>
                </c:pt>
                <c:pt idx="156">
                  <c:v>14736.571252984708</c:v>
                </c:pt>
                <c:pt idx="157">
                  <c:v>14803.965507365558</c:v>
                </c:pt>
                <c:pt idx="158">
                  <c:v>14871.364388317817</c:v>
                </c:pt>
                <c:pt idx="159">
                  <c:v>14938.767896155832</c:v>
                </c:pt>
                <c:pt idx="160">
                  <c:v>15006.176031193801</c:v>
                </c:pt>
                <c:pt idx="161">
                  <c:v>15208.428202647196</c:v>
                </c:pt>
                <c:pt idx="162">
                  <c:v>15275.854849625308</c:v>
                </c:pt>
                <c:pt idx="163">
                  <c:v>15343.286125374099</c:v>
                </c:pt>
                <c:pt idx="164">
                  <c:v>15410.722030207491</c:v>
                </c:pt>
                <c:pt idx="165">
                  <c:v>15478.16256443983</c:v>
                </c:pt>
                <c:pt idx="166">
                  <c:v>15680.511946672954</c:v>
                </c:pt>
                <c:pt idx="167">
                  <c:v>15747.971001643513</c:v>
                </c:pt>
                <c:pt idx="168">
                  <c:v>15815.43468758474</c:v>
                </c:pt>
                <c:pt idx="169">
                  <c:v>15882.903004810403</c:v>
                </c:pt>
                <c:pt idx="170">
                  <c:v>15950.375953635281</c:v>
                </c:pt>
                <c:pt idx="171">
                  <c:v>16152.822592848757</c:v>
                </c:pt>
                <c:pt idx="172">
                  <c:v>16220.314071214203</c:v>
                </c:pt>
                <c:pt idx="173">
                  <c:v>16287.810182751007</c:v>
                </c:pt>
                <c:pt idx="174">
                  <c:v>16355.310927773513</c:v>
                </c:pt>
                <c:pt idx="175">
                  <c:v>16422.816306596491</c:v>
                </c:pt>
                <c:pt idx="176">
                  <c:v>16625.360249012403</c:v>
                </c:pt>
                <c:pt idx="177">
                  <c:v>16692.884166182415</c:v>
                </c:pt>
                <c:pt idx="178">
                  <c:v>16760.412718725616</c:v>
                </c:pt>
                <c:pt idx="179">
                  <c:v>16827.945906956487</c:v>
                </c:pt>
                <c:pt idx="180">
                  <c:v>16895.483731190088</c:v>
                </c:pt>
                <c:pt idx="181">
                  <c:v>17098.12502305369</c:v>
                </c:pt>
                <c:pt idx="182">
                  <c:v>17165.681394444629</c:v>
                </c:pt>
                <c:pt idx="183">
                  <c:v>17233.24240341215</c:v>
                </c:pt>
                <c:pt idx="184">
                  <c:v>17300.808050270596</c:v>
                </c:pt>
                <c:pt idx="185">
                  <c:v>17368.378335335023</c:v>
                </c:pt>
                <c:pt idx="186">
                  <c:v>17571.117022912444</c:v>
                </c:pt>
                <c:pt idx="187">
                  <c:v>17638.705863949061</c:v>
                </c:pt>
                <c:pt idx="188">
                  <c:v>17706.299344765932</c:v>
                </c:pt>
                <c:pt idx="189">
                  <c:v>17773.897465678263</c:v>
                </c:pt>
                <c:pt idx="190">
                  <c:v>17841.500227000957</c:v>
                </c:pt>
                <c:pt idx="191">
                  <c:v>18044.336356580512</c:v>
                </c:pt>
                <c:pt idx="192">
                  <c:v>18111.957682694221</c:v>
                </c:pt>
                <c:pt idx="193">
                  <c:v>-5275.6103066120922</c:v>
                </c:pt>
                <c:pt idx="194">
                  <c:v>-5155.8233224559081</c:v>
                </c:pt>
                <c:pt idx="195">
                  <c:v>-5036.0215712108402</c:v>
                </c:pt>
                <c:pt idx="196">
                  <c:v>-4676.5276968523358</c:v>
                </c:pt>
                <c:pt idx="197">
                  <c:v>-4556.6668591604575</c:v>
                </c:pt>
                <c:pt idx="198">
                  <c:v>-4436.7912453329191</c:v>
                </c:pt>
                <c:pt idx="199">
                  <c:v>-4316.9008535596877</c:v>
                </c:pt>
                <c:pt idx="200">
                  <c:v>-4196.995682030727</c:v>
                </c:pt>
                <c:pt idx="201">
                  <c:v>-3837.1914708015647</c:v>
                </c:pt>
                <c:pt idx="202">
                  <c:v>-3717.2271621413602</c:v>
                </c:pt>
                <c:pt idx="203">
                  <c:v>-3597.2480646705553</c:v>
                </c:pt>
                <c:pt idx="204">
                  <c:v>-3477.2541765778296</c:v>
                </c:pt>
                <c:pt idx="205">
                  <c:v>-3357.2454960507312</c:v>
                </c:pt>
                <c:pt idx="206">
                  <c:v>-2997.130681744522</c:v>
                </c:pt>
                <c:pt idx="207">
                  <c:v>-2877.0628133592545</c:v>
                </c:pt>
                <c:pt idx="208">
                  <c:v>-2756.9801434770634</c:v>
                </c:pt>
                <c:pt idx="209">
                  <c:v>-2636.8826702856531</c:v>
                </c:pt>
                <c:pt idx="210">
                  <c:v>-2516.7703919714222</c:v>
                </c:pt>
                <c:pt idx="211">
                  <c:v>-2156.3447081535305</c:v>
                </c:pt>
                <c:pt idx="212">
                  <c:v>-2036.17319120916</c:v>
                </c:pt>
                <c:pt idx="213">
                  <c:v>-1915.986860071891</c:v>
                </c:pt>
                <c:pt idx="214">
                  <c:v>-1795.7857129268596</c:v>
                </c:pt>
                <c:pt idx="215">
                  <c:v>-1675.5697479589217</c:v>
                </c:pt>
                <c:pt idx="216">
                  <c:v>-1314.8329279662103</c:v>
                </c:pt>
                <c:pt idx="217">
                  <c:v>-1194.5576735538016</c:v>
                </c:pt>
                <c:pt idx="218">
                  <c:v>-1074.2675922405833</c:v>
                </c:pt>
                <c:pt idx="219">
                  <c:v>-953.96268221026548</c:v>
                </c:pt>
                <c:pt idx="220">
                  <c:v>-833.64294164684543</c:v>
                </c:pt>
                <c:pt idx="221">
                  <c:v>-472.59471858767574</c:v>
                </c:pt>
                <c:pt idx="222">
                  <c:v>-352.21563772113223</c:v>
                </c:pt>
                <c:pt idx="223">
                  <c:v>-231.82171723548163</c:v>
                </c:pt>
                <c:pt idx="224">
                  <c:v>-111.41295531274591</c:v>
                </c:pt>
                <c:pt idx="225">
                  <c:v>9.0106498647946864</c:v>
                </c:pt>
                <c:pt idx="226">
                  <c:v>370.37054311158136</c:v>
                </c:pt>
                <c:pt idx="227">
                  <c:v>490.85353949424825</c:v>
                </c:pt>
                <c:pt idx="228">
                  <c:v>611.35138822539011</c:v>
                </c:pt>
                <c:pt idx="229">
                  <c:v>731.86409112455294</c:v>
                </c:pt>
                <c:pt idx="230">
                  <c:v>852.39165001130823</c:v>
                </c:pt>
                <c:pt idx="231">
                  <c:v>1214.0634807956521</c:v>
                </c:pt>
                <c:pt idx="232">
                  <c:v>1334.6504818327412</c:v>
                </c:pt>
                <c:pt idx="233">
                  <c:v>1455.2523479587508</c:v>
                </c:pt>
                <c:pt idx="234">
                  <c:v>1575.8690809948166</c:v>
                </c:pt>
                <c:pt idx="235">
                  <c:v>1696.500682761769</c:v>
                </c:pt>
                <c:pt idx="236">
                  <c:v>2058.4847186629813</c:v>
                </c:pt>
                <c:pt idx="237">
                  <c:v>2179.1758135698001</c:v>
                </c:pt>
                <c:pt idx="238">
                  <c:v>2299.8817863166696</c:v>
                </c:pt>
                <c:pt idx="239">
                  <c:v>2420.6026387262646</c:v>
                </c:pt>
                <c:pt idx="240">
                  <c:v>2541.3383726208449</c:v>
                </c:pt>
                <c:pt idx="241">
                  <c:v>2903.6348814480334</c:v>
                </c:pt>
                <c:pt idx="242">
                  <c:v>3024.4301595157995</c:v>
                </c:pt>
                <c:pt idx="243">
                  <c:v>3145.2403281859515</c:v>
                </c:pt>
                <c:pt idx="244">
                  <c:v>3266.065389282594</c:v>
                </c:pt>
                <c:pt idx="245">
                  <c:v>3386.9053446295511</c:v>
                </c:pt>
                <c:pt idx="246">
                  <c:v>3749.5145944210235</c:v>
                </c:pt>
                <c:pt idx="247">
                  <c:v>3870.414145017814</c:v>
                </c:pt>
                <c:pt idx="248">
                  <c:v>3991.3285989902797</c:v>
                </c:pt>
                <c:pt idx="249">
                  <c:v>4112.2579581636601</c:v>
                </c:pt>
                <c:pt idx="250">
                  <c:v>4233.2022243640458</c:v>
                </c:pt>
                <c:pt idx="251">
                  <c:v>4486.9683392114021</c:v>
                </c:pt>
                <c:pt idx="252">
                  <c:v>4605.6642947809487</c:v>
                </c:pt>
                <c:pt idx="253">
                  <c:v>4724.3749752395306</c:v>
                </c:pt>
                <c:pt idx="254">
                  <c:v>4843.1003823912251</c:v>
                </c:pt>
                <c:pt idx="255">
                  <c:v>4961.8405180402406</c:v>
                </c:pt>
                <c:pt idx="256">
                  <c:v>5318.1493140125858</c:v>
                </c:pt>
                <c:pt idx="257">
                  <c:v>5436.9483816941174</c:v>
                </c:pt>
                <c:pt idx="258">
                  <c:v>5555.7621868955794</c:v>
                </c:pt>
                <c:pt idx="259">
                  <c:v>5674.5907314231772</c:v>
                </c:pt>
                <c:pt idx="260">
                  <c:v>5793.4340170813994</c:v>
                </c:pt>
                <c:pt idx="261">
                  <c:v>6150.0523389021109</c:v>
                </c:pt>
                <c:pt idx="262">
                  <c:v>6268.9546071446966</c:v>
                </c:pt>
                <c:pt idx="263">
                  <c:v>6387.8716255497602</c:v>
                </c:pt>
                <c:pt idx="264">
                  <c:v>6506.8033959233617</c:v>
                </c:pt>
                <c:pt idx="265">
                  <c:v>6625.7499200731181</c:v>
                </c:pt>
                <c:pt idx="266">
                  <c:v>6982.6780332529743</c:v>
                </c:pt>
                <c:pt idx="267">
                  <c:v>7101.6835905822845</c:v>
                </c:pt>
                <c:pt idx="268">
                  <c:v>7220.7039107262826</c:v>
                </c:pt>
                <c:pt idx="269">
                  <c:v>7339.7389954931532</c:v>
                </c:pt>
                <c:pt idx="270">
                  <c:v>7458.7888466922268</c:v>
                </c:pt>
                <c:pt idx="271">
                  <c:v>7816.0270169695214</c:v>
                </c:pt>
                <c:pt idx="272">
                  <c:v>7935.1359519863945</c:v>
                </c:pt>
                <c:pt idx="273">
                  <c:v>8054.2596624812504</c:v>
                </c:pt>
                <c:pt idx="274">
                  <c:v>8173.3981502648312</c:v>
                </c:pt>
                <c:pt idx="275">
                  <c:v>8292.5514171466057</c:v>
                </c:pt>
                <c:pt idx="276">
                  <c:v>8650.0999104874281</c:v>
                </c:pt>
                <c:pt idx="277">
                  <c:v>8769.3123118691692</c:v>
                </c:pt>
                <c:pt idx="278">
                  <c:v>8888.5395014035457</c:v>
                </c:pt>
                <c:pt idx="279">
                  <c:v>9007.7814809020238</c:v>
                </c:pt>
                <c:pt idx="280">
                  <c:v>9127.0382521761967</c:v>
                </c:pt>
                <c:pt idx="281">
                  <c:v>9484.8973347752981</c:v>
                </c:pt>
                <c:pt idx="282">
                  <c:v>9604.2132912747984</c:v>
                </c:pt>
                <c:pt idx="283">
                  <c:v>9723.5440486125408</c:v>
                </c:pt>
                <c:pt idx="284">
                  <c:v>9842.8896086011227</c:v>
                </c:pt>
                <c:pt idx="285">
                  <c:v>9962.2499730539894</c:v>
                </c:pt>
                <c:pt idx="286">
                  <c:v>10320.419911333771</c:v>
                </c:pt>
                <c:pt idx="287">
                  <c:v>10439.839511780952</c:v>
                </c:pt>
                <c:pt idx="288">
                  <c:v>10559.273925761783</c:v>
                </c:pt>
                <c:pt idx="289">
                  <c:v>10678.723155091568</c:v>
                </c:pt>
                <c:pt idx="290">
                  <c:v>10798.187201584598</c:v>
                </c:pt>
                <c:pt idx="291">
                  <c:v>11156.668262196967</c:v>
                </c:pt>
                <c:pt idx="292">
                  <c:v>11276.19159549693</c:v>
                </c:pt>
                <c:pt idx="293">
                  <c:v>11395.729755037744</c:v>
                </c:pt>
                <c:pt idx="294">
                  <c:v>11515.282742635995</c:v>
                </c:pt>
                <c:pt idx="295">
                  <c:v>11634.850560107818</c:v>
                </c:pt>
                <c:pt idx="296">
                  <c:v>11993.64300993249</c:v>
                </c:pt>
                <c:pt idx="297">
                  <c:v>12113.270165067206</c:v>
                </c:pt>
                <c:pt idx="298">
                  <c:v>12232.912159160784</c:v>
                </c:pt>
                <c:pt idx="299">
                  <c:v>12352.568994031075</c:v>
                </c:pt>
                <c:pt idx="300">
                  <c:v>12472.240671496076</c:v>
                </c:pt>
                <c:pt idx="301">
                  <c:v>12831.344777641836</c:v>
                </c:pt>
                <c:pt idx="302">
                  <c:v>12951.075843669312</c:v>
                </c:pt>
                <c:pt idx="303">
                  <c:v>13070.821761384881</c:v>
                </c:pt>
                <c:pt idx="304">
                  <c:v>13190.58253260725</c:v>
                </c:pt>
                <c:pt idx="305">
                  <c:v>13310.358159156258</c:v>
                </c:pt>
                <c:pt idx="306">
                  <c:v>13669.774188961115</c:v>
                </c:pt>
                <c:pt idx="307">
                  <c:v>13789.609255016097</c:v>
                </c:pt>
                <c:pt idx="308">
                  <c:v>13909.459185498634</c:v>
                </c:pt>
                <c:pt idx="309">
                  <c:v>14029.323982229424</c:v>
                </c:pt>
                <c:pt idx="310">
                  <c:v>14149.203647029868</c:v>
                </c:pt>
                <c:pt idx="311">
                  <c:v>14508.931868061616</c:v>
                </c:pt>
                <c:pt idx="312">
                  <c:v>14628.871023355019</c:v>
                </c:pt>
                <c:pt idx="313">
                  <c:v>14748.825055826524</c:v>
                </c:pt>
                <c:pt idx="314">
                  <c:v>14868.793967298818</c:v>
                </c:pt>
                <c:pt idx="315">
                  <c:v>14988.777759594155</c:v>
                </c:pt>
                <c:pt idx="316">
                  <c:v>15348.818439649682</c:v>
                </c:pt>
                <c:pt idx="317">
                  <c:v>15468.861773469158</c:v>
                </c:pt>
                <c:pt idx="318">
                  <c:v>15588.919997228079</c:v>
                </c:pt>
                <c:pt idx="319">
                  <c:v>15708.993112750986</c:v>
                </c:pt>
                <c:pt idx="320">
                  <c:v>15829.081121861836</c:v>
                </c:pt>
                <c:pt idx="321">
                  <c:v>16189.434528967804</c:v>
                </c:pt>
                <c:pt idx="322">
                  <c:v>16309.582130677316</c:v>
                </c:pt>
                <c:pt idx="323">
                  <c:v>16429.744635098712</c:v>
                </c:pt>
                <c:pt idx="324">
                  <c:v>16549.922044058509</c:v>
                </c:pt>
                <c:pt idx="325">
                  <c:v>16670.114359381383</c:v>
                </c:pt>
                <c:pt idx="326">
                  <c:v>17030.780761794398</c:v>
                </c:pt>
                <c:pt idx="327">
                  <c:v>17151.032720834366</c:v>
                </c:pt>
                <c:pt idx="328">
                  <c:v>17271.299595370587</c:v>
                </c:pt>
                <c:pt idx="329">
                  <c:v>17391.581387229438</c:v>
                </c:pt>
                <c:pt idx="330">
                  <c:v>17511.878098238718</c:v>
                </c:pt>
                <c:pt idx="331">
                  <c:v>17872.85776444502</c:v>
                </c:pt>
                <c:pt idx="332">
                  <c:v>17993.214170333602</c:v>
                </c:pt>
                <c:pt idx="333">
                  <c:v>18113.585504512463</c:v>
                </c:pt>
                <c:pt idx="334">
                  <c:v>18233.971768810123</c:v>
                </c:pt>
                <c:pt idx="335">
                  <c:v>18354.372965055791</c:v>
                </c:pt>
                <c:pt idx="336">
                  <c:v>18715.666163772836</c:v>
                </c:pt>
                <c:pt idx="337">
                  <c:v>18836.127106103781</c:v>
                </c:pt>
                <c:pt idx="338">
                  <c:v>18956.602989530409</c:v>
                </c:pt>
                <c:pt idx="339">
                  <c:v>19077.093815883221</c:v>
                </c:pt>
                <c:pt idx="340">
                  <c:v>19197.599586992437</c:v>
                </c:pt>
                <c:pt idx="341">
                  <c:v>19559.206587167901</c:v>
                </c:pt>
                <c:pt idx="342">
                  <c:v>19679.772155612412</c:v>
                </c:pt>
                <c:pt idx="343">
                  <c:v>19800.352677969378</c:v>
                </c:pt>
                <c:pt idx="344">
                  <c:v>19920.948156070011</c:v>
                </c:pt>
                <c:pt idx="345">
                  <c:v>20041.558591747089</c:v>
                </c:pt>
                <c:pt idx="346">
                  <c:v>20403.479662558573</c:v>
                </c:pt>
                <c:pt idx="347">
                  <c:v>20524.149946864876</c:v>
                </c:pt>
                <c:pt idx="348">
                  <c:v>20644.835197911067</c:v>
                </c:pt>
                <c:pt idx="349">
                  <c:v>20765.535417530198</c:v>
                </c:pt>
                <c:pt idx="350">
                  <c:v>20886.250607555758</c:v>
                </c:pt>
                <c:pt idx="351">
                  <c:v>21248.486018412652</c:v>
                </c:pt>
                <c:pt idx="352">
                  <c:v>21369.261108405717</c:v>
                </c:pt>
                <c:pt idx="353">
                  <c:v>21490.051177977039</c:v>
                </c:pt>
                <c:pt idx="354">
                  <c:v>21610.856228961238</c:v>
                </c:pt>
                <c:pt idx="355">
                  <c:v>21731.676263193782</c:v>
                </c:pt>
                <c:pt idx="356">
                  <c:v>22094.226283736105</c:v>
                </c:pt>
                <c:pt idx="357">
                  <c:v>22215.106269318203</c:v>
                </c:pt>
                <c:pt idx="358">
                  <c:v>22336.001247327586</c:v>
                </c:pt>
                <c:pt idx="359">
                  <c:v>22456.911219601287</c:v>
                </c:pt>
                <c:pt idx="360">
                  <c:v>22577.836187975779</c:v>
                </c:pt>
                <c:pt idx="361">
                  <c:v>22940.701088075337</c:v>
                </c:pt>
                <c:pt idx="362">
                  <c:v>23061.686059225343</c:v>
                </c:pt>
                <c:pt idx="363">
                  <c:v>23182.686035663166</c:v>
                </c:pt>
                <c:pt idx="364">
                  <c:v>23303.70101922741</c:v>
                </c:pt>
                <c:pt idx="365">
                  <c:v>23424.731011755965</c:v>
                </c:pt>
                <c:pt idx="366">
                  <c:v>23787.911061515493</c:v>
                </c:pt>
                <c:pt idx="367">
                  <c:v>23909.00110829014</c:v>
                </c:pt>
                <c:pt idx="368">
                  <c:v>24030.106173224092</c:v>
                </c:pt>
                <c:pt idx="369">
                  <c:v>24151.226258157221</c:v>
                </c:pt>
                <c:pt idx="370">
                  <c:v>24272.36136492942</c:v>
                </c:pt>
                <c:pt idx="371">
                  <c:v>24635.856834683713</c:v>
                </c:pt>
                <c:pt idx="372">
                  <c:v>24757.052047216486</c:v>
                </c:pt>
                <c:pt idx="373">
                  <c:v>24878.26229079099</c:v>
                </c:pt>
                <c:pt idx="374">
                  <c:v>24999.487567248805</c:v>
                </c:pt>
                <c:pt idx="375">
                  <c:v>25120.727878431517</c:v>
                </c:pt>
                <c:pt idx="376">
                  <c:v>25484.539038747145</c:v>
                </c:pt>
                <c:pt idx="377">
                  <c:v>25605.839507248696</c:v>
                </c:pt>
                <c:pt idx="378">
                  <c:v>25727.155019685772</c:v>
                </c:pt>
                <c:pt idx="379">
                  <c:v>25848.485577901796</c:v>
                </c:pt>
                <c:pt idx="380">
                  <c:v>25969.831183739065</c:v>
                </c:pt>
                <c:pt idx="381">
                  <c:v>26120.224708336435</c:v>
                </c:pt>
                <c:pt idx="382">
                  <c:v>26239.844562684557</c:v>
                </c:pt>
                <c:pt idx="383">
                  <c:v>26359.493500823126</c:v>
                </c:pt>
                <c:pt idx="384">
                  <c:v>26479.171533326731</c:v>
                </c:pt>
                <c:pt idx="385">
                  <c:v>26598.87867077464</c:v>
                </c:pt>
                <c:pt idx="386">
                  <c:v>26958.174818655629</c:v>
                </c:pt>
                <c:pt idx="387">
                  <c:v>27077.998481777908</c:v>
                </c:pt>
                <c:pt idx="388">
                  <c:v>27197.851302818577</c:v>
                </c:pt>
                <c:pt idx="389">
                  <c:v>27317.733292388315</c:v>
                </c:pt>
                <c:pt idx="390">
                  <c:v>27437.644461102063</c:v>
                </c:pt>
                <c:pt idx="391">
                  <c:v>27797.553148339888</c:v>
                </c:pt>
                <c:pt idx="392">
                  <c:v>27917.581139887632</c:v>
                </c:pt>
                <c:pt idx="393">
                  <c:v>28037.638363733669</c:v>
                </c:pt>
                <c:pt idx="394">
                  <c:v>28157.724830525054</c:v>
                </c:pt>
                <c:pt idx="395">
                  <c:v>28277.840550912813</c:v>
                </c:pt>
                <c:pt idx="396">
                  <c:v>28638.363340247601</c:v>
                </c:pt>
                <c:pt idx="397">
                  <c:v>28758.596181640241</c:v>
                </c:pt>
                <c:pt idx="398">
                  <c:v>28878.858329964161</c:v>
                </c:pt>
                <c:pt idx="399">
                  <c:v>28999.149795902944</c:v>
                </c:pt>
                <c:pt idx="400">
                  <c:v>29119.470590143999</c:v>
                </c:pt>
                <c:pt idx="401">
                  <c:v>29480.609049636558</c:v>
                </c:pt>
                <c:pt idx="402">
                  <c:v>29601.047264068729</c:v>
                </c:pt>
                <c:pt idx="403">
                  <c:v>29721.514860320123</c:v>
                </c:pt>
                <c:pt idx="404">
                  <c:v>29842.01184911012</c:v>
                </c:pt>
                <c:pt idx="405">
                  <c:v>29962.538241162521</c:v>
                </c:pt>
                <c:pt idx="406">
                  <c:v>30324.293944216653</c:v>
                </c:pt>
                <c:pt idx="407">
                  <c:v>30444.938056666615</c:v>
                </c:pt>
                <c:pt idx="408">
                  <c:v>30565.611626078666</c:v>
                </c:pt>
                <c:pt idx="409">
                  <c:v>30686.314663208868</c:v>
                </c:pt>
                <c:pt idx="410">
                  <c:v>30807.047178817535</c:v>
                </c:pt>
                <c:pt idx="411">
                  <c:v>31169.421704202785</c:v>
                </c:pt>
                <c:pt idx="412">
                  <c:v>31290.272241439336</c:v>
                </c:pt>
                <c:pt idx="413">
                  <c:v>31411.152311037797</c:v>
                </c:pt>
                <c:pt idx="414">
                  <c:v>31532.061923790032</c:v>
                </c:pt>
                <c:pt idx="415">
                  <c:v>31653.001090493868</c:v>
                </c:pt>
                <c:pt idx="416">
                  <c:v>32015.996022368818</c:v>
                </c:pt>
                <c:pt idx="417">
                  <c:v>32137.053512959454</c:v>
                </c:pt>
                <c:pt idx="418">
                  <c:v>32258.140611568877</c:v>
                </c:pt>
                <c:pt idx="419">
                  <c:v>32379.25732902591</c:v>
                </c:pt>
                <c:pt idx="420">
                  <c:v>32500.403676165188</c:v>
                </c:pt>
                <c:pt idx="421">
                  <c:v>32864.020604100064</c:v>
                </c:pt>
                <c:pt idx="422">
                  <c:v>32985.285578418603</c:v>
                </c:pt>
                <c:pt idx="423">
                  <c:v>33106.580236671172</c:v>
                </c:pt>
                <c:pt idx="424">
                  <c:v>33227.904589723963</c:v>
                </c:pt>
                <c:pt idx="425">
                  <c:v>33349.258648448696</c:v>
                </c:pt>
                <c:pt idx="426">
                  <c:v>33713.499167448652</c:v>
                </c:pt>
                <c:pt idx="427">
                  <c:v>33834.972157682088</c:v>
                </c:pt>
                <c:pt idx="428">
                  <c:v>33956.474908025135</c:v>
                </c:pt>
                <c:pt idx="429">
                  <c:v>34078.007429380923</c:v>
                </c:pt>
                <c:pt idx="430">
                  <c:v>34199.569732658143</c:v>
                </c:pt>
                <c:pt idx="431">
                  <c:v>34564.435443186303</c:v>
                </c:pt>
                <c:pt idx="432">
                  <c:v>34686.116983343869</c:v>
                </c:pt>
                <c:pt idx="433">
                  <c:v>34807.828360047119</c:v>
                </c:pt>
                <c:pt idx="434">
                  <c:v>34929.569584236422</c:v>
                </c:pt>
                <c:pt idx="435">
                  <c:v>35051.340666858247</c:v>
                </c:pt>
                <c:pt idx="436">
                  <c:v>35416.833174859843</c:v>
                </c:pt>
                <c:pt idx="437">
                  <c:v>35538.723800779735</c:v>
                </c:pt>
                <c:pt idx="438">
                  <c:v>35660.644339943421</c:v>
                </c:pt>
                <c:pt idx="439">
                  <c:v>35782.59480332907</c:v>
                </c:pt>
                <c:pt idx="440">
                  <c:v>35904.575201920394</c:v>
                </c:pt>
                <c:pt idx="441">
                  <c:v>36270.696118845102</c:v>
                </c:pt>
                <c:pt idx="442">
                  <c:v>36392.796368203111</c:v>
                </c:pt>
                <c:pt idx="443">
                  <c:v>36514.926607766058</c:v>
                </c:pt>
                <c:pt idx="444">
                  <c:v>36637.086848549938</c:v>
                </c:pt>
                <c:pt idx="445">
                  <c:v>36759.277101575957</c:v>
                </c:pt>
                <c:pt idx="446">
                  <c:v>37126.02804440249</c:v>
                </c:pt>
                <c:pt idx="447">
                  <c:v>37248.338456719248</c:v>
                </c:pt>
                <c:pt idx="448">
                  <c:v>37370.678936466575</c:v>
                </c:pt>
                <c:pt idx="449">
                  <c:v>37493.049494698098</c:v>
                </c:pt>
                <c:pt idx="450">
                  <c:v>37615.450142472575</c:v>
                </c:pt>
                <c:pt idx="451">
                  <c:v>37982.83273373179</c:v>
                </c:pt>
                <c:pt idx="452">
                  <c:v>38105.353850381318</c:v>
                </c:pt>
                <c:pt idx="453">
                  <c:v>38227.905111952066</c:v>
                </c:pt>
                <c:pt idx="454">
                  <c:v>38350.486529536043</c:v>
                </c:pt>
                <c:pt idx="455">
                  <c:v>38473.098114229935</c:v>
                </c:pt>
                <c:pt idx="456">
                  <c:v>38841.113982028481</c:v>
                </c:pt>
                <c:pt idx="457">
                  <c:v>38963.846346245569</c:v>
                </c:pt>
                <c:pt idx="458">
                  <c:v>39086.608933141135</c:v>
                </c:pt>
                <c:pt idx="459">
                  <c:v>39209.401753845399</c:v>
                </c:pt>
                <c:pt idx="460">
                  <c:v>39332.224819493422</c:v>
                </c:pt>
                <c:pt idx="461">
                  <c:v>39700.875597539161</c:v>
                </c:pt>
                <c:pt idx="462">
                  <c:v>39823.819754427335</c:v>
                </c:pt>
                <c:pt idx="463">
                  <c:v>39946.794212019391</c:v>
                </c:pt>
                <c:pt idx="464">
                  <c:v>40069.798981483356</c:v>
                </c:pt>
                <c:pt idx="465">
                  <c:v>40192.834073992795</c:v>
                </c:pt>
                <c:pt idx="466">
                  <c:v>40562.121401616801</c:v>
                </c:pt>
                <c:pt idx="467">
                  <c:v>40685.277898157394</c:v>
                </c:pt>
                <c:pt idx="468">
                  <c:v>40808.464773695581</c:v>
                </c:pt>
                <c:pt idx="469">
                  <c:v>40931.682039437896</c:v>
                </c:pt>
                <c:pt idx="470">
                  <c:v>41054.929706596566</c:v>
                </c:pt>
                <c:pt idx="471">
                  <c:v>41424.855228779175</c:v>
                </c:pt>
                <c:pt idx="472">
                  <c:v>41548.224613838029</c:v>
                </c:pt>
                <c:pt idx="473">
                  <c:v>41671.624456458478</c:v>
                </c:pt>
                <c:pt idx="474">
                  <c:v>41795.054767885427</c:v>
                </c:pt>
                <c:pt idx="475">
                  <c:v>41918.515559369895</c:v>
                </c:pt>
                <c:pt idx="476">
                  <c:v>42289.080926763709</c:v>
                </c:pt>
                <c:pt idx="477">
                  <c:v>42412.663751100408</c:v>
                </c:pt>
                <c:pt idx="478">
                  <c:v>42536.277111833413</c:v>
                </c:pt>
                <c:pt idx="479">
                  <c:v>42659.921020246715</c:v>
                </c:pt>
                <c:pt idx="480">
                  <c:v>42783.595487630271</c:v>
                </c:pt>
                <c:pt idx="481">
                  <c:v>43154.80235658586</c:v>
                </c:pt>
                <c:pt idx="482">
                  <c:v>43278.599172860966</c:v>
                </c:pt>
                <c:pt idx="483">
                  <c:v>43402.426604639666</c:v>
                </c:pt>
                <c:pt idx="484">
                  <c:v>43526.284663245162</c:v>
                </c:pt>
                <c:pt idx="485">
                  <c:v>43650.173360005923</c:v>
                </c:pt>
                <c:pt idx="486">
                  <c:v>44022.023392595438</c:v>
                </c:pt>
                <c:pt idx="487">
                  <c:v>44146.034755379456</c:v>
                </c:pt>
                <c:pt idx="488">
                  <c:v>44270.076813047766</c:v>
                </c:pt>
                <c:pt idx="489">
                  <c:v>44394.149576962795</c:v>
                </c:pt>
                <c:pt idx="490">
                  <c:v>44518.253058492228</c:v>
                </c:pt>
                <c:pt idx="491">
                  <c:v>44890.747922534261</c:v>
                </c:pt>
                <c:pt idx="492">
                  <c:v>45014.974388316026</c:v>
                </c:pt>
                <c:pt idx="493">
                  <c:v>45139.231628637186</c:v>
                </c:pt>
                <c:pt idx="494">
                  <c:v>45263.519654899537</c:v>
                </c:pt>
                <c:pt idx="495">
                  <c:v>45387.838478510421</c:v>
                </c:pt>
                <c:pt idx="496">
                  <c:v>45760.979847595583</c:v>
                </c:pt>
                <c:pt idx="497">
                  <c:v>45885.421974789206</c:v>
                </c:pt>
                <c:pt idx="498">
                  <c:v>46009.894956453594</c:v>
                </c:pt>
                <c:pt idx="499">
                  <c:v>46134.398804030046</c:v>
                </c:pt>
                <c:pt idx="500">
                  <c:v>46258.933528965266</c:v>
                </c:pt>
                <c:pt idx="501">
                  <c:v>46632.723082480217</c:v>
                </c:pt>
                <c:pt idx="502">
                  <c:v>46757.381431435046</c:v>
                </c:pt>
                <c:pt idx="503">
                  <c:v>46882.070715068832</c:v>
                </c:pt>
                <c:pt idx="504">
                  <c:v>47006.790944862674</c:v>
                </c:pt>
                <c:pt idx="505">
                  <c:v>47131.542132302922</c:v>
                </c:pt>
                <c:pt idx="506">
                  <c:v>47505.981555456659</c:v>
                </c:pt>
                <c:pt idx="507">
                  <c:v>47630.856688464526</c:v>
                </c:pt>
                <c:pt idx="508">
                  <c:v>47755.762836638081</c:v>
                </c:pt>
                <c:pt idx="509">
                  <c:v>47880.700011498062</c:v>
                </c:pt>
                <c:pt idx="510">
                  <c:v>48005.668224570618</c:v>
                </c:pt>
                <c:pt idx="511">
                  <c:v>48199.728260869502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E-453C-A00D-E12DF60EA650}"/>
            </c:ext>
          </c:extLst>
        </c:ser>
        <c:ser>
          <c:idx val="2"/>
          <c:order val="2"/>
          <c:tx>
            <c:v>Gcapital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'Bond (4)'!$A$16:$A$527</c:f>
              <c:numCache>
                <c:formatCode>m/d/yyyy</c:formatCode>
                <c:ptCount val="512"/>
                <c:pt idx="0">
                  <c:v>43539</c:v>
                </c:pt>
                <c:pt idx="1">
                  <c:v>43542</c:v>
                </c:pt>
                <c:pt idx="2">
                  <c:v>43543</c:v>
                </c:pt>
                <c:pt idx="3">
                  <c:v>43544</c:v>
                </c:pt>
                <c:pt idx="4">
                  <c:v>43545</c:v>
                </c:pt>
                <c:pt idx="5">
                  <c:v>43546</c:v>
                </c:pt>
                <c:pt idx="6">
                  <c:v>43549</c:v>
                </c:pt>
                <c:pt idx="7">
                  <c:v>43550</c:v>
                </c:pt>
                <c:pt idx="8">
                  <c:v>43551</c:v>
                </c:pt>
                <c:pt idx="9">
                  <c:v>43552</c:v>
                </c:pt>
                <c:pt idx="10">
                  <c:v>43553</c:v>
                </c:pt>
                <c:pt idx="11">
                  <c:v>43556</c:v>
                </c:pt>
                <c:pt idx="12">
                  <c:v>43557</c:v>
                </c:pt>
                <c:pt idx="13">
                  <c:v>43558</c:v>
                </c:pt>
                <c:pt idx="14">
                  <c:v>43559</c:v>
                </c:pt>
                <c:pt idx="15">
                  <c:v>43560</c:v>
                </c:pt>
                <c:pt idx="16">
                  <c:v>43563</c:v>
                </c:pt>
                <c:pt idx="17">
                  <c:v>43564</c:v>
                </c:pt>
                <c:pt idx="18">
                  <c:v>43565</c:v>
                </c:pt>
                <c:pt idx="19">
                  <c:v>43566</c:v>
                </c:pt>
                <c:pt idx="20">
                  <c:v>43567</c:v>
                </c:pt>
                <c:pt idx="21">
                  <c:v>43570</c:v>
                </c:pt>
                <c:pt idx="22">
                  <c:v>43571</c:v>
                </c:pt>
                <c:pt idx="23">
                  <c:v>43572</c:v>
                </c:pt>
                <c:pt idx="24">
                  <c:v>43573</c:v>
                </c:pt>
                <c:pt idx="25">
                  <c:v>43574</c:v>
                </c:pt>
                <c:pt idx="26">
                  <c:v>43577</c:v>
                </c:pt>
                <c:pt idx="27">
                  <c:v>43578</c:v>
                </c:pt>
                <c:pt idx="28">
                  <c:v>43579</c:v>
                </c:pt>
                <c:pt idx="29">
                  <c:v>43580</c:v>
                </c:pt>
                <c:pt idx="30">
                  <c:v>43581</c:v>
                </c:pt>
                <c:pt idx="31">
                  <c:v>43584</c:v>
                </c:pt>
                <c:pt idx="32">
                  <c:v>43585</c:v>
                </c:pt>
                <c:pt idx="33">
                  <c:v>43586</c:v>
                </c:pt>
                <c:pt idx="34">
                  <c:v>43587</c:v>
                </c:pt>
                <c:pt idx="35">
                  <c:v>43588</c:v>
                </c:pt>
                <c:pt idx="36">
                  <c:v>43591</c:v>
                </c:pt>
                <c:pt idx="37">
                  <c:v>43592</c:v>
                </c:pt>
                <c:pt idx="38">
                  <c:v>43593</c:v>
                </c:pt>
                <c:pt idx="39">
                  <c:v>43594</c:v>
                </c:pt>
                <c:pt idx="40">
                  <c:v>43595</c:v>
                </c:pt>
                <c:pt idx="41">
                  <c:v>43598</c:v>
                </c:pt>
                <c:pt idx="42">
                  <c:v>43599</c:v>
                </c:pt>
                <c:pt idx="43">
                  <c:v>43600</c:v>
                </c:pt>
                <c:pt idx="44">
                  <c:v>43601</c:v>
                </c:pt>
                <c:pt idx="45">
                  <c:v>43602</c:v>
                </c:pt>
                <c:pt idx="46">
                  <c:v>43605</c:v>
                </c:pt>
                <c:pt idx="47">
                  <c:v>43606</c:v>
                </c:pt>
                <c:pt idx="48">
                  <c:v>43607</c:v>
                </c:pt>
                <c:pt idx="49">
                  <c:v>43608</c:v>
                </c:pt>
                <c:pt idx="50">
                  <c:v>43609</c:v>
                </c:pt>
                <c:pt idx="51">
                  <c:v>43612</c:v>
                </c:pt>
                <c:pt idx="52">
                  <c:v>43613</c:v>
                </c:pt>
                <c:pt idx="53">
                  <c:v>43614</c:v>
                </c:pt>
                <c:pt idx="54">
                  <c:v>43615</c:v>
                </c:pt>
                <c:pt idx="55">
                  <c:v>43616</c:v>
                </c:pt>
                <c:pt idx="56">
                  <c:v>43619</c:v>
                </c:pt>
                <c:pt idx="57">
                  <c:v>43620</c:v>
                </c:pt>
                <c:pt idx="58">
                  <c:v>43621</c:v>
                </c:pt>
                <c:pt idx="59">
                  <c:v>43622</c:v>
                </c:pt>
                <c:pt idx="60">
                  <c:v>43623</c:v>
                </c:pt>
                <c:pt idx="61">
                  <c:v>43626</c:v>
                </c:pt>
                <c:pt idx="62">
                  <c:v>43627</c:v>
                </c:pt>
                <c:pt idx="63">
                  <c:v>43628</c:v>
                </c:pt>
                <c:pt idx="64">
                  <c:v>43629</c:v>
                </c:pt>
                <c:pt idx="65">
                  <c:v>43630</c:v>
                </c:pt>
                <c:pt idx="66">
                  <c:v>43633</c:v>
                </c:pt>
                <c:pt idx="67">
                  <c:v>43634</c:v>
                </c:pt>
                <c:pt idx="68">
                  <c:v>43635</c:v>
                </c:pt>
                <c:pt idx="69">
                  <c:v>43636</c:v>
                </c:pt>
                <c:pt idx="70">
                  <c:v>43637</c:v>
                </c:pt>
                <c:pt idx="71">
                  <c:v>43640</c:v>
                </c:pt>
                <c:pt idx="72">
                  <c:v>43641</c:v>
                </c:pt>
                <c:pt idx="73">
                  <c:v>43642</c:v>
                </c:pt>
                <c:pt idx="74">
                  <c:v>43643</c:v>
                </c:pt>
                <c:pt idx="75">
                  <c:v>43644</c:v>
                </c:pt>
                <c:pt idx="76">
                  <c:v>43647</c:v>
                </c:pt>
                <c:pt idx="77">
                  <c:v>43648</c:v>
                </c:pt>
                <c:pt idx="78">
                  <c:v>43649</c:v>
                </c:pt>
                <c:pt idx="79">
                  <c:v>43650</c:v>
                </c:pt>
                <c:pt idx="80">
                  <c:v>43651</c:v>
                </c:pt>
                <c:pt idx="81">
                  <c:v>43654</c:v>
                </c:pt>
                <c:pt idx="82">
                  <c:v>43655</c:v>
                </c:pt>
                <c:pt idx="83">
                  <c:v>43656</c:v>
                </c:pt>
                <c:pt idx="84">
                  <c:v>43657</c:v>
                </c:pt>
                <c:pt idx="85">
                  <c:v>43658</c:v>
                </c:pt>
                <c:pt idx="86">
                  <c:v>43661</c:v>
                </c:pt>
                <c:pt idx="87">
                  <c:v>43662</c:v>
                </c:pt>
                <c:pt idx="88">
                  <c:v>43663</c:v>
                </c:pt>
                <c:pt idx="89">
                  <c:v>43664</c:v>
                </c:pt>
                <c:pt idx="90">
                  <c:v>43665</c:v>
                </c:pt>
                <c:pt idx="91">
                  <c:v>43668</c:v>
                </c:pt>
                <c:pt idx="92">
                  <c:v>43669</c:v>
                </c:pt>
                <c:pt idx="93">
                  <c:v>43670</c:v>
                </c:pt>
                <c:pt idx="94">
                  <c:v>43671</c:v>
                </c:pt>
                <c:pt idx="95">
                  <c:v>43672</c:v>
                </c:pt>
                <c:pt idx="96">
                  <c:v>43675</c:v>
                </c:pt>
                <c:pt idx="97">
                  <c:v>43676</c:v>
                </c:pt>
                <c:pt idx="98">
                  <c:v>43677</c:v>
                </c:pt>
                <c:pt idx="99">
                  <c:v>43678</c:v>
                </c:pt>
                <c:pt idx="100">
                  <c:v>43679</c:v>
                </c:pt>
                <c:pt idx="101">
                  <c:v>43682</c:v>
                </c:pt>
                <c:pt idx="102">
                  <c:v>43683</c:v>
                </c:pt>
                <c:pt idx="103">
                  <c:v>43684</c:v>
                </c:pt>
                <c:pt idx="104">
                  <c:v>43685</c:v>
                </c:pt>
                <c:pt idx="105">
                  <c:v>43686</c:v>
                </c:pt>
                <c:pt idx="106">
                  <c:v>43689</c:v>
                </c:pt>
                <c:pt idx="107">
                  <c:v>43690</c:v>
                </c:pt>
                <c:pt idx="108">
                  <c:v>43691</c:v>
                </c:pt>
                <c:pt idx="109">
                  <c:v>43692</c:v>
                </c:pt>
                <c:pt idx="110">
                  <c:v>43693</c:v>
                </c:pt>
                <c:pt idx="111">
                  <c:v>43696</c:v>
                </c:pt>
                <c:pt idx="112">
                  <c:v>43697</c:v>
                </c:pt>
                <c:pt idx="113">
                  <c:v>43698</c:v>
                </c:pt>
                <c:pt idx="114">
                  <c:v>43699</c:v>
                </c:pt>
                <c:pt idx="115">
                  <c:v>43700</c:v>
                </c:pt>
                <c:pt idx="116">
                  <c:v>43703</c:v>
                </c:pt>
                <c:pt idx="117">
                  <c:v>43704</c:v>
                </c:pt>
                <c:pt idx="118">
                  <c:v>43705</c:v>
                </c:pt>
                <c:pt idx="119">
                  <c:v>43706</c:v>
                </c:pt>
                <c:pt idx="120">
                  <c:v>43707</c:v>
                </c:pt>
                <c:pt idx="121">
                  <c:v>43710</c:v>
                </c:pt>
                <c:pt idx="122">
                  <c:v>43711</c:v>
                </c:pt>
                <c:pt idx="123">
                  <c:v>43712</c:v>
                </c:pt>
                <c:pt idx="124">
                  <c:v>43713</c:v>
                </c:pt>
                <c:pt idx="125">
                  <c:v>43714</c:v>
                </c:pt>
                <c:pt idx="126">
                  <c:v>43717</c:v>
                </c:pt>
                <c:pt idx="127">
                  <c:v>43718</c:v>
                </c:pt>
                <c:pt idx="128">
                  <c:v>43719</c:v>
                </c:pt>
                <c:pt idx="129">
                  <c:v>43720</c:v>
                </c:pt>
                <c:pt idx="130">
                  <c:v>43721</c:v>
                </c:pt>
                <c:pt idx="131">
                  <c:v>43724</c:v>
                </c:pt>
                <c:pt idx="132">
                  <c:v>43725</c:v>
                </c:pt>
                <c:pt idx="133">
                  <c:v>43726</c:v>
                </c:pt>
                <c:pt idx="134">
                  <c:v>43727</c:v>
                </c:pt>
                <c:pt idx="135">
                  <c:v>43728</c:v>
                </c:pt>
                <c:pt idx="136">
                  <c:v>43731</c:v>
                </c:pt>
                <c:pt idx="137">
                  <c:v>43732</c:v>
                </c:pt>
                <c:pt idx="138">
                  <c:v>43733</c:v>
                </c:pt>
                <c:pt idx="139">
                  <c:v>43734</c:v>
                </c:pt>
                <c:pt idx="140">
                  <c:v>43735</c:v>
                </c:pt>
                <c:pt idx="141">
                  <c:v>43738</c:v>
                </c:pt>
                <c:pt idx="142">
                  <c:v>43739</c:v>
                </c:pt>
                <c:pt idx="143">
                  <c:v>43740</c:v>
                </c:pt>
                <c:pt idx="144">
                  <c:v>43741</c:v>
                </c:pt>
                <c:pt idx="145">
                  <c:v>43742</c:v>
                </c:pt>
                <c:pt idx="146">
                  <c:v>43745</c:v>
                </c:pt>
                <c:pt idx="147">
                  <c:v>43746</c:v>
                </c:pt>
                <c:pt idx="148">
                  <c:v>43747</c:v>
                </c:pt>
                <c:pt idx="149">
                  <c:v>43748</c:v>
                </c:pt>
                <c:pt idx="150">
                  <c:v>43749</c:v>
                </c:pt>
                <c:pt idx="151">
                  <c:v>43752</c:v>
                </c:pt>
                <c:pt idx="152">
                  <c:v>43753</c:v>
                </c:pt>
                <c:pt idx="153">
                  <c:v>43754</c:v>
                </c:pt>
                <c:pt idx="154">
                  <c:v>43755</c:v>
                </c:pt>
                <c:pt idx="155">
                  <c:v>43756</c:v>
                </c:pt>
                <c:pt idx="156">
                  <c:v>43759</c:v>
                </c:pt>
                <c:pt idx="157">
                  <c:v>43760</c:v>
                </c:pt>
                <c:pt idx="158">
                  <c:v>43761</c:v>
                </c:pt>
                <c:pt idx="159">
                  <c:v>43762</c:v>
                </c:pt>
                <c:pt idx="160">
                  <c:v>43763</c:v>
                </c:pt>
                <c:pt idx="161">
                  <c:v>43766</c:v>
                </c:pt>
                <c:pt idx="162">
                  <c:v>43767</c:v>
                </c:pt>
                <c:pt idx="163">
                  <c:v>43768</c:v>
                </c:pt>
                <c:pt idx="164">
                  <c:v>43769</c:v>
                </c:pt>
                <c:pt idx="165">
                  <c:v>43770</c:v>
                </c:pt>
                <c:pt idx="166">
                  <c:v>43773</c:v>
                </c:pt>
                <c:pt idx="167">
                  <c:v>43774</c:v>
                </c:pt>
                <c:pt idx="168">
                  <c:v>43775</c:v>
                </c:pt>
                <c:pt idx="169">
                  <c:v>43776</c:v>
                </c:pt>
                <c:pt idx="170">
                  <c:v>43777</c:v>
                </c:pt>
                <c:pt idx="171">
                  <c:v>43780</c:v>
                </c:pt>
                <c:pt idx="172">
                  <c:v>43781</c:v>
                </c:pt>
                <c:pt idx="173">
                  <c:v>43782</c:v>
                </c:pt>
                <c:pt idx="174">
                  <c:v>43783</c:v>
                </c:pt>
                <c:pt idx="175">
                  <c:v>43784</c:v>
                </c:pt>
                <c:pt idx="176">
                  <c:v>43787</c:v>
                </c:pt>
                <c:pt idx="177">
                  <c:v>43788</c:v>
                </c:pt>
                <c:pt idx="178">
                  <c:v>43789</c:v>
                </c:pt>
                <c:pt idx="179">
                  <c:v>43790</c:v>
                </c:pt>
                <c:pt idx="180">
                  <c:v>43791</c:v>
                </c:pt>
                <c:pt idx="181">
                  <c:v>43794</c:v>
                </c:pt>
                <c:pt idx="182">
                  <c:v>43795</c:v>
                </c:pt>
                <c:pt idx="183">
                  <c:v>43796</c:v>
                </c:pt>
                <c:pt idx="184">
                  <c:v>43797</c:v>
                </c:pt>
                <c:pt idx="185">
                  <c:v>43798</c:v>
                </c:pt>
                <c:pt idx="186">
                  <c:v>43801</c:v>
                </c:pt>
                <c:pt idx="187">
                  <c:v>43802</c:v>
                </c:pt>
                <c:pt idx="188">
                  <c:v>43803</c:v>
                </c:pt>
                <c:pt idx="189">
                  <c:v>43804</c:v>
                </c:pt>
                <c:pt idx="190">
                  <c:v>43805</c:v>
                </c:pt>
                <c:pt idx="191">
                  <c:v>43808</c:v>
                </c:pt>
                <c:pt idx="192">
                  <c:v>43809</c:v>
                </c:pt>
                <c:pt idx="193">
                  <c:v>43810</c:v>
                </c:pt>
                <c:pt idx="194">
                  <c:v>43811</c:v>
                </c:pt>
                <c:pt idx="195">
                  <c:v>43812</c:v>
                </c:pt>
                <c:pt idx="196">
                  <c:v>43815</c:v>
                </c:pt>
                <c:pt idx="197">
                  <c:v>43816</c:v>
                </c:pt>
                <c:pt idx="198">
                  <c:v>43817</c:v>
                </c:pt>
                <c:pt idx="199">
                  <c:v>43818</c:v>
                </c:pt>
                <c:pt idx="200">
                  <c:v>43819</c:v>
                </c:pt>
                <c:pt idx="201">
                  <c:v>43822</c:v>
                </c:pt>
                <c:pt idx="202">
                  <c:v>43823</c:v>
                </c:pt>
                <c:pt idx="203">
                  <c:v>43824</c:v>
                </c:pt>
                <c:pt idx="204">
                  <c:v>43825</c:v>
                </c:pt>
                <c:pt idx="205">
                  <c:v>43826</c:v>
                </c:pt>
                <c:pt idx="206">
                  <c:v>43829</c:v>
                </c:pt>
                <c:pt idx="207">
                  <c:v>43830</c:v>
                </c:pt>
                <c:pt idx="208">
                  <c:v>43831</c:v>
                </c:pt>
                <c:pt idx="209">
                  <c:v>43832</c:v>
                </c:pt>
                <c:pt idx="210">
                  <c:v>43833</c:v>
                </c:pt>
                <c:pt idx="211">
                  <c:v>43836</c:v>
                </c:pt>
                <c:pt idx="212">
                  <c:v>43837</c:v>
                </c:pt>
                <c:pt idx="213">
                  <c:v>43838</c:v>
                </c:pt>
                <c:pt idx="214">
                  <c:v>43839</c:v>
                </c:pt>
                <c:pt idx="215">
                  <c:v>43840</c:v>
                </c:pt>
                <c:pt idx="216">
                  <c:v>43843</c:v>
                </c:pt>
                <c:pt idx="217">
                  <c:v>43844</c:v>
                </c:pt>
                <c:pt idx="218">
                  <c:v>43845</c:v>
                </c:pt>
                <c:pt idx="219">
                  <c:v>43846</c:v>
                </c:pt>
                <c:pt idx="220">
                  <c:v>43847</c:v>
                </c:pt>
                <c:pt idx="221">
                  <c:v>43850</c:v>
                </c:pt>
                <c:pt idx="222">
                  <c:v>43851</c:v>
                </c:pt>
                <c:pt idx="223">
                  <c:v>43852</c:v>
                </c:pt>
                <c:pt idx="224">
                  <c:v>43853</c:v>
                </c:pt>
                <c:pt idx="225">
                  <c:v>43854</c:v>
                </c:pt>
                <c:pt idx="226">
                  <c:v>43857</c:v>
                </c:pt>
                <c:pt idx="227">
                  <c:v>43858</c:v>
                </c:pt>
                <c:pt idx="228">
                  <c:v>43859</c:v>
                </c:pt>
                <c:pt idx="229">
                  <c:v>43860</c:v>
                </c:pt>
                <c:pt idx="230">
                  <c:v>43861</c:v>
                </c:pt>
                <c:pt idx="231">
                  <c:v>43864</c:v>
                </c:pt>
                <c:pt idx="232">
                  <c:v>43865</c:v>
                </c:pt>
                <c:pt idx="233">
                  <c:v>43866</c:v>
                </c:pt>
                <c:pt idx="234">
                  <c:v>43867</c:v>
                </c:pt>
                <c:pt idx="235">
                  <c:v>43868</c:v>
                </c:pt>
                <c:pt idx="236">
                  <c:v>43871</c:v>
                </c:pt>
                <c:pt idx="237">
                  <c:v>43872</c:v>
                </c:pt>
                <c:pt idx="238">
                  <c:v>43873</c:v>
                </c:pt>
                <c:pt idx="239">
                  <c:v>43874</c:v>
                </c:pt>
                <c:pt idx="240">
                  <c:v>43875</c:v>
                </c:pt>
                <c:pt idx="241">
                  <c:v>43878</c:v>
                </c:pt>
                <c:pt idx="242">
                  <c:v>43879</c:v>
                </c:pt>
                <c:pt idx="243">
                  <c:v>43880</c:v>
                </c:pt>
                <c:pt idx="244">
                  <c:v>43881</c:v>
                </c:pt>
                <c:pt idx="245">
                  <c:v>43882</c:v>
                </c:pt>
                <c:pt idx="246">
                  <c:v>43885</c:v>
                </c:pt>
                <c:pt idx="247">
                  <c:v>43886</c:v>
                </c:pt>
                <c:pt idx="248">
                  <c:v>43887</c:v>
                </c:pt>
                <c:pt idx="249">
                  <c:v>43888</c:v>
                </c:pt>
                <c:pt idx="250">
                  <c:v>43889</c:v>
                </c:pt>
                <c:pt idx="251">
                  <c:v>43892</c:v>
                </c:pt>
                <c:pt idx="252">
                  <c:v>43893</c:v>
                </c:pt>
                <c:pt idx="253">
                  <c:v>43894</c:v>
                </c:pt>
                <c:pt idx="254">
                  <c:v>43895</c:v>
                </c:pt>
                <c:pt idx="255">
                  <c:v>43896</c:v>
                </c:pt>
                <c:pt idx="256">
                  <c:v>43899</c:v>
                </c:pt>
                <c:pt idx="257">
                  <c:v>43900</c:v>
                </c:pt>
                <c:pt idx="258">
                  <c:v>43901</c:v>
                </c:pt>
                <c:pt idx="259">
                  <c:v>43902</c:v>
                </c:pt>
                <c:pt idx="260">
                  <c:v>43903</c:v>
                </c:pt>
                <c:pt idx="261">
                  <c:v>43906</c:v>
                </c:pt>
                <c:pt idx="262">
                  <c:v>43907</c:v>
                </c:pt>
                <c:pt idx="263">
                  <c:v>43908</c:v>
                </c:pt>
                <c:pt idx="264">
                  <c:v>43909</c:v>
                </c:pt>
                <c:pt idx="265">
                  <c:v>43910</c:v>
                </c:pt>
                <c:pt idx="266">
                  <c:v>43913</c:v>
                </c:pt>
                <c:pt idx="267">
                  <c:v>43914</c:v>
                </c:pt>
                <c:pt idx="268">
                  <c:v>43915</c:v>
                </c:pt>
                <c:pt idx="269">
                  <c:v>43916</c:v>
                </c:pt>
                <c:pt idx="270">
                  <c:v>43917</c:v>
                </c:pt>
                <c:pt idx="271">
                  <c:v>43920</c:v>
                </c:pt>
                <c:pt idx="272">
                  <c:v>43921</c:v>
                </c:pt>
                <c:pt idx="273">
                  <c:v>43922</c:v>
                </c:pt>
                <c:pt idx="274">
                  <c:v>43923</c:v>
                </c:pt>
                <c:pt idx="275">
                  <c:v>43924</c:v>
                </c:pt>
                <c:pt idx="276">
                  <c:v>43927</c:v>
                </c:pt>
                <c:pt idx="277">
                  <c:v>43928</c:v>
                </c:pt>
                <c:pt idx="278">
                  <c:v>43929</c:v>
                </c:pt>
                <c:pt idx="279">
                  <c:v>43930</c:v>
                </c:pt>
                <c:pt idx="280">
                  <c:v>43931</c:v>
                </c:pt>
                <c:pt idx="281">
                  <c:v>43934</c:v>
                </c:pt>
                <c:pt idx="282">
                  <c:v>43935</c:v>
                </c:pt>
                <c:pt idx="283">
                  <c:v>43936</c:v>
                </c:pt>
                <c:pt idx="284">
                  <c:v>43937</c:v>
                </c:pt>
                <c:pt idx="285">
                  <c:v>43938</c:v>
                </c:pt>
                <c:pt idx="286">
                  <c:v>43941</c:v>
                </c:pt>
                <c:pt idx="287">
                  <c:v>43942</c:v>
                </c:pt>
                <c:pt idx="288">
                  <c:v>43943</c:v>
                </c:pt>
                <c:pt idx="289">
                  <c:v>43944</c:v>
                </c:pt>
                <c:pt idx="290">
                  <c:v>43945</c:v>
                </c:pt>
                <c:pt idx="291">
                  <c:v>43948</c:v>
                </c:pt>
                <c:pt idx="292">
                  <c:v>43949</c:v>
                </c:pt>
                <c:pt idx="293">
                  <c:v>43950</c:v>
                </c:pt>
                <c:pt idx="294">
                  <c:v>43951</c:v>
                </c:pt>
                <c:pt idx="295">
                  <c:v>43952</c:v>
                </c:pt>
                <c:pt idx="296">
                  <c:v>43955</c:v>
                </c:pt>
                <c:pt idx="297">
                  <c:v>43956</c:v>
                </c:pt>
                <c:pt idx="298">
                  <c:v>43957</c:v>
                </c:pt>
                <c:pt idx="299">
                  <c:v>43958</c:v>
                </c:pt>
                <c:pt idx="300">
                  <c:v>43959</c:v>
                </c:pt>
                <c:pt idx="301">
                  <c:v>43962</c:v>
                </c:pt>
                <c:pt idx="302">
                  <c:v>43963</c:v>
                </c:pt>
                <c:pt idx="303">
                  <c:v>43964</c:v>
                </c:pt>
                <c:pt idx="304">
                  <c:v>43965</c:v>
                </c:pt>
                <c:pt idx="305">
                  <c:v>43966</c:v>
                </c:pt>
                <c:pt idx="306">
                  <c:v>43969</c:v>
                </c:pt>
                <c:pt idx="307">
                  <c:v>43970</c:v>
                </c:pt>
                <c:pt idx="308">
                  <c:v>43971</c:v>
                </c:pt>
                <c:pt idx="309">
                  <c:v>43972</c:v>
                </c:pt>
                <c:pt idx="310">
                  <c:v>43973</c:v>
                </c:pt>
                <c:pt idx="311">
                  <c:v>43976</c:v>
                </c:pt>
                <c:pt idx="312">
                  <c:v>43977</c:v>
                </c:pt>
                <c:pt idx="313">
                  <c:v>43978</c:v>
                </c:pt>
                <c:pt idx="314">
                  <c:v>43979</c:v>
                </c:pt>
                <c:pt idx="315">
                  <c:v>43980</c:v>
                </c:pt>
                <c:pt idx="316">
                  <c:v>43983</c:v>
                </c:pt>
                <c:pt idx="317">
                  <c:v>43984</c:v>
                </c:pt>
                <c:pt idx="318">
                  <c:v>43985</c:v>
                </c:pt>
                <c:pt idx="319">
                  <c:v>43986</c:v>
                </c:pt>
                <c:pt idx="320">
                  <c:v>43987</c:v>
                </c:pt>
                <c:pt idx="321">
                  <c:v>43990</c:v>
                </c:pt>
                <c:pt idx="322">
                  <c:v>43991</c:v>
                </c:pt>
                <c:pt idx="323">
                  <c:v>43992</c:v>
                </c:pt>
                <c:pt idx="324">
                  <c:v>43993</c:v>
                </c:pt>
                <c:pt idx="325">
                  <c:v>43994</c:v>
                </c:pt>
                <c:pt idx="326">
                  <c:v>43997</c:v>
                </c:pt>
                <c:pt idx="327">
                  <c:v>43998</c:v>
                </c:pt>
                <c:pt idx="328">
                  <c:v>43999</c:v>
                </c:pt>
                <c:pt idx="329">
                  <c:v>44000</c:v>
                </c:pt>
                <c:pt idx="330">
                  <c:v>44001</c:v>
                </c:pt>
                <c:pt idx="331">
                  <c:v>44004</c:v>
                </c:pt>
                <c:pt idx="332">
                  <c:v>44005</c:v>
                </c:pt>
                <c:pt idx="333">
                  <c:v>44006</c:v>
                </c:pt>
                <c:pt idx="334">
                  <c:v>44007</c:v>
                </c:pt>
                <c:pt idx="335">
                  <c:v>44008</c:v>
                </c:pt>
                <c:pt idx="336">
                  <c:v>44011</c:v>
                </c:pt>
                <c:pt idx="337">
                  <c:v>44012</c:v>
                </c:pt>
                <c:pt idx="338">
                  <c:v>44013</c:v>
                </c:pt>
                <c:pt idx="339">
                  <c:v>44014</c:v>
                </c:pt>
                <c:pt idx="340">
                  <c:v>44015</c:v>
                </c:pt>
                <c:pt idx="341">
                  <c:v>44018</c:v>
                </c:pt>
                <c:pt idx="342">
                  <c:v>44019</c:v>
                </c:pt>
                <c:pt idx="343">
                  <c:v>44020</c:v>
                </c:pt>
                <c:pt idx="344">
                  <c:v>44021</c:v>
                </c:pt>
                <c:pt idx="345">
                  <c:v>44022</c:v>
                </c:pt>
                <c:pt idx="346">
                  <c:v>44025</c:v>
                </c:pt>
                <c:pt idx="347">
                  <c:v>44026</c:v>
                </c:pt>
                <c:pt idx="348">
                  <c:v>44027</c:v>
                </c:pt>
                <c:pt idx="349">
                  <c:v>44028</c:v>
                </c:pt>
                <c:pt idx="350">
                  <c:v>44029</c:v>
                </c:pt>
                <c:pt idx="351">
                  <c:v>44032</c:v>
                </c:pt>
                <c:pt idx="352">
                  <c:v>44033</c:v>
                </c:pt>
                <c:pt idx="353">
                  <c:v>44034</c:v>
                </c:pt>
                <c:pt idx="354">
                  <c:v>44035</c:v>
                </c:pt>
                <c:pt idx="355">
                  <c:v>44036</c:v>
                </c:pt>
                <c:pt idx="356">
                  <c:v>44039</c:v>
                </c:pt>
                <c:pt idx="357">
                  <c:v>44040</c:v>
                </c:pt>
                <c:pt idx="358">
                  <c:v>44041</c:v>
                </c:pt>
                <c:pt idx="359">
                  <c:v>44042</c:v>
                </c:pt>
                <c:pt idx="360">
                  <c:v>44043</c:v>
                </c:pt>
                <c:pt idx="361">
                  <c:v>44046</c:v>
                </c:pt>
                <c:pt idx="362">
                  <c:v>44047</c:v>
                </c:pt>
                <c:pt idx="363">
                  <c:v>44048</c:v>
                </c:pt>
                <c:pt idx="364">
                  <c:v>44049</c:v>
                </c:pt>
                <c:pt idx="365">
                  <c:v>44050</c:v>
                </c:pt>
                <c:pt idx="366">
                  <c:v>44053</c:v>
                </c:pt>
                <c:pt idx="367">
                  <c:v>44054</c:v>
                </c:pt>
                <c:pt idx="368">
                  <c:v>44055</c:v>
                </c:pt>
                <c:pt idx="369">
                  <c:v>44056</c:v>
                </c:pt>
                <c:pt idx="370">
                  <c:v>44057</c:v>
                </c:pt>
                <c:pt idx="371">
                  <c:v>44060</c:v>
                </c:pt>
                <c:pt idx="372">
                  <c:v>44061</c:v>
                </c:pt>
                <c:pt idx="373">
                  <c:v>44062</c:v>
                </c:pt>
                <c:pt idx="374">
                  <c:v>44063</c:v>
                </c:pt>
                <c:pt idx="375">
                  <c:v>44064</c:v>
                </c:pt>
                <c:pt idx="376">
                  <c:v>44067</c:v>
                </c:pt>
                <c:pt idx="377">
                  <c:v>44068</c:v>
                </c:pt>
                <c:pt idx="378">
                  <c:v>44069</c:v>
                </c:pt>
                <c:pt idx="379">
                  <c:v>44070</c:v>
                </c:pt>
                <c:pt idx="380">
                  <c:v>44071</c:v>
                </c:pt>
                <c:pt idx="381">
                  <c:v>44074</c:v>
                </c:pt>
                <c:pt idx="382">
                  <c:v>44075</c:v>
                </c:pt>
                <c:pt idx="383">
                  <c:v>44076</c:v>
                </c:pt>
                <c:pt idx="384">
                  <c:v>44077</c:v>
                </c:pt>
                <c:pt idx="385">
                  <c:v>44078</c:v>
                </c:pt>
                <c:pt idx="386">
                  <c:v>44081</c:v>
                </c:pt>
                <c:pt idx="387">
                  <c:v>44082</c:v>
                </c:pt>
                <c:pt idx="388">
                  <c:v>44083</c:v>
                </c:pt>
                <c:pt idx="389">
                  <c:v>44084</c:v>
                </c:pt>
                <c:pt idx="390">
                  <c:v>44085</c:v>
                </c:pt>
                <c:pt idx="391">
                  <c:v>44088</c:v>
                </c:pt>
                <c:pt idx="392">
                  <c:v>44089</c:v>
                </c:pt>
                <c:pt idx="393">
                  <c:v>44090</c:v>
                </c:pt>
                <c:pt idx="394">
                  <c:v>44091</c:v>
                </c:pt>
                <c:pt idx="395">
                  <c:v>44092</c:v>
                </c:pt>
                <c:pt idx="396">
                  <c:v>44095</c:v>
                </c:pt>
                <c:pt idx="397">
                  <c:v>44096</c:v>
                </c:pt>
                <c:pt idx="398">
                  <c:v>44097</c:v>
                </c:pt>
                <c:pt idx="399">
                  <c:v>44098</c:v>
                </c:pt>
                <c:pt idx="400">
                  <c:v>44099</c:v>
                </c:pt>
                <c:pt idx="401">
                  <c:v>44102</c:v>
                </c:pt>
                <c:pt idx="402">
                  <c:v>44103</c:v>
                </c:pt>
                <c:pt idx="403">
                  <c:v>44104</c:v>
                </c:pt>
                <c:pt idx="404">
                  <c:v>44105</c:v>
                </c:pt>
                <c:pt idx="405">
                  <c:v>44106</c:v>
                </c:pt>
                <c:pt idx="406">
                  <c:v>44109</c:v>
                </c:pt>
                <c:pt idx="407">
                  <c:v>44110</c:v>
                </c:pt>
                <c:pt idx="408">
                  <c:v>44111</c:v>
                </c:pt>
                <c:pt idx="409">
                  <c:v>44112</c:v>
                </c:pt>
                <c:pt idx="410">
                  <c:v>44113</c:v>
                </c:pt>
                <c:pt idx="411">
                  <c:v>44116</c:v>
                </c:pt>
                <c:pt idx="412">
                  <c:v>44117</c:v>
                </c:pt>
                <c:pt idx="413">
                  <c:v>44118</c:v>
                </c:pt>
                <c:pt idx="414">
                  <c:v>44119</c:v>
                </c:pt>
                <c:pt idx="415">
                  <c:v>44120</c:v>
                </c:pt>
                <c:pt idx="416">
                  <c:v>44123</c:v>
                </c:pt>
                <c:pt idx="417">
                  <c:v>44124</c:v>
                </c:pt>
                <c:pt idx="418">
                  <c:v>44125</c:v>
                </c:pt>
                <c:pt idx="419">
                  <c:v>44126</c:v>
                </c:pt>
                <c:pt idx="420">
                  <c:v>44127</c:v>
                </c:pt>
                <c:pt idx="421">
                  <c:v>44130</c:v>
                </c:pt>
                <c:pt idx="422">
                  <c:v>44131</c:v>
                </c:pt>
                <c:pt idx="423">
                  <c:v>44132</c:v>
                </c:pt>
                <c:pt idx="424">
                  <c:v>44133</c:v>
                </c:pt>
                <c:pt idx="425">
                  <c:v>44134</c:v>
                </c:pt>
                <c:pt idx="426">
                  <c:v>44137</c:v>
                </c:pt>
                <c:pt idx="427">
                  <c:v>44138</c:v>
                </c:pt>
                <c:pt idx="428">
                  <c:v>44139</c:v>
                </c:pt>
                <c:pt idx="429">
                  <c:v>44140</c:v>
                </c:pt>
                <c:pt idx="430">
                  <c:v>44141</c:v>
                </c:pt>
                <c:pt idx="431">
                  <c:v>44144</c:v>
                </c:pt>
                <c:pt idx="432">
                  <c:v>44145</c:v>
                </c:pt>
                <c:pt idx="433">
                  <c:v>44146</c:v>
                </c:pt>
                <c:pt idx="434">
                  <c:v>44147</c:v>
                </c:pt>
                <c:pt idx="435">
                  <c:v>44148</c:v>
                </c:pt>
                <c:pt idx="436">
                  <c:v>44151</c:v>
                </c:pt>
                <c:pt idx="437">
                  <c:v>44152</c:v>
                </c:pt>
                <c:pt idx="438">
                  <c:v>44153</c:v>
                </c:pt>
                <c:pt idx="439">
                  <c:v>44154</c:v>
                </c:pt>
                <c:pt idx="440">
                  <c:v>44155</c:v>
                </c:pt>
                <c:pt idx="441">
                  <c:v>44158</c:v>
                </c:pt>
                <c:pt idx="442">
                  <c:v>44159</c:v>
                </c:pt>
                <c:pt idx="443">
                  <c:v>44160</c:v>
                </c:pt>
                <c:pt idx="444">
                  <c:v>44161</c:v>
                </c:pt>
                <c:pt idx="445">
                  <c:v>44162</c:v>
                </c:pt>
                <c:pt idx="446">
                  <c:v>44165</c:v>
                </c:pt>
                <c:pt idx="447">
                  <c:v>44166</c:v>
                </c:pt>
                <c:pt idx="448">
                  <c:v>44167</c:v>
                </c:pt>
                <c:pt idx="449">
                  <c:v>44168</c:v>
                </c:pt>
                <c:pt idx="450">
                  <c:v>44169</c:v>
                </c:pt>
                <c:pt idx="451">
                  <c:v>44172</c:v>
                </c:pt>
                <c:pt idx="452">
                  <c:v>44173</c:v>
                </c:pt>
                <c:pt idx="453">
                  <c:v>44174</c:v>
                </c:pt>
                <c:pt idx="454">
                  <c:v>44175</c:v>
                </c:pt>
                <c:pt idx="455">
                  <c:v>44176</c:v>
                </c:pt>
                <c:pt idx="456">
                  <c:v>44179</c:v>
                </c:pt>
                <c:pt idx="457">
                  <c:v>44180</c:v>
                </c:pt>
                <c:pt idx="458">
                  <c:v>44181</c:v>
                </c:pt>
                <c:pt idx="459">
                  <c:v>44182</c:v>
                </c:pt>
                <c:pt idx="460">
                  <c:v>44183</c:v>
                </c:pt>
                <c:pt idx="461">
                  <c:v>44186</c:v>
                </c:pt>
                <c:pt idx="462">
                  <c:v>44187</c:v>
                </c:pt>
                <c:pt idx="463">
                  <c:v>44188</c:v>
                </c:pt>
                <c:pt idx="464">
                  <c:v>44189</c:v>
                </c:pt>
                <c:pt idx="465">
                  <c:v>44190</c:v>
                </c:pt>
                <c:pt idx="466">
                  <c:v>44193</c:v>
                </c:pt>
                <c:pt idx="467">
                  <c:v>44194</c:v>
                </c:pt>
                <c:pt idx="468">
                  <c:v>44195</c:v>
                </c:pt>
                <c:pt idx="469">
                  <c:v>44196</c:v>
                </c:pt>
                <c:pt idx="470">
                  <c:v>44197</c:v>
                </c:pt>
                <c:pt idx="471">
                  <c:v>44200</c:v>
                </c:pt>
                <c:pt idx="472">
                  <c:v>44201</c:v>
                </c:pt>
                <c:pt idx="473">
                  <c:v>44202</c:v>
                </c:pt>
                <c:pt idx="474">
                  <c:v>44203</c:v>
                </c:pt>
                <c:pt idx="475">
                  <c:v>44204</c:v>
                </c:pt>
                <c:pt idx="476">
                  <c:v>44207</c:v>
                </c:pt>
                <c:pt idx="477">
                  <c:v>44208</c:v>
                </c:pt>
                <c:pt idx="478">
                  <c:v>44209</c:v>
                </c:pt>
                <c:pt idx="479">
                  <c:v>44210</c:v>
                </c:pt>
                <c:pt idx="480">
                  <c:v>44211</c:v>
                </c:pt>
                <c:pt idx="481">
                  <c:v>44214</c:v>
                </c:pt>
                <c:pt idx="482">
                  <c:v>44215</c:v>
                </c:pt>
                <c:pt idx="483">
                  <c:v>44216</c:v>
                </c:pt>
                <c:pt idx="484">
                  <c:v>44217</c:v>
                </c:pt>
                <c:pt idx="485">
                  <c:v>44218</c:v>
                </c:pt>
                <c:pt idx="486">
                  <c:v>44221</c:v>
                </c:pt>
                <c:pt idx="487">
                  <c:v>44222</c:v>
                </c:pt>
                <c:pt idx="488">
                  <c:v>44223</c:v>
                </c:pt>
                <c:pt idx="489">
                  <c:v>44224</c:v>
                </c:pt>
                <c:pt idx="490">
                  <c:v>44225</c:v>
                </c:pt>
                <c:pt idx="491">
                  <c:v>44228</c:v>
                </c:pt>
                <c:pt idx="492">
                  <c:v>44229</c:v>
                </c:pt>
                <c:pt idx="493">
                  <c:v>44230</c:v>
                </c:pt>
                <c:pt idx="494">
                  <c:v>44231</c:v>
                </c:pt>
                <c:pt idx="495">
                  <c:v>44232</c:v>
                </c:pt>
                <c:pt idx="496">
                  <c:v>44235</c:v>
                </c:pt>
                <c:pt idx="497">
                  <c:v>44236</c:v>
                </c:pt>
                <c:pt idx="498">
                  <c:v>44237</c:v>
                </c:pt>
                <c:pt idx="499">
                  <c:v>44238</c:v>
                </c:pt>
                <c:pt idx="500">
                  <c:v>44239</c:v>
                </c:pt>
                <c:pt idx="501">
                  <c:v>44242</c:v>
                </c:pt>
                <c:pt idx="502">
                  <c:v>44243</c:v>
                </c:pt>
                <c:pt idx="503">
                  <c:v>44244</c:v>
                </c:pt>
                <c:pt idx="504">
                  <c:v>44245</c:v>
                </c:pt>
                <c:pt idx="505">
                  <c:v>44246</c:v>
                </c:pt>
                <c:pt idx="506">
                  <c:v>44249</c:v>
                </c:pt>
                <c:pt idx="507">
                  <c:v>44250</c:v>
                </c:pt>
                <c:pt idx="508">
                  <c:v>44251</c:v>
                </c:pt>
                <c:pt idx="509">
                  <c:v>44252</c:v>
                </c:pt>
                <c:pt idx="510">
                  <c:v>44253</c:v>
                </c:pt>
                <c:pt idx="511">
                  <c:v>44256</c:v>
                </c:pt>
              </c:numCache>
            </c:numRef>
          </c:cat>
          <c:val>
            <c:numRef>
              <c:f>'Bond (4)'!$H$16:$H$527</c:f>
              <c:numCache>
                <c:formatCode>_(* #,##0.000_);_(* \(#,##0.000\);_(* "-"??_);_(@_)</c:formatCode>
                <c:ptCount val="512"/>
                <c:pt idx="0" formatCode="0.0000">
                  <c:v>0</c:v>
                </c:pt>
                <c:pt idx="1">
                  <c:v>-4.777260863875199</c:v>
                </c:pt>
                <c:pt idx="2">
                  <c:v>-6.2034324112403283</c:v>
                </c:pt>
                <c:pt idx="3">
                  <c:v>-7.6249868297395551</c:v>
                </c:pt>
                <c:pt idx="4">
                  <c:v>-9.0419238058814244</c:v>
                </c:pt>
                <c:pt idx="5">
                  <c:v>-10.454243026032373</c:v>
                </c:pt>
                <c:pt idx="6">
                  <c:v>-14.663491017330443</c:v>
                </c:pt>
                <c:pt idx="7">
                  <c:v>-16.057336079740026</c:v>
                </c:pt>
                <c:pt idx="8">
                  <c:v>-17.446561818559303</c:v>
                </c:pt>
                <c:pt idx="9">
                  <c:v>-18.831167920581038</c:v>
                </c:pt>
                <c:pt idx="10">
                  <c:v>-20.211154072171666</c:v>
                </c:pt>
                <c:pt idx="11">
                  <c:v>-24.323389688163388</c:v>
                </c:pt>
                <c:pt idx="12">
                  <c:v>-25.684892901693956</c:v>
                </c:pt>
                <c:pt idx="13">
                  <c:v>-27.041774596341384</c:v>
                </c:pt>
                <c:pt idx="14">
                  <c:v>-28.394034458898432</c:v>
                </c:pt>
                <c:pt idx="15">
                  <c:v>-29.741672175020994</c:v>
                </c:pt>
                <c:pt idx="16">
                  <c:v>-33.756849309583004</c:v>
                </c:pt>
                <c:pt idx="17">
                  <c:v>-35.085995303347772</c:v>
                </c:pt>
                <c:pt idx="18">
                  <c:v>-36.410517582510238</c:v>
                </c:pt>
                <c:pt idx="19">
                  <c:v>-37.730415832015751</c:v>
                </c:pt>
                <c:pt idx="20">
                  <c:v>-39.045689739225509</c:v>
                </c:pt>
                <c:pt idx="21">
                  <c:v>-42.963762263639182</c:v>
                </c:pt>
                <c:pt idx="22">
                  <c:v>-44.260535660072264</c:v>
                </c:pt>
                <c:pt idx="23">
                  <c:v>-45.552683143625927</c:v>
                </c:pt>
                <c:pt idx="24">
                  <c:v>-46.840204400524499</c:v>
                </c:pt>
                <c:pt idx="25">
                  <c:v>-48.123099117134416</c:v>
                </c:pt>
                <c:pt idx="26">
                  <c:v>-51.944020881791175</c:v>
                </c:pt>
                <c:pt idx="27">
                  <c:v>-53.208406294658062</c:v>
                </c:pt>
                <c:pt idx="28">
                  <c:v>-54.468163596794739</c:v>
                </c:pt>
                <c:pt idx="29">
                  <c:v>-55.723292473288666</c:v>
                </c:pt>
                <c:pt idx="30">
                  <c:v>-56.973792610648388</c:v>
                </c:pt>
                <c:pt idx="31">
                  <c:v>-60.697517443628612</c:v>
                </c:pt>
                <c:pt idx="32">
                  <c:v>-61.929499480584127</c:v>
                </c:pt>
                <c:pt idx="33">
                  <c:v>-63.156851206969122</c:v>
                </c:pt>
                <c:pt idx="34">
                  <c:v>-64.379572308439492</c:v>
                </c:pt>
                <c:pt idx="35">
                  <c:v>-65.59766247065113</c:v>
                </c:pt>
                <c:pt idx="36">
                  <c:v>-69.224144177439939</c:v>
                </c:pt>
                <c:pt idx="37">
                  <c:v>-70.423707438607153</c:v>
                </c:pt>
                <c:pt idx="38">
                  <c:v>-71.618638188510886</c:v>
                </c:pt>
                <c:pt idx="39">
                  <c:v>-72.808936112522815</c:v>
                </c:pt>
                <c:pt idx="40">
                  <c:v>-73.994600896298834</c:v>
                </c:pt>
                <c:pt idx="41">
                  <c:v>-77.523793261491392</c:v>
                </c:pt>
                <c:pt idx="42">
                  <c:v>-78.690922338893188</c:v>
                </c:pt>
                <c:pt idx="43">
                  <c:v>-79.853416703912217</c:v>
                </c:pt>
                <c:pt idx="44">
                  <c:v>-81.011276041067504</c:v>
                </c:pt>
                <c:pt idx="45">
                  <c:v>-82.164500036157037</c:v>
                </c:pt>
                <c:pt idx="46">
                  <c:v>-85.596356821326935</c:v>
                </c:pt>
                <c:pt idx="47">
                  <c:v>-86.73103630087553</c:v>
                </c:pt>
                <c:pt idx="48">
                  <c:v>-87.861078864648334</c:v>
                </c:pt>
                <c:pt idx="49">
                  <c:v>-88.986484198159118</c:v>
                </c:pt>
                <c:pt idx="50">
                  <c:v>-90.107251986353276</c:v>
                </c:pt>
                <c:pt idx="51">
                  <c:v>-93.441726932326219</c:v>
                </c:pt>
                <c:pt idx="52">
                  <c:v>-94.54394139154941</c:v>
                </c:pt>
                <c:pt idx="53">
                  <c:v>-95.641516731319612</c:v>
                </c:pt>
                <c:pt idx="54">
                  <c:v>-96.734452636866294</c:v>
                </c:pt>
                <c:pt idx="55">
                  <c:v>-97.822748793277029</c:v>
                </c:pt>
                <c:pt idx="56">
                  <c:v>-101.05979561771507</c:v>
                </c:pt>
                <c:pt idx="57">
                  <c:v>-102.12952962717736</c:v>
                </c:pt>
                <c:pt idx="58">
                  <c:v>-103.19462231294095</c:v>
                </c:pt>
                <c:pt idx="59">
                  <c:v>-104.25507335909857</c:v>
                </c:pt>
                <c:pt idx="60">
                  <c:v>-105.31088245102183</c:v>
                </c:pt>
                <c:pt idx="61">
                  <c:v>-108.4504548497023</c:v>
                </c:pt>
                <c:pt idx="62">
                  <c:v>-109.48769297328909</c:v>
                </c:pt>
                <c:pt idx="63">
                  <c:v>-110.52028756679989</c:v>
                </c:pt>
                <c:pt idx="64">
                  <c:v>-111.54823831475369</c:v>
                </c:pt>
                <c:pt idx="65">
                  <c:v>-112.57154490252218</c:v>
                </c:pt>
                <c:pt idx="66">
                  <c:v>-115.61359654990611</c:v>
                </c:pt>
                <c:pt idx="67">
                  <c:v>-116.6183233429763</c:v>
                </c:pt>
                <c:pt idx="68">
                  <c:v>-117.61840439916683</c:v>
                </c:pt>
                <c:pt idx="69">
                  <c:v>-118.61383940299675</c:v>
                </c:pt>
                <c:pt idx="70">
                  <c:v>-119.60462803912721</c:v>
                </c:pt>
                <c:pt idx="71">
                  <c:v>-122.54911258750668</c:v>
                </c:pt>
                <c:pt idx="72">
                  <c:v>-123.5213125988821</c:v>
                </c:pt>
                <c:pt idx="73">
                  <c:v>-124.4888646652953</c:v>
                </c:pt>
                <c:pt idx="74">
                  <c:v>-125.45176847140738</c:v>
                </c:pt>
                <c:pt idx="75">
                  <c:v>-126.41002370145316</c:v>
                </c:pt>
                <c:pt idx="76">
                  <c:v>-129.25689478095137</c:v>
                </c:pt>
                <c:pt idx="77">
                  <c:v>-130.19655255163798</c:v>
                </c:pt>
                <c:pt idx="78">
                  <c:v>-131.13156016856919</c:v>
                </c:pt>
                <c:pt idx="79">
                  <c:v>-132.06191731612194</c:v>
                </c:pt>
                <c:pt idx="80">
                  <c:v>-132.9876236783889</c:v>
                </c:pt>
                <c:pt idx="81">
                  <c:v>-135.73683489681798</c:v>
                </c:pt>
                <c:pt idx="82">
                  <c:v>-136.64393496114258</c:v>
                </c:pt>
                <c:pt idx="83">
                  <c:v>-137.54638266149755</c:v>
                </c:pt>
                <c:pt idx="84">
                  <c:v>-138.44417768197559</c:v>
                </c:pt>
                <c:pt idx="85">
                  <c:v>-139.33731970709573</c:v>
                </c:pt>
                <c:pt idx="86">
                  <c:v>-141.98882465038309</c:v>
                </c:pt>
                <c:pt idx="87">
                  <c:v>-142.86335153471441</c:v>
                </c:pt>
                <c:pt idx="88">
                  <c:v>-143.733223843725</c:v>
                </c:pt>
                <c:pt idx="89">
                  <c:v>-144.59844126236021</c:v>
                </c:pt>
                <c:pt idx="90">
                  <c:v>-145.45900347386009</c:v>
                </c:pt>
                <c:pt idx="91">
                  <c:v>-148.01275570590633</c:v>
                </c:pt>
                <c:pt idx="92">
                  <c:v>-148.85469392950768</c:v>
                </c:pt>
                <c:pt idx="93">
                  <c:v>-149.69197536558454</c:v>
                </c:pt>
                <c:pt idx="94">
                  <c:v>-150.52459969865595</c:v>
                </c:pt>
                <c:pt idx="95">
                  <c:v>-151.35256661253038</c:v>
                </c:pt>
                <c:pt idx="96">
                  <c:v>-153.80851967563558</c:v>
                </c:pt>
                <c:pt idx="97">
                  <c:v>-154.61785375023851</c:v>
                </c:pt>
                <c:pt idx="98">
                  <c:v>-155.42252882440266</c:v>
                </c:pt>
                <c:pt idx="99">
                  <c:v>-156.22254458193652</c:v>
                </c:pt>
                <c:pt idx="100">
                  <c:v>-157.01790070664856</c:v>
                </c:pt>
                <c:pt idx="101">
                  <c:v>-159.37600812065966</c:v>
                </c:pt>
                <c:pt idx="102">
                  <c:v>-160.15272255060609</c:v>
                </c:pt>
                <c:pt idx="103">
                  <c:v>-160.92477576606257</c:v>
                </c:pt>
                <c:pt idx="104">
                  <c:v>-161.69216745055337</c:v>
                </c:pt>
                <c:pt idx="105">
                  <c:v>-162.45489728774487</c:v>
                </c:pt>
                <c:pt idx="106">
                  <c:v>-164.71511254991353</c:v>
                </c:pt>
                <c:pt idx="107">
                  <c:v>-165.45919183258206</c:v>
                </c:pt>
                <c:pt idx="108">
                  <c:v>-166.1986076855726</c:v>
                </c:pt>
                <c:pt idx="109">
                  <c:v>-166.93335979184099</c:v>
                </c:pt>
                <c:pt idx="110">
                  <c:v>-167.66344783547993</c:v>
                </c:pt>
                <c:pt idx="111">
                  <c:v>-169.82572442159949</c:v>
                </c:pt>
                <c:pt idx="112">
                  <c:v>-170.5371530465527</c:v>
                </c:pt>
                <c:pt idx="113">
                  <c:v>-171.24391602564515</c:v>
                </c:pt>
                <c:pt idx="114">
                  <c:v>-171.94601304183266</c:v>
                </c:pt>
                <c:pt idx="115">
                  <c:v>-172.6434437782132</c:v>
                </c:pt>
                <c:pt idx="116">
                  <c:v>-174.70773514162374</c:v>
                </c:pt>
                <c:pt idx="117">
                  <c:v>-175.38649759174518</c:v>
                </c:pt>
                <c:pt idx="118">
                  <c:v>-176.06059217797562</c:v>
                </c:pt>
                <c:pt idx="119">
                  <c:v>-176.73001858383941</c:v>
                </c:pt>
                <c:pt idx="120">
                  <c:v>-177.3947764924344</c:v>
                </c:pt>
                <c:pt idx="121">
                  <c:v>-178.4270940432009</c:v>
                </c:pt>
                <c:pt idx="122">
                  <c:v>-179.94047608155483</c:v>
                </c:pt>
                <c:pt idx="123">
                  <c:v>-181.44924691071651</c:v>
                </c:pt>
                <c:pt idx="124">
                  <c:v>-182.95340621790498</c:v>
                </c:pt>
                <c:pt idx="125">
                  <c:v>-184.45295369005521</c:v>
                </c:pt>
                <c:pt idx="126">
                  <c:v>-188.92392196477201</c:v>
                </c:pt>
                <c:pt idx="127">
                  <c:v>-190.40501896583351</c:v>
                </c:pt>
                <c:pt idx="128">
                  <c:v>-191.88150256596259</c:v>
                </c:pt>
                <c:pt idx="129">
                  <c:v>-193.35337245237838</c:v>
                </c:pt>
                <c:pt idx="130">
                  <c:v>-194.82062831201577</c:v>
                </c:pt>
                <c:pt idx="131">
                  <c:v>-199.19470859733224</c:v>
                </c:pt>
                <c:pt idx="132">
                  <c:v>-200.64350521693086</c:v>
                </c:pt>
                <c:pt idx="133">
                  <c:v>-202.08768624357276</c:v>
                </c:pt>
                <c:pt idx="134">
                  <c:v>-203.52725136362437</c:v>
                </c:pt>
                <c:pt idx="135">
                  <c:v>-204.96220026387849</c:v>
                </c:pt>
                <c:pt idx="136">
                  <c:v>-209.23934651236209</c:v>
                </c:pt>
                <c:pt idx="137">
                  <c:v>-210.65582739964842</c:v>
                </c:pt>
                <c:pt idx="138">
                  <c:v>-212.06769050024832</c:v>
                </c:pt>
                <c:pt idx="139">
                  <c:v>-213.47493550052829</c:v>
                </c:pt>
                <c:pt idx="140">
                  <c:v>-214.87756208713904</c:v>
                </c:pt>
                <c:pt idx="141">
                  <c:v>-219.05772822947256</c:v>
                </c:pt>
                <c:pt idx="142">
                  <c:v>-220.44187802592319</c:v>
                </c:pt>
                <c:pt idx="143">
                  <c:v>-221.82140784138937</c:v>
                </c:pt>
                <c:pt idx="144">
                  <c:v>-223.1963173613849</c:v>
                </c:pt>
                <c:pt idx="145">
                  <c:v>-224.56660627284467</c:v>
                </c:pt>
                <c:pt idx="146">
                  <c:v>-228.64974621853659</c:v>
                </c:pt>
                <c:pt idx="147">
                  <c:v>-230.00154955852281</c:v>
                </c:pt>
                <c:pt idx="148">
                  <c:v>-231.34873072137907</c:v>
                </c:pt>
                <c:pt idx="149">
                  <c:v>-232.69128939347181</c:v>
                </c:pt>
                <c:pt idx="150">
                  <c:v>-234.02922526102543</c:v>
                </c:pt>
                <c:pt idx="151">
                  <c:v>-238.01529289698919</c:v>
                </c:pt>
                <c:pt idx="152">
                  <c:v>-239.33473440763464</c:v>
                </c:pt>
                <c:pt idx="153">
                  <c:v>-240.64955154415202</c:v>
                </c:pt>
                <c:pt idx="154">
                  <c:v>-241.95974399304984</c:v>
                </c:pt>
                <c:pt idx="155">
                  <c:v>-243.26531144026831</c:v>
                </c:pt>
                <c:pt idx="156">
                  <c:v>-247.15426063210089</c:v>
                </c:pt>
                <c:pt idx="157">
                  <c:v>-248.44132493257123</c:v>
                </c:pt>
                <c:pt idx="158">
                  <c:v>-249.72376266163113</c:v>
                </c:pt>
                <c:pt idx="159">
                  <c:v>-251.00157350493646</c:v>
                </c:pt>
                <c:pt idx="160">
                  <c:v>-252.27475714828529</c:v>
                </c:pt>
                <c:pt idx="161">
                  <c:v>-256.06654173884635</c:v>
                </c:pt>
                <c:pt idx="162">
                  <c:v>-257.32121344205439</c:v>
                </c:pt>
                <c:pt idx="163">
                  <c:v>-258.57125637458012</c:v>
                </c:pt>
                <c:pt idx="164">
                  <c:v>-259.81667022250576</c:v>
                </c:pt>
                <c:pt idx="165">
                  <c:v>-261.05745467148722</c:v>
                </c:pt>
                <c:pt idx="166">
                  <c:v>-264.75202848232016</c:v>
                </c:pt>
                <c:pt idx="167">
                  <c:v>-265.97429219307855</c:v>
                </c:pt>
                <c:pt idx="168">
                  <c:v>-267.19192493317223</c:v>
                </c:pt>
                <c:pt idx="169">
                  <c:v>-268.40492638882552</c:v>
                </c:pt>
                <c:pt idx="170">
                  <c:v>-269.61329624526797</c:v>
                </c:pt>
                <c:pt idx="171">
                  <c:v>-273.21061307574723</c:v>
                </c:pt>
                <c:pt idx="172">
                  <c:v>-274.40045339162111</c:v>
                </c:pt>
                <c:pt idx="173">
                  <c:v>-275.58566053613731</c:v>
                </c:pt>
                <c:pt idx="174">
                  <c:v>-276.76623419495172</c:v>
                </c:pt>
                <c:pt idx="175">
                  <c:v>-277.94217405329391</c:v>
                </c:pt>
                <c:pt idx="176">
                  <c:v>-281.44218768133555</c:v>
                </c:pt>
                <c:pt idx="177">
                  <c:v>-282.5995891926425</c:v>
                </c:pt>
                <c:pt idx="178">
                  <c:v>-283.75235533076193</c:v>
                </c:pt>
                <c:pt idx="179">
                  <c:v>-284.90048578120764</c:v>
                </c:pt>
                <c:pt idx="180">
                  <c:v>-286.04398022892497</c:v>
                </c:pt>
                <c:pt idx="181">
                  <c:v>-289.44664440928136</c:v>
                </c:pt>
                <c:pt idx="182">
                  <c:v>-290.57159169965985</c:v>
                </c:pt>
                <c:pt idx="183">
                  <c:v>-291.6919014134578</c:v>
                </c:pt>
                <c:pt idx="184">
                  <c:v>-292.80757323633111</c:v>
                </c:pt>
                <c:pt idx="185">
                  <c:v>-293.91860685322513</c:v>
                </c:pt>
                <c:pt idx="186">
                  <c:v>-297.22387531975869</c:v>
                </c:pt>
                <c:pt idx="187">
                  <c:v>-298.31635296446279</c:v>
                </c:pt>
                <c:pt idx="188">
                  <c:v>-299.40419082890912</c:v>
                </c:pt>
                <c:pt idx="189">
                  <c:v>-300.48738859790092</c:v>
                </c:pt>
                <c:pt idx="190">
                  <c:v>-301.56594595652564</c:v>
                </c:pt>
                <c:pt idx="191">
                  <c:v>-304.77377242092984</c:v>
                </c:pt>
                <c:pt idx="192">
                  <c:v>-305.83376498853454</c:v>
                </c:pt>
                <c:pt idx="193">
                  <c:v>-23762.083072976166</c:v>
                </c:pt>
                <c:pt idx="194">
                  <c:v>-23710.977407501301</c:v>
                </c:pt>
                <c:pt idx="195">
                  <c:v>-23659.856974937553</c:v>
                </c:pt>
                <c:pt idx="196">
                  <c:v>-23506.407056623004</c:v>
                </c:pt>
                <c:pt idx="197">
                  <c:v>-23455.227537612445</c:v>
                </c:pt>
                <c:pt idx="198">
                  <c:v>-23404.033242466227</c:v>
                </c:pt>
                <c:pt idx="199">
                  <c:v>-23352.824169374315</c:v>
                </c:pt>
                <c:pt idx="200">
                  <c:v>-23301.600316526674</c:v>
                </c:pt>
                <c:pt idx="201">
                  <c:v>-23147.840061341467</c:v>
                </c:pt>
                <c:pt idx="202">
                  <c:v>-23096.557071362578</c:v>
                </c:pt>
                <c:pt idx="203">
                  <c:v>-23045.25929257309</c:v>
                </c:pt>
                <c:pt idx="204">
                  <c:v>-22993.946723161684</c:v>
                </c:pt>
                <c:pt idx="205">
                  <c:v>-22942.619361315905</c:v>
                </c:pt>
                <c:pt idx="206">
                  <c:v>-22788.548503053651</c:v>
                </c:pt>
                <c:pt idx="207">
                  <c:v>-22737.1619533497</c:v>
                </c:pt>
                <c:pt idx="208">
                  <c:v>-22685.760602148832</c:v>
                </c:pt>
                <c:pt idx="209">
                  <c:v>-22634.344447638738</c:v>
                </c:pt>
                <c:pt idx="210">
                  <c:v>-22582.913488005826</c:v>
                </c:pt>
                <c:pt idx="211">
                  <c:v>-22428.53176023189</c:v>
                </c:pt>
                <c:pt idx="212">
                  <c:v>-22377.041561968839</c:v>
                </c:pt>
                <c:pt idx="213">
                  <c:v>-22325.53654951289</c:v>
                </c:pt>
                <c:pt idx="214">
                  <c:v>-22274.016721049178</c:v>
                </c:pt>
                <c:pt idx="215">
                  <c:v>-22222.482074762556</c:v>
                </c:pt>
                <c:pt idx="216">
                  <c:v>-22067.7892108138</c:v>
                </c:pt>
                <c:pt idx="217">
                  <c:v>-22016.195275082708</c:v>
                </c:pt>
                <c:pt idx="218">
                  <c:v>-21964.586512450809</c:v>
                </c:pt>
                <c:pt idx="219">
                  <c:v>-21912.962921101811</c:v>
                </c:pt>
                <c:pt idx="220">
                  <c:v>-21861.324499219707</c:v>
                </c:pt>
                <c:pt idx="221">
                  <c:v>-21706.320232204493</c:v>
                </c:pt>
                <c:pt idx="222">
                  <c:v>-21654.622470019265</c:v>
                </c:pt>
                <c:pt idx="223">
                  <c:v>-21602.909868214934</c:v>
                </c:pt>
                <c:pt idx="224">
                  <c:v>-21551.182424973518</c:v>
                </c:pt>
                <c:pt idx="225">
                  <c:v>-21499.440138477297</c:v>
                </c:pt>
                <c:pt idx="226">
                  <c:v>-21344.124201274466</c:v>
                </c:pt>
                <c:pt idx="227">
                  <c:v>-21292.322523573119</c:v>
                </c:pt>
                <c:pt idx="228">
                  <c:v>-21240.5059935233</c:v>
                </c:pt>
                <c:pt idx="229">
                  <c:v>-21188.674609305453</c:v>
                </c:pt>
                <c:pt idx="230">
                  <c:v>-21136.828369100014</c:v>
                </c:pt>
                <c:pt idx="231">
                  <c:v>-20981.200494359626</c:v>
                </c:pt>
                <c:pt idx="232">
                  <c:v>-20929.29481200386</c:v>
                </c:pt>
                <c:pt idx="233">
                  <c:v>-20877.374264559166</c:v>
                </c:pt>
                <c:pt idx="234">
                  <c:v>-20825.43885020442</c:v>
                </c:pt>
                <c:pt idx="235">
                  <c:v>-20773.488567118788</c:v>
                </c:pt>
                <c:pt idx="236">
                  <c:v>-20617.548487261531</c:v>
                </c:pt>
                <c:pt idx="237">
                  <c:v>-20565.538711036028</c:v>
                </c:pt>
                <c:pt idx="238">
                  <c:v>-20513.514056970478</c:v>
                </c:pt>
                <c:pt idx="239">
                  <c:v>-20461.474523242203</c:v>
                </c:pt>
                <c:pt idx="240">
                  <c:v>-20409.420108028939</c:v>
                </c:pt>
                <c:pt idx="241">
                  <c:v>-20253.167555245709</c:v>
                </c:pt>
                <c:pt idx="242">
                  <c:v>-20201.053595859263</c:v>
                </c:pt>
                <c:pt idx="243">
                  <c:v>-20148.92474587043</c:v>
                </c:pt>
                <c:pt idx="244">
                  <c:v>-20096.781003455108</c:v>
                </c:pt>
                <c:pt idx="245">
                  <c:v>-20044.622366789466</c:v>
                </c:pt>
                <c:pt idx="246">
                  <c:v>-19888.057073041949</c:v>
                </c:pt>
                <c:pt idx="247">
                  <c:v>-19835.838841126475</c:v>
                </c:pt>
                <c:pt idx="248">
                  <c:v>-19783.605705835329</c:v>
                </c:pt>
                <c:pt idx="249">
                  <c:v>-19731.357665343268</c:v>
                </c:pt>
                <c:pt idx="250">
                  <c:v>-19679.094717824199</c:v>
                </c:pt>
                <c:pt idx="251">
                  <c:v>-19629.879486875554</c:v>
                </c:pt>
                <c:pt idx="252">
                  <c:v>-19579.118313914703</c:v>
                </c:pt>
                <c:pt idx="253">
                  <c:v>-19528.342416064817</c:v>
                </c:pt>
                <c:pt idx="254">
                  <c:v>-19477.551791521819</c:v>
                </c:pt>
                <c:pt idx="255">
                  <c:v>-19426.746438481499</c:v>
                </c:pt>
                <c:pt idx="256">
                  <c:v>-19274.241990335242</c:v>
                </c:pt>
                <c:pt idx="257">
                  <c:v>-19223.377705262406</c:v>
                </c:pt>
                <c:pt idx="258">
                  <c:v>-19172.49868266964</c:v>
                </c:pt>
                <c:pt idx="259">
                  <c:v>-19121.604920750739</c:v>
                </c:pt>
                <c:pt idx="260">
                  <c:v>-19070.696417701212</c:v>
                </c:pt>
                <c:pt idx="261">
                  <c:v>-18917.882443706589</c:v>
                </c:pt>
                <c:pt idx="262">
                  <c:v>-18866.914958072699</c:v>
                </c:pt>
                <c:pt idx="263">
                  <c:v>-18815.932722276331</c:v>
                </c:pt>
                <c:pt idx="264">
                  <c:v>-18764.935734511426</c:v>
                </c:pt>
                <c:pt idx="265">
                  <c:v>-18713.923992970365</c:v>
                </c:pt>
                <c:pt idx="266">
                  <c:v>-18560.800227616597</c:v>
                </c:pt>
                <c:pt idx="267">
                  <c:v>-18509.729452895983</c:v>
                </c:pt>
                <c:pt idx="268">
                  <c:v>-18458.643915360681</c:v>
                </c:pt>
                <c:pt idx="269">
                  <c:v>-18407.543613202506</c:v>
                </c:pt>
                <c:pt idx="270">
                  <c:v>-18356.428544612128</c:v>
                </c:pt>
                <c:pt idx="271">
                  <c:v>-18202.994722160922</c:v>
                </c:pt>
                <c:pt idx="272">
                  <c:v>-18151.820569752745</c:v>
                </c:pt>
                <c:pt idx="273">
                  <c:v>-18100.631641866585</c:v>
                </c:pt>
                <c:pt idx="274">
                  <c:v>-18049.4279366917</c:v>
                </c:pt>
                <c:pt idx="275">
                  <c:v>-17998.209452418621</c:v>
                </c:pt>
                <c:pt idx="276">
                  <c:v>-17844.465306903887</c:v>
                </c:pt>
                <c:pt idx="277">
                  <c:v>-17793.187688130842</c:v>
                </c:pt>
                <c:pt idx="278">
                  <c:v>-17741.895281205161</c:v>
                </c:pt>
                <c:pt idx="279">
                  <c:v>-17690.588084315379</c:v>
                </c:pt>
                <c:pt idx="280">
                  <c:v>-17639.266095649902</c:v>
                </c:pt>
                <c:pt idx="281">
                  <c:v>-17485.211360876889</c:v>
                </c:pt>
                <c:pt idx="282">
                  <c:v>-17433.830186986084</c:v>
                </c:pt>
                <c:pt idx="283">
                  <c:v>-17382.434212257038</c:v>
                </c:pt>
                <c:pt idx="284">
                  <c:v>-17331.023434877152</c:v>
                </c:pt>
                <c:pt idx="285">
                  <c:v>-17279.597853032981</c:v>
                </c:pt>
                <c:pt idx="286">
                  <c:v>-17125.232262579288</c:v>
                </c:pt>
                <c:pt idx="287">
                  <c:v>-17073.747444740802</c:v>
                </c:pt>
                <c:pt idx="288">
                  <c:v>-17022.247813368667</c:v>
                </c:pt>
                <c:pt idx="289">
                  <c:v>-16970.733366647579</c:v>
                </c:pt>
                <c:pt idx="290">
                  <c:v>-16919.204102763244</c:v>
                </c:pt>
                <c:pt idx="291">
                  <c:v>-16764.527389976964</c:v>
                </c:pt>
                <c:pt idx="292">
                  <c:v>-16712.938839285696</c:v>
                </c:pt>
                <c:pt idx="293">
                  <c:v>-16661.335462353578</c:v>
                </c:pt>
                <c:pt idx="294">
                  <c:v>-16609.717257364024</c:v>
                </c:pt>
                <c:pt idx="295">
                  <c:v>-16558.084222500896</c:v>
                </c:pt>
                <c:pt idx="296">
                  <c:v>-16403.096120502312</c:v>
                </c:pt>
                <c:pt idx="297">
                  <c:v>-16351.403747976292</c:v>
                </c:pt>
                <c:pt idx="298">
                  <c:v>-16299.69653649141</c:v>
                </c:pt>
                <c:pt idx="299">
                  <c:v>-16247.974484229815</c:v>
                </c:pt>
                <c:pt idx="300">
                  <c:v>-16196.23758937351</c:v>
                </c:pt>
                <c:pt idx="301">
                  <c:v>-16040.937831053838</c:v>
                </c:pt>
                <c:pt idx="302">
                  <c:v>-15989.141547635058</c:v>
                </c:pt>
                <c:pt idx="303">
                  <c:v>-15937.330412528185</c:v>
                </c:pt>
                <c:pt idx="304">
                  <c:v>-15885.504423914512</c:v>
                </c:pt>
                <c:pt idx="305">
                  <c:v>-15833.6635799742</c:v>
                </c:pt>
                <c:pt idx="306">
                  <c:v>-15678.05189799543</c:v>
                </c:pt>
                <c:pt idx="307">
                  <c:v>-15626.151614549144</c:v>
                </c:pt>
                <c:pt idx="308">
                  <c:v>-15574.236466675304</c:v>
                </c:pt>
                <c:pt idx="309">
                  <c:v>-15522.30645255321</c:v>
                </c:pt>
                <c:pt idx="310">
                  <c:v>-15470.361570361461</c:v>
                </c:pt>
                <c:pt idx="311">
                  <c:v>-15314.437697155798</c:v>
                </c:pt>
                <c:pt idx="312">
                  <c:v>-15262.433324471091</c:v>
                </c:pt>
                <c:pt idx="313">
                  <c:v>-15210.414074608281</c:v>
                </c:pt>
                <c:pt idx="314">
                  <c:v>-15158.379945744684</c:v>
                </c:pt>
                <c:pt idx="315">
                  <c:v>-15106.330936058042</c:v>
                </c:pt>
                <c:pt idx="316">
                  <c:v>-14950.094603828604</c:v>
                </c:pt>
                <c:pt idx="317">
                  <c:v>-14897.986052617824</c:v>
                </c:pt>
                <c:pt idx="318">
                  <c:v>-14845.862611467595</c:v>
                </c:pt>
                <c:pt idx="319">
                  <c:v>-14793.724278553384</c:v>
                </c:pt>
                <c:pt idx="320">
                  <c:v>-14741.571052051229</c:v>
                </c:pt>
                <c:pt idx="321">
                  <c:v>-14585.021992771346</c:v>
                </c:pt>
                <c:pt idx="322">
                  <c:v>-14532.80917367053</c:v>
                </c:pt>
                <c:pt idx="323">
                  <c:v>-14480.58145185783</c:v>
                </c:pt>
                <c:pt idx="324">
                  <c:v>-14428.338825506729</c:v>
                </c:pt>
                <c:pt idx="325">
                  <c:v>-14376.081292792549</c:v>
                </c:pt>
                <c:pt idx="326">
                  <c:v>-14219.219238205624</c:v>
                </c:pt>
                <c:pt idx="327">
                  <c:v>-14166.902061774352</c:v>
                </c:pt>
                <c:pt idx="328">
                  <c:v>-14114.569969846827</c:v>
                </c:pt>
                <c:pt idx="329">
                  <c:v>-14062.222960596671</c:v>
                </c:pt>
                <c:pt idx="330">
                  <c:v>-14009.861032196086</c:v>
                </c:pt>
                <c:pt idx="331">
                  <c:v>-13852.685713815874</c:v>
                </c:pt>
                <c:pt idx="332">
                  <c:v>-13800.264090535989</c:v>
                </c:pt>
                <c:pt idx="333">
                  <c:v>-13747.827538965821</c:v>
                </c:pt>
                <c:pt idx="334">
                  <c:v>-13695.376057276861</c:v>
                </c:pt>
                <c:pt idx="335">
                  <c:v>-13642.909643639883</c:v>
                </c:pt>
                <c:pt idx="336">
                  <c:v>-13485.420792748926</c:v>
                </c:pt>
                <c:pt idx="337">
                  <c:v>-13432.894633026677</c:v>
                </c:pt>
                <c:pt idx="338">
                  <c:v>-13380.353532208745</c:v>
                </c:pt>
                <c:pt idx="339">
                  <c:v>-13327.797488464625</c:v>
                </c:pt>
                <c:pt idx="340">
                  <c:v>-13275.226499964107</c:v>
                </c:pt>
                <c:pt idx="341">
                  <c:v>-13117.423847614731</c:v>
                </c:pt>
                <c:pt idx="342">
                  <c:v>-13064.793061778913</c:v>
                </c:pt>
                <c:pt idx="343">
                  <c:v>-13012.147322030643</c:v>
                </c:pt>
                <c:pt idx="344">
                  <c:v>-12959.486626538706</c:v>
                </c:pt>
                <c:pt idx="345">
                  <c:v>-12906.810973470327</c:v>
                </c:pt>
                <c:pt idx="346">
                  <c:v>-12748.69425048493</c:v>
                </c:pt>
                <c:pt idx="347">
                  <c:v>-12695.95874878732</c:v>
                </c:pt>
                <c:pt idx="348">
                  <c:v>-12643.208280349825</c:v>
                </c:pt>
                <c:pt idx="349">
                  <c:v>-12590.44284333939</c:v>
                </c:pt>
                <c:pt idx="350">
                  <c:v>-12537.662435922528</c:v>
                </c:pt>
                <c:pt idx="351">
                  <c:v>-12379.231372891723</c:v>
                </c:pt>
                <c:pt idx="352">
                  <c:v>-12326.391065507352</c:v>
                </c:pt>
                <c:pt idx="353">
                  <c:v>-12273.535778544727</c:v>
                </c:pt>
                <c:pt idx="354">
                  <c:v>-12220.665510169225</c:v>
                </c:pt>
                <c:pt idx="355">
                  <c:v>-12167.780258545377</c:v>
                </c:pt>
                <c:pt idx="356">
                  <c:v>-12009.034585829142</c:v>
                </c:pt>
                <c:pt idx="357">
                  <c:v>-11956.089382855736</c:v>
                </c:pt>
                <c:pt idx="358">
                  <c:v>-11903.129187455052</c:v>
                </c:pt>
                <c:pt idx="359">
                  <c:v>-11850.153997790045</c:v>
                </c:pt>
                <c:pt idx="360">
                  <c:v>-11797.163812024251</c:v>
                </c:pt>
                <c:pt idx="361">
                  <c:v>-11638.10325975078</c:v>
                </c:pt>
                <c:pt idx="362">
                  <c:v>-11585.053071209471</c:v>
                </c:pt>
                <c:pt idx="363">
                  <c:v>-11531.987877380345</c:v>
                </c:pt>
                <c:pt idx="364">
                  <c:v>-11478.907676424797</c:v>
                </c:pt>
                <c:pt idx="365">
                  <c:v>-11425.812466504936</c:v>
                </c:pt>
                <c:pt idx="366">
                  <c:v>-11266.436764571494</c:v>
                </c:pt>
                <c:pt idx="367">
                  <c:v>-11213.281500405543</c:v>
                </c:pt>
                <c:pt idx="368">
                  <c:v>-11160.111218080288</c:v>
                </c:pt>
                <c:pt idx="369">
                  <c:v>-11106.925915755854</c:v>
                </c:pt>
                <c:pt idx="370">
                  <c:v>-11053.725591592352</c:v>
                </c:pt>
                <c:pt idx="371">
                  <c:v>-10894.034469664148</c:v>
                </c:pt>
                <c:pt idx="372">
                  <c:v>-10840.774039740068</c:v>
                </c:pt>
                <c:pt idx="373">
                  <c:v>-10787.498578774261</c:v>
                </c:pt>
                <c:pt idx="374">
                  <c:v>-10734.208084925143</c:v>
                </c:pt>
                <c:pt idx="375">
                  <c:v>-10680.902556351128</c:v>
                </c:pt>
                <c:pt idx="376">
                  <c:v>-10520.895743861587</c:v>
                </c:pt>
                <c:pt idx="377">
                  <c:v>-10467.53005796873</c:v>
                </c:pt>
                <c:pt idx="378">
                  <c:v>-10414.149328140355</c:v>
                </c:pt>
                <c:pt idx="379">
                  <c:v>-10360.753552533026</c:v>
                </c:pt>
                <c:pt idx="380">
                  <c:v>-10307.342729304451</c:v>
                </c:pt>
                <c:pt idx="381">
                  <c:v>-10360.753552533168</c:v>
                </c:pt>
                <c:pt idx="382">
                  <c:v>-10310.194471665711</c:v>
                </c:pt>
                <c:pt idx="383">
                  <c:v>-10259.606307007802</c:v>
                </c:pt>
                <c:pt idx="384">
                  <c:v>-10208.989047984858</c:v>
                </c:pt>
                <c:pt idx="385">
                  <c:v>-10158.342684017613</c:v>
                </c:pt>
                <c:pt idx="386">
                  <c:v>-10006.228856578617</c:v>
                </c:pt>
                <c:pt idx="387">
                  <c:v>-9955.4659669369976</c:v>
                </c:pt>
                <c:pt idx="388">
                  <c:v>-9904.6739193769899</c:v>
                </c:pt>
                <c:pt idx="389">
                  <c:v>-9853.8527032879138</c:v>
                </c:pt>
                <c:pt idx="390">
                  <c:v>-9803.002308054829</c:v>
                </c:pt>
                <c:pt idx="391">
                  <c:v>-9650.2759412589967</c:v>
                </c:pt>
                <c:pt idx="392">
                  <c:v>-9599.3087231919108</c:v>
                </c:pt>
                <c:pt idx="393">
                  <c:v>-9548.3122728265353</c:v>
                </c:pt>
                <c:pt idx="394">
                  <c:v>-9497.2865795158159</c:v>
                </c:pt>
                <c:pt idx="395">
                  <c:v>-9446.2316326087148</c:v>
                </c:pt>
                <c:pt idx="396">
                  <c:v>-9292.8911637159217</c:v>
                </c:pt>
                <c:pt idx="397">
                  <c:v>-9241.7190958039446</c:v>
                </c:pt>
                <c:pt idx="398">
                  <c:v>-9190.5177209606845</c:v>
                </c:pt>
                <c:pt idx="399">
                  <c:v>-9139.2870285025638</c:v>
                </c:pt>
                <c:pt idx="400">
                  <c:v>-9088.0270077421701</c:v>
                </c:pt>
                <c:pt idx="401">
                  <c:v>-8934.0708686916059</c:v>
                </c:pt>
                <c:pt idx="402">
                  <c:v>-8882.6934277400942</c:v>
                </c:pt>
                <c:pt idx="403">
                  <c:v>-8831.2866049693639</c:v>
                </c:pt>
                <c:pt idx="404">
                  <c:v>-8779.8503896600268</c:v>
                </c:pt>
                <c:pt idx="405">
                  <c:v>-8728.3847710882874</c:v>
                </c:pt>
                <c:pt idx="406">
                  <c:v>-8573.811388476146</c:v>
                </c:pt>
                <c:pt idx="407">
                  <c:v>-8522.2280495068499</c:v>
                </c:pt>
                <c:pt idx="408">
                  <c:v>-8470.6152535754591</c:v>
                </c:pt>
                <c:pt idx="409">
                  <c:v>-8418.9729899259182</c:v>
                </c:pt>
                <c:pt idx="410">
                  <c:v>-8367.3012477979119</c:v>
                </c:pt>
                <c:pt idx="411">
                  <c:v>-8212.1090428546486</c:v>
                </c:pt>
                <c:pt idx="412">
                  <c:v>-8160.3192790987578</c:v>
                </c:pt>
                <c:pt idx="413">
                  <c:v>-8108.4999829809585</c:v>
                </c:pt>
                <c:pt idx="414">
                  <c:v>-8056.6511437093877</c:v>
                </c:pt>
                <c:pt idx="415">
                  <c:v>-8004.7727504862114</c:v>
                </c:pt>
                <c:pt idx="416">
                  <c:v>-7848.9601390532471</c:v>
                </c:pt>
                <c:pt idx="417">
                  <c:v>-7796.9634219432746</c:v>
                </c:pt>
                <c:pt idx="418">
                  <c:v>-7744.9370968145113</c:v>
                </c:pt>
                <c:pt idx="419">
                  <c:v>-7692.8811528381402</c:v>
                </c:pt>
                <c:pt idx="420">
                  <c:v>-7640.7955791795239</c:v>
                </c:pt>
                <c:pt idx="421">
                  <c:v>-7484.3609716866413</c:v>
                </c:pt>
                <c:pt idx="422">
                  <c:v>-7432.1567708487637</c:v>
                </c:pt>
                <c:pt idx="423">
                  <c:v>-7379.9228860768544</c:v>
                </c:pt>
                <c:pt idx="424">
                  <c:v>-7327.6593065047273</c:v>
                </c:pt>
                <c:pt idx="425">
                  <c:v>-7275.3660212606519</c:v>
                </c:pt>
                <c:pt idx="426">
                  <c:v>-7118.3078227026899</c:v>
                </c:pt>
                <c:pt idx="427">
                  <c:v>-7065.8956059499187</c:v>
                </c:pt>
                <c:pt idx="428">
                  <c:v>-7013.4536290875358</c:v>
                </c:pt>
                <c:pt idx="429">
                  <c:v>-6960.9818812124049</c:v>
                </c:pt>
                <c:pt idx="430">
                  <c:v>-6908.4803514158466</c:v>
                </c:pt>
                <c:pt idx="431">
                  <c:v>-6750.7969613296846</c:v>
                </c:pt>
                <c:pt idx="432">
                  <c:v>-6698.176194652774</c:v>
                </c:pt>
                <c:pt idx="433">
                  <c:v>-6645.5255914301852</c:v>
                </c:pt>
                <c:pt idx="434">
                  <c:v>-6592.8451407215498</c:v>
                </c:pt>
                <c:pt idx="435">
                  <c:v>-6540.134831580388</c:v>
                </c:pt>
                <c:pt idx="436">
                  <c:v>-6381.8246440207822</c:v>
                </c:pt>
                <c:pt idx="437">
                  <c:v>-6328.9947915815501</c:v>
                </c:pt>
                <c:pt idx="438">
                  <c:v>-6276.1350258985258</c:v>
                </c:pt>
                <c:pt idx="439">
                  <c:v>-6223.2453359935389</c:v>
                </c:pt>
                <c:pt idx="440">
                  <c:v>-6170.3257108828775</c:v>
                </c:pt>
                <c:pt idx="441">
                  <c:v>-6011.3871144001514</c:v>
                </c:pt>
                <c:pt idx="442">
                  <c:v>-5958.3476385228096</c:v>
                </c:pt>
                <c:pt idx="443">
                  <c:v>-5905.2781724405186</c:v>
                </c:pt>
                <c:pt idx="444">
                  <c:v>-5852.1787051373058</c:v>
                </c:pt>
                <c:pt idx="445">
                  <c:v>-5799.0492255919435</c:v>
                </c:pt>
                <c:pt idx="446">
                  <c:v>-5639.480603207403</c:v>
                </c:pt>
                <c:pt idx="447">
                  <c:v>-5586.2309643713106</c:v>
                </c:pt>
                <c:pt idx="448">
                  <c:v>-5532.9512581046465</c:v>
                </c:pt>
                <c:pt idx="449">
                  <c:v>-5479.6414733537795</c:v>
                </c:pt>
                <c:pt idx="450">
                  <c:v>-5426.3015990599688</c:v>
                </c:pt>
                <c:pt idx="451">
                  <c:v>-5266.1013282427402</c:v>
                </c:pt>
                <c:pt idx="452">
                  <c:v>-5212.6409850738746</c:v>
                </c:pt>
                <c:pt idx="453">
                  <c:v>-5159.1504969837843</c:v>
                </c:pt>
                <c:pt idx="454">
                  <c:v>-5105.6298528804691</c:v>
                </c:pt>
                <c:pt idx="455">
                  <c:v>-5052.0790416672417</c:v>
                </c:pt>
                <c:pt idx="456">
                  <c:v>-4891.2454943106804</c:v>
                </c:pt>
                <c:pt idx="457">
                  <c:v>-4837.5739035742527</c:v>
                </c:pt>
                <c:pt idx="458">
                  <c:v>-4783.8720901593488</c:v>
                </c:pt>
                <c:pt idx="459">
                  <c:v>-4730.1400429357445</c:v>
                </c:pt>
                <c:pt idx="460">
                  <c:v>-4676.3777507683817</c:v>
                </c:pt>
                <c:pt idx="461">
                  <c:v>-4514.9092931646355</c:v>
                </c:pt>
                <c:pt idx="462">
                  <c:v>-4461.0259097571261</c:v>
                </c:pt>
                <c:pt idx="463">
                  <c:v>-4407.1122256457329</c:v>
                </c:pt>
                <c:pt idx="464">
                  <c:v>-4353.1682296624294</c:v>
                </c:pt>
                <c:pt idx="465">
                  <c:v>-4299.1939106336476</c:v>
                </c:pt>
                <c:pt idx="466">
                  <c:v>-4137.0889034516267</c:v>
                </c:pt>
                <c:pt idx="467">
                  <c:v>-4082.9931803916966</c:v>
                </c:pt>
                <c:pt idx="468">
                  <c:v>-4028.8670783341727</c:v>
                </c:pt>
                <c:pt idx="469">
                  <c:v>-3974.7105860725187</c:v>
                </c:pt>
                <c:pt idx="470">
                  <c:v>-3920.5236923945108</c:v>
                </c:pt>
                <c:pt idx="471">
                  <c:v>-3757.7804906538859</c:v>
                </c:pt>
                <c:pt idx="472">
                  <c:v>-3703.4718790756929</c:v>
                </c:pt>
                <c:pt idx="473">
                  <c:v>-3649.1328099359066</c:v>
                </c:pt>
                <c:pt idx="474">
                  <c:v>-3594.7632719896205</c:v>
                </c:pt>
                <c:pt idx="475">
                  <c:v>-3540.3632539858163</c:v>
                </c:pt>
                <c:pt idx="476">
                  <c:v>-3376.9802070339952</c:v>
                </c:pt>
                <c:pt idx="477">
                  <c:v>-3322.4581561779587</c:v>
                </c:pt>
                <c:pt idx="478">
                  <c:v>-3267.9055689256134</c:v>
                </c:pt>
                <c:pt idx="479">
                  <c:v>-3213.3224339929711</c:v>
                </c:pt>
                <c:pt idx="480">
                  <c:v>-3158.7087400900768</c:v>
                </c:pt>
                <c:pt idx="481">
                  <c:v>-2994.6841915764821</c:v>
                </c:pt>
                <c:pt idx="482">
                  <c:v>-2939.9481487820367</c:v>
                </c:pt>
                <c:pt idx="483">
                  <c:v>-2885.1814904840012</c:v>
                </c:pt>
                <c:pt idx="484">
                  <c:v>-2830.3842053591666</c:v>
                </c:pt>
                <c:pt idx="485">
                  <c:v>-2775.5562820790656</c:v>
                </c:pt>
                <c:pt idx="486">
                  <c:v>-2610.8885699315465</c:v>
                </c:pt>
                <c:pt idx="487">
                  <c:v>-2555.9379806281868</c:v>
                </c:pt>
                <c:pt idx="488">
                  <c:v>-2500.9566964405394</c:v>
                </c:pt>
                <c:pt idx="489">
                  <c:v>-2445.9447060061734</c:v>
                </c:pt>
                <c:pt idx="490">
                  <c:v>-2390.9019979574</c:v>
                </c:pt>
                <c:pt idx="491">
                  <c:v>-2225.5894543573618</c:v>
                </c:pt>
                <c:pt idx="492">
                  <c:v>-2170.4237620562594</c:v>
                </c:pt>
                <c:pt idx="493">
                  <c:v>-2115.22729521576</c:v>
                </c:pt>
                <c:pt idx="494">
                  <c:v>-2060.0000424340692</c:v>
                </c:pt>
                <c:pt idx="495">
                  <c:v>-2004.741992303849</c:v>
                </c:pt>
                <c:pt idx="496">
                  <c:v>-1838.7829436606751</c:v>
                </c:pt>
                <c:pt idx="497">
                  <c:v>-1783.4015899477151</c:v>
                </c:pt>
                <c:pt idx="498">
                  <c:v>-1727.9893817639902</c:v>
                </c:pt>
                <c:pt idx="499">
                  <c:v>-1672.546307668199</c:v>
                </c:pt>
                <c:pt idx="500">
                  <c:v>-1617.0723562136402</c:v>
                </c:pt>
                <c:pt idx="501">
                  <c:v>-1450.465123140674</c:v>
                </c:pt>
                <c:pt idx="502">
                  <c:v>-1394.8675476665073</c:v>
                </c:pt>
                <c:pt idx="503">
                  <c:v>-1339.2390375133803</c:v>
                </c:pt>
                <c:pt idx="504">
                  <c:v>-1283.5795812002004</c:v>
                </c:pt>
                <c:pt idx="505">
                  <c:v>-1227.8891672406189</c:v>
                </c:pt>
                <c:pt idx="506">
                  <c:v>-1060.6320645288747</c:v>
                </c:pt>
                <c:pt idx="507">
                  <c:v>-1004.8177050016704</c:v>
                </c:pt>
                <c:pt idx="508">
                  <c:v>-948.97233030877715</c:v>
                </c:pt>
                <c:pt idx="509">
                  <c:v>-893.09592892945477</c:v>
                </c:pt>
                <c:pt idx="510">
                  <c:v>-837.18848933756362</c:v>
                </c:pt>
                <c:pt idx="511">
                  <c:v>-781.25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0E-453C-A00D-E12DF60EA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497587"/>
        <c:axId val="1676856980"/>
      </c:lineChart>
      <c:dateAx>
        <c:axId val="11664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yy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676856980"/>
        <c:crosses val="autoZero"/>
        <c:auto val="1"/>
        <c:lblOffset val="100"/>
        <c:baseTimeUnit val="days"/>
      </c:dateAx>
      <c:valAx>
        <c:axId val="1676856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166497587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3520566390895203"/>
          <c:y val="8.7032201914708437E-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16</xdr:row>
      <xdr:rowOff>47625</xdr:rowOff>
    </xdr:from>
    <xdr:ext cx="2019300" cy="11334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76200</xdr:colOff>
      <xdr:row>16</xdr:row>
      <xdr:rowOff>47625</xdr:rowOff>
    </xdr:from>
    <xdr:ext cx="3362325" cy="13335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247650</xdr:colOff>
      <xdr:row>16</xdr:row>
      <xdr:rowOff>38100</xdr:rowOff>
    </xdr:from>
    <xdr:ext cx="2076450" cy="11334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95250</xdr:colOff>
      <xdr:row>16</xdr:row>
      <xdr:rowOff>38100</xdr:rowOff>
    </xdr:from>
    <xdr:ext cx="3124200" cy="12858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0</xdr:colOff>
      <xdr:row>10</xdr:row>
      <xdr:rowOff>0</xdr:rowOff>
    </xdr:from>
    <xdr:ext cx="781050" cy="3143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960238" y="3627600"/>
          <a:ext cx="771525" cy="304800"/>
        </a:xfrm>
        <a:prstGeom prst="wedgeRoundRectCallout">
          <a:avLst>
            <a:gd name="adj1" fmla="val 60648"/>
            <a:gd name="adj2" fmla="val -86480"/>
            <a:gd name="adj3" fmla="val 16667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Shock lineal de 2.46 a 5%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4</xdr:row>
      <xdr:rowOff>57150</xdr:rowOff>
    </xdr:from>
    <xdr:ext cx="2019300" cy="113347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104775</xdr:colOff>
      <xdr:row>3</xdr:row>
      <xdr:rowOff>9525</xdr:rowOff>
    </xdr:from>
    <xdr:ext cx="3362325" cy="1333500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38100</xdr:colOff>
      <xdr:row>4</xdr:row>
      <xdr:rowOff>19050</xdr:rowOff>
    </xdr:from>
    <xdr:ext cx="2076450" cy="113347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676275</xdr:colOff>
      <xdr:row>3</xdr:row>
      <xdr:rowOff>0</xdr:rowOff>
    </xdr:from>
    <xdr:ext cx="3124200" cy="1285875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971550</xdr:colOff>
      <xdr:row>10</xdr:row>
      <xdr:rowOff>47625</xdr:rowOff>
    </xdr:from>
    <xdr:ext cx="781050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65000" y="3627600"/>
          <a:ext cx="762000" cy="304800"/>
        </a:xfrm>
        <a:prstGeom prst="wedgeRoundRectCallout">
          <a:avLst>
            <a:gd name="adj1" fmla="val 60648"/>
            <a:gd name="adj2" fmla="val -86480"/>
            <a:gd name="adj3" fmla="val 16667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Interés constante</a:t>
          </a:r>
          <a:endParaRPr sz="9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4</xdr:row>
      <xdr:rowOff>57150</xdr:rowOff>
    </xdr:from>
    <xdr:ext cx="2019300" cy="1133475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104775</xdr:colOff>
      <xdr:row>3</xdr:row>
      <xdr:rowOff>9525</xdr:rowOff>
    </xdr:from>
    <xdr:ext cx="3362325" cy="1333500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38100</xdr:colOff>
      <xdr:row>4</xdr:row>
      <xdr:rowOff>19050</xdr:rowOff>
    </xdr:from>
    <xdr:ext cx="2076450" cy="113347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676275</xdr:colOff>
      <xdr:row>3</xdr:row>
      <xdr:rowOff>0</xdr:rowOff>
    </xdr:from>
    <xdr:ext cx="3124200" cy="1285875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38100</xdr:colOff>
      <xdr:row>10</xdr:row>
      <xdr:rowOff>47625</xdr:rowOff>
    </xdr:from>
    <xdr:ext cx="78105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960238" y="3627600"/>
          <a:ext cx="771525" cy="304800"/>
        </a:xfrm>
        <a:prstGeom prst="wedgeRoundRectCallout">
          <a:avLst>
            <a:gd name="adj1" fmla="val 60648"/>
            <a:gd name="adj2" fmla="val -86480"/>
            <a:gd name="adj3" fmla="val 16667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Caida de 200 pbs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4</xdr:row>
      <xdr:rowOff>57150</xdr:rowOff>
    </xdr:from>
    <xdr:ext cx="2019300" cy="1133475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104775</xdr:colOff>
      <xdr:row>3</xdr:row>
      <xdr:rowOff>9525</xdr:rowOff>
    </xdr:from>
    <xdr:ext cx="3362325" cy="1333500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38100</xdr:colOff>
      <xdr:row>4</xdr:row>
      <xdr:rowOff>19050</xdr:rowOff>
    </xdr:from>
    <xdr:ext cx="2076450" cy="1133475"/>
    <xdr:graphicFrame macro="">
      <xdr:nvGraphicFramePr>
        <xdr:cNvPr id="15" name="Chart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676275</xdr:colOff>
      <xdr:row>3</xdr:row>
      <xdr:rowOff>0</xdr:rowOff>
    </xdr:from>
    <xdr:ext cx="3124200" cy="1285875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952500</xdr:colOff>
      <xdr:row>10</xdr:row>
      <xdr:rowOff>76200</xdr:rowOff>
    </xdr:from>
    <xdr:ext cx="7810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965000" y="3627600"/>
          <a:ext cx="762000" cy="304800"/>
        </a:xfrm>
        <a:prstGeom prst="wedgeRoundRectCallout">
          <a:avLst>
            <a:gd name="adj1" fmla="val 60648"/>
            <a:gd name="adj2" fmla="val -86480"/>
            <a:gd name="adj3" fmla="val 16667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Aumento de 200 pbs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10" sqref="B10"/>
    </sheetView>
  </sheetViews>
  <sheetFormatPr baseColWidth="10" defaultColWidth="14.453125" defaultRowHeight="15" customHeight="1" x14ac:dyDescent="0.25"/>
  <cols>
    <col min="1" max="1" width="17.54296875" customWidth="1"/>
    <col min="2" max="2" width="14.54296875" customWidth="1"/>
    <col min="3" max="4" width="11.453125" customWidth="1"/>
    <col min="5" max="5" width="9.81640625" customWidth="1"/>
    <col min="6" max="6" width="9" customWidth="1"/>
    <col min="7" max="7" width="16.08984375" customWidth="1"/>
    <col min="8" max="8" width="11.453125" customWidth="1"/>
    <col min="9" max="9" width="12.81640625" customWidth="1"/>
    <col min="10" max="10" width="12.453125" customWidth="1"/>
    <col min="11" max="26" width="11.453125" customWidth="1"/>
  </cols>
  <sheetData>
    <row r="1" spans="1:11" ht="12" customHeight="1" x14ac:dyDescent="0.2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</row>
    <row r="2" spans="1:11" ht="12" customHeight="1" x14ac:dyDescent="0.25">
      <c r="A2" s="1" t="s">
        <v>3</v>
      </c>
      <c r="B2" s="2" t="s">
        <v>4</v>
      </c>
      <c r="C2" s="3"/>
      <c r="D2" s="6" t="s">
        <v>5</v>
      </c>
      <c r="E2" s="7">
        <f>B8+365</f>
        <v>43904</v>
      </c>
      <c r="F2" s="5"/>
      <c r="G2" s="8" t="s">
        <v>6</v>
      </c>
      <c r="H2" s="5">
        <f>-(B9-E3)/(E2-B8)</f>
        <v>-1.2564712328767124E-3</v>
      </c>
    </row>
    <row r="3" spans="1:11" ht="12" customHeight="1" x14ac:dyDescent="0.3">
      <c r="A3" s="9" t="s">
        <v>7</v>
      </c>
      <c r="B3" s="2" t="s">
        <v>8</v>
      </c>
      <c r="C3" s="3"/>
      <c r="D3" s="6" t="s">
        <v>9</v>
      </c>
      <c r="E3" s="10">
        <v>2</v>
      </c>
      <c r="F3" s="5"/>
      <c r="G3" s="5" t="s">
        <v>10</v>
      </c>
      <c r="H3" s="11">
        <f>J277</f>
        <v>2.8990785270358357</v>
      </c>
    </row>
    <row r="4" spans="1:11" ht="12" customHeight="1" x14ac:dyDescent="0.25">
      <c r="A4" s="1" t="s">
        <v>11</v>
      </c>
      <c r="B4" s="2">
        <v>2.5</v>
      </c>
      <c r="C4" s="3"/>
      <c r="D4" s="3" t="s">
        <v>12</v>
      </c>
      <c r="K4" s="3" t="s">
        <v>13</v>
      </c>
    </row>
    <row r="5" spans="1:11" ht="12" customHeight="1" x14ac:dyDescent="0.25">
      <c r="A5" s="1" t="s">
        <v>14</v>
      </c>
      <c r="B5" s="2">
        <v>2</v>
      </c>
      <c r="C5" s="3"/>
      <c r="D5" s="12"/>
    </row>
    <row r="6" spans="1:11" ht="12" customHeight="1" x14ac:dyDescent="0.25">
      <c r="A6" s="1" t="s">
        <v>15</v>
      </c>
      <c r="B6" s="13">
        <v>1000000</v>
      </c>
      <c r="C6" s="14"/>
      <c r="D6" s="12"/>
    </row>
    <row r="7" spans="1:11" ht="12" customHeight="1" x14ac:dyDescent="0.25">
      <c r="A7" s="1" t="s">
        <v>16</v>
      </c>
      <c r="B7" s="13">
        <f>B4/B5*$B$6/100</f>
        <v>12500</v>
      </c>
      <c r="C7" s="3"/>
      <c r="D7" s="12"/>
    </row>
    <row r="8" spans="1:11" ht="12" customHeight="1" x14ac:dyDescent="0.25">
      <c r="A8" s="1" t="s">
        <v>17</v>
      </c>
      <c r="B8" s="15">
        <v>43539</v>
      </c>
      <c r="C8" s="3"/>
      <c r="D8" s="12"/>
    </row>
    <row r="9" spans="1:11" ht="12" customHeight="1" x14ac:dyDescent="0.25">
      <c r="A9" s="1" t="s">
        <v>18</v>
      </c>
      <c r="B9" s="2">
        <v>2.458612</v>
      </c>
      <c r="C9" s="3"/>
      <c r="D9" s="12"/>
    </row>
    <row r="10" spans="1:11" ht="12" customHeight="1" x14ac:dyDescent="0.25">
      <c r="A10" s="1" t="s">
        <v>19</v>
      </c>
      <c r="B10" s="16">
        <v>100.078125</v>
      </c>
      <c r="C10" s="3"/>
      <c r="D10" s="12"/>
    </row>
    <row r="11" spans="1:11" ht="12" customHeight="1" x14ac:dyDescent="0.25">
      <c r="A11" s="1"/>
      <c r="B11" s="3"/>
      <c r="C11" s="17"/>
      <c r="D11" s="12"/>
    </row>
    <row r="12" spans="1:11" ht="12" customHeight="1" x14ac:dyDescent="0.25">
      <c r="A12" s="1"/>
      <c r="B12" s="3"/>
      <c r="C12" s="17"/>
      <c r="D12" s="12"/>
    </row>
    <row r="13" spans="1:11" ht="12" customHeight="1" x14ac:dyDescent="0.25">
      <c r="A13" s="1"/>
      <c r="B13" s="3"/>
      <c r="C13" s="3"/>
      <c r="D13" s="12"/>
    </row>
    <row r="14" spans="1:11" ht="12" customHeight="1" x14ac:dyDescent="0.25">
      <c r="A14" s="27" t="s">
        <v>20</v>
      </c>
      <c r="B14" s="29" t="s">
        <v>21</v>
      </c>
      <c r="C14" s="30"/>
      <c r="D14" s="18" t="s">
        <v>22</v>
      </c>
      <c r="I14" s="13"/>
    </row>
    <row r="15" spans="1:11" ht="12" customHeight="1" x14ac:dyDescent="0.3">
      <c r="A15" s="28"/>
      <c r="B15" s="5" t="s">
        <v>23</v>
      </c>
      <c r="C15" s="5" t="s">
        <v>24</v>
      </c>
      <c r="D15" s="12" t="s">
        <v>25</v>
      </c>
      <c r="E15" s="19" t="s">
        <v>26</v>
      </c>
      <c r="F15" s="19" t="s">
        <v>27</v>
      </c>
      <c r="G15" s="9" t="s">
        <v>28</v>
      </c>
      <c r="H15" s="9" t="s">
        <v>29</v>
      </c>
      <c r="I15" s="9" t="s">
        <v>30</v>
      </c>
      <c r="J15" s="9" t="s">
        <v>10</v>
      </c>
    </row>
    <row r="16" spans="1:11" ht="12" customHeight="1" x14ac:dyDescent="0.3">
      <c r="A16" s="1">
        <f>B8</f>
        <v>43539</v>
      </c>
      <c r="B16" s="20">
        <v>1019.0217391304349</v>
      </c>
      <c r="C16" s="20">
        <v>0</v>
      </c>
      <c r="D16" s="21" t="str">
        <f t="shared" ref="D16:D527" si="0">TEXT(WORKDAY(A16,0),$D$14&amp;"mmdd")</f>
        <v>190315</v>
      </c>
      <c r="E16" s="22">
        <f>B9</f>
        <v>2.458612</v>
      </c>
      <c r="F16" s="9">
        <f>H2</f>
        <v>-1.2564712328767124E-3</v>
      </c>
      <c r="G16" s="14">
        <f t="shared" ref="G16:G526" si="1">PRICE(A16,$B$3,$B$4%,E16%,100,2,2)</f>
        <v>100.07807789534182</v>
      </c>
      <c r="H16" s="23">
        <v>0</v>
      </c>
      <c r="I16" s="20">
        <f t="shared" ref="I16:I527" si="2">C16+H16</f>
        <v>0</v>
      </c>
    </row>
    <row r="17" spans="1:11" ht="12" customHeight="1" x14ac:dyDescent="0.3">
      <c r="A17" s="1">
        <f t="shared" ref="A17:A527" si="3">WORKDAY(A16,1)</f>
        <v>43542</v>
      </c>
      <c r="B17" s="20">
        <v>1222.8260869565217</v>
      </c>
      <c r="C17" s="20">
        <f t="shared" ref="C17:C527" si="4">IF(B17&gt;B16,C16+(B17-B16),C16+($B$7-B16)+B17)</f>
        <v>203.80434782608688</v>
      </c>
      <c r="D17" s="21" t="str">
        <f t="shared" si="0"/>
        <v>190318</v>
      </c>
      <c r="E17" s="22">
        <f t="shared" ref="E17:E527" si="5">E16+F16</f>
        <v>2.4573555287671232</v>
      </c>
      <c r="F17" s="9">
        <f t="shared" ref="F17:F527" si="6">(A17-A16)*$H$2</f>
        <v>-3.7694136986301374E-3</v>
      </c>
      <c r="G17" s="14">
        <f t="shared" si="1"/>
        <v>100.08002691500045</v>
      </c>
      <c r="H17" s="24">
        <f t="shared" ref="H17:H527" si="7">(G17-$B$10)*$B$6/100</f>
        <v>19.019150004453422</v>
      </c>
      <c r="I17" s="20">
        <f t="shared" si="2"/>
        <v>222.8234978305403</v>
      </c>
      <c r="J17" s="17">
        <f t="shared" ref="J17:J527" si="8">I17/$B$6*100</f>
        <v>2.2282349783054031E-2</v>
      </c>
      <c r="K17" s="3"/>
    </row>
    <row r="18" spans="1:11" ht="12" customHeight="1" x14ac:dyDescent="0.3">
      <c r="A18" s="1">
        <f t="shared" si="3"/>
        <v>43543</v>
      </c>
      <c r="B18" s="20">
        <v>1290.7608695652173</v>
      </c>
      <c r="C18" s="20">
        <f t="shared" si="4"/>
        <v>271.7391304347824</v>
      </c>
      <c r="D18" s="21" t="str">
        <f t="shared" si="0"/>
        <v>190319</v>
      </c>
      <c r="E18" s="22">
        <f t="shared" si="5"/>
        <v>2.453586115068493</v>
      </c>
      <c r="F18" s="9">
        <f t="shared" si="6"/>
        <v>-1.2564712328767124E-3</v>
      </c>
      <c r="G18" s="14">
        <f t="shared" si="1"/>
        <v>100.08701047719117</v>
      </c>
      <c r="H18" s="24">
        <f t="shared" si="7"/>
        <v>88.85477191171276</v>
      </c>
      <c r="I18" s="20">
        <f t="shared" si="2"/>
        <v>360.59390234649516</v>
      </c>
      <c r="J18" s="17">
        <f t="shared" si="8"/>
        <v>3.6059390234649512E-2</v>
      </c>
    </row>
    <row r="19" spans="1:11" ht="12" customHeight="1" x14ac:dyDescent="0.3">
      <c r="A19" s="1">
        <f t="shared" si="3"/>
        <v>43544</v>
      </c>
      <c r="B19" s="20">
        <v>1358.695652173913</v>
      </c>
      <c r="C19" s="20">
        <f t="shared" si="4"/>
        <v>339.67391304347814</v>
      </c>
      <c r="D19" s="21" t="str">
        <f t="shared" si="0"/>
        <v>190320</v>
      </c>
      <c r="E19" s="22">
        <f t="shared" si="5"/>
        <v>2.4523296438356161</v>
      </c>
      <c r="F19" s="9">
        <f t="shared" si="6"/>
        <v>-1.2564712328767124E-3</v>
      </c>
      <c r="G19" s="14">
        <f t="shared" si="1"/>
        <v>100.08922848415439</v>
      </c>
      <c r="H19" s="24">
        <f t="shared" si="7"/>
        <v>111.03484154389774</v>
      </c>
      <c r="I19" s="20">
        <f t="shared" si="2"/>
        <v>450.70875458737589</v>
      </c>
      <c r="J19" s="17">
        <f t="shared" si="8"/>
        <v>4.5070875458737593E-2</v>
      </c>
    </row>
    <row r="20" spans="1:11" ht="12" customHeight="1" x14ac:dyDescent="0.3">
      <c r="A20" s="1">
        <f t="shared" si="3"/>
        <v>43545</v>
      </c>
      <c r="B20" s="20">
        <v>1426.6304347826087</v>
      </c>
      <c r="C20" s="20">
        <f t="shared" si="4"/>
        <v>407.60869565217388</v>
      </c>
      <c r="D20" s="21" t="str">
        <f t="shared" si="0"/>
        <v>190321</v>
      </c>
      <c r="E20" s="22">
        <f t="shared" si="5"/>
        <v>2.4510731726027393</v>
      </c>
      <c r="F20" s="9">
        <f t="shared" si="6"/>
        <v>-1.2564712328767124E-3</v>
      </c>
      <c r="G20" s="14">
        <f t="shared" si="1"/>
        <v>100.09144043195884</v>
      </c>
      <c r="H20" s="24">
        <f t="shared" si="7"/>
        <v>133.15431958844215</v>
      </c>
      <c r="I20" s="20">
        <f t="shared" si="2"/>
        <v>540.76301524061603</v>
      </c>
      <c r="J20" s="17">
        <f t="shared" si="8"/>
        <v>5.4076301524061607E-2</v>
      </c>
    </row>
    <row r="21" spans="1:11" ht="12" customHeight="1" x14ac:dyDescent="0.3">
      <c r="A21" s="1">
        <f t="shared" si="3"/>
        <v>43546</v>
      </c>
      <c r="B21" s="20">
        <v>1494.5652173913043</v>
      </c>
      <c r="C21" s="20">
        <f t="shared" si="4"/>
        <v>475.54347826086939</v>
      </c>
      <c r="D21" s="21" t="str">
        <f t="shared" si="0"/>
        <v>190322</v>
      </c>
      <c r="E21" s="22">
        <f t="shared" si="5"/>
        <v>2.4498167013698624</v>
      </c>
      <c r="F21" s="9">
        <f t="shared" si="6"/>
        <v>-1.2564712328767124E-3</v>
      </c>
      <c r="G21" s="14">
        <f t="shared" si="1"/>
        <v>100.09364631872667</v>
      </c>
      <c r="H21" s="24">
        <f t="shared" si="7"/>
        <v>155.2131872666962</v>
      </c>
      <c r="I21" s="20">
        <f t="shared" si="2"/>
        <v>630.75666552756559</v>
      </c>
      <c r="J21" s="17">
        <f t="shared" si="8"/>
        <v>6.3075666552756551E-2</v>
      </c>
    </row>
    <row r="22" spans="1:11" ht="12" customHeight="1" x14ac:dyDescent="0.3">
      <c r="A22" s="1">
        <f t="shared" si="3"/>
        <v>43549</v>
      </c>
      <c r="B22" s="20">
        <v>1698.3695652173913</v>
      </c>
      <c r="C22" s="20">
        <f t="shared" si="4"/>
        <v>679.34782608695639</v>
      </c>
      <c r="D22" s="21" t="str">
        <f t="shared" si="0"/>
        <v>190325</v>
      </c>
      <c r="E22" s="22">
        <f t="shared" si="5"/>
        <v>2.4485602301369855</v>
      </c>
      <c r="F22" s="9">
        <f t="shared" si="6"/>
        <v>-3.7694136986301374E-3</v>
      </c>
      <c r="G22" s="14">
        <f t="shared" si="1"/>
        <v>100.09551324000132</v>
      </c>
      <c r="H22" s="24">
        <f t="shared" si="7"/>
        <v>173.88240001324107</v>
      </c>
      <c r="I22" s="20">
        <f t="shared" si="2"/>
        <v>853.23022610019746</v>
      </c>
      <c r="J22" s="17">
        <f t="shared" si="8"/>
        <v>8.5323022610019741E-2</v>
      </c>
    </row>
    <row r="23" spans="1:11" ht="12" customHeight="1" x14ac:dyDescent="0.3">
      <c r="A23" s="1">
        <f t="shared" si="3"/>
        <v>43550</v>
      </c>
      <c r="B23" s="20">
        <v>1766.3043478260868</v>
      </c>
      <c r="C23" s="20">
        <f t="shared" si="4"/>
        <v>747.2826086956519</v>
      </c>
      <c r="D23" s="21" t="str">
        <f t="shared" si="0"/>
        <v>190326</v>
      </c>
      <c r="E23" s="22">
        <f t="shared" si="5"/>
        <v>2.4447908164383554</v>
      </c>
      <c r="F23" s="9">
        <f t="shared" si="6"/>
        <v>-1.2564712328767124E-3</v>
      </c>
      <c r="G23" s="14">
        <f t="shared" si="1"/>
        <v>100.10240921791298</v>
      </c>
      <c r="H23" s="24">
        <f t="shared" si="7"/>
        <v>242.84217912978079</v>
      </c>
      <c r="I23" s="20">
        <f t="shared" si="2"/>
        <v>990.12478782543269</v>
      </c>
      <c r="J23" s="17">
        <f t="shared" si="8"/>
        <v>9.9012478782543267E-2</v>
      </c>
    </row>
    <row r="24" spans="1:11" ht="12" customHeight="1" x14ac:dyDescent="0.3">
      <c r="A24" s="1">
        <f t="shared" si="3"/>
        <v>43551</v>
      </c>
      <c r="B24" s="20">
        <v>1834.2391304347827</v>
      </c>
      <c r="C24" s="20">
        <f t="shared" si="4"/>
        <v>815.21739130434787</v>
      </c>
      <c r="D24" s="21" t="str">
        <f t="shared" si="0"/>
        <v>190327</v>
      </c>
      <c r="E24" s="22">
        <f t="shared" si="5"/>
        <v>2.4435343452054785</v>
      </c>
      <c r="F24" s="9">
        <f t="shared" si="6"/>
        <v>-1.2564712328767124E-3</v>
      </c>
      <c r="G24" s="14">
        <f t="shared" si="1"/>
        <v>100.10458477136804</v>
      </c>
      <c r="H24" s="24">
        <f t="shared" si="7"/>
        <v>264.59771368038787</v>
      </c>
      <c r="I24" s="20">
        <f t="shared" si="2"/>
        <v>1079.8151049847356</v>
      </c>
      <c r="J24" s="17">
        <f t="shared" si="8"/>
        <v>0.10798151049847356</v>
      </c>
    </row>
    <row r="25" spans="1:11" ht="12" customHeight="1" x14ac:dyDescent="0.3">
      <c r="A25" s="1">
        <f t="shared" si="3"/>
        <v>43552</v>
      </c>
      <c r="B25" s="20">
        <v>1902.1739130434785</v>
      </c>
      <c r="C25" s="20">
        <f t="shared" si="4"/>
        <v>883.15217391304361</v>
      </c>
      <c r="D25" s="21" t="str">
        <f t="shared" si="0"/>
        <v>190328</v>
      </c>
      <c r="E25" s="22">
        <f t="shared" si="5"/>
        <v>2.4422778739726017</v>
      </c>
      <c r="F25" s="9">
        <f t="shared" si="6"/>
        <v>-1.2564712328767124E-3</v>
      </c>
      <c r="G25" s="14">
        <f t="shared" si="1"/>
        <v>100.1067542525421</v>
      </c>
      <c r="H25" s="24">
        <f t="shared" si="7"/>
        <v>286.29252542103245</v>
      </c>
      <c r="I25" s="20">
        <f t="shared" si="2"/>
        <v>1169.4446993340762</v>
      </c>
      <c r="J25" s="17">
        <f t="shared" si="8"/>
        <v>0.11694446993340762</v>
      </c>
    </row>
    <row r="26" spans="1:11" ht="12" customHeight="1" x14ac:dyDescent="0.3">
      <c r="A26" s="1">
        <f t="shared" si="3"/>
        <v>43553</v>
      </c>
      <c r="B26" s="20">
        <v>1970.108695652174</v>
      </c>
      <c r="C26" s="20">
        <f t="shared" si="4"/>
        <v>951.08695652173913</v>
      </c>
      <c r="D26" s="21" t="str">
        <f t="shared" si="0"/>
        <v>190329</v>
      </c>
      <c r="E26" s="22">
        <f t="shared" si="5"/>
        <v>2.4410214027397248</v>
      </c>
      <c r="F26" s="9">
        <f t="shared" si="6"/>
        <v>-1.2564712328767124E-3</v>
      </c>
      <c r="G26" s="14">
        <f t="shared" si="1"/>
        <v>100.10891765956485</v>
      </c>
      <c r="H26" s="24">
        <f t="shared" si="7"/>
        <v>307.92659564852443</v>
      </c>
      <c r="I26" s="20">
        <f t="shared" si="2"/>
        <v>1259.0135521702637</v>
      </c>
      <c r="J26" s="17">
        <f t="shared" si="8"/>
        <v>0.12590135521702636</v>
      </c>
    </row>
    <row r="27" spans="1:11" ht="12" customHeight="1" x14ac:dyDescent="0.3">
      <c r="A27" s="1">
        <f t="shared" si="3"/>
        <v>43556</v>
      </c>
      <c r="B27" s="20">
        <v>2173.913043478261</v>
      </c>
      <c r="C27" s="20">
        <f t="shared" si="4"/>
        <v>1154.891304347826</v>
      </c>
      <c r="D27" s="21" t="str">
        <f t="shared" si="0"/>
        <v>190401</v>
      </c>
      <c r="E27" s="22">
        <f t="shared" si="5"/>
        <v>2.4397649315068479</v>
      </c>
      <c r="F27" s="9">
        <f t="shared" si="6"/>
        <v>-3.7694136986301374E-3</v>
      </c>
      <c r="G27" s="14">
        <f t="shared" si="1"/>
        <v>100.11070228650179</v>
      </c>
      <c r="H27" s="24">
        <f t="shared" si="7"/>
        <v>325.77286501791036</v>
      </c>
      <c r="I27" s="20">
        <f t="shared" si="2"/>
        <v>1480.6641693657364</v>
      </c>
      <c r="J27" s="17">
        <f t="shared" si="8"/>
        <v>0.14806641693657363</v>
      </c>
    </row>
    <row r="28" spans="1:11" ht="12" customHeight="1" x14ac:dyDescent="0.3">
      <c r="A28" s="1">
        <f t="shared" si="3"/>
        <v>43557</v>
      </c>
      <c r="B28" s="20">
        <v>2241.8478260869565</v>
      </c>
      <c r="C28" s="20">
        <f t="shared" si="4"/>
        <v>1222.8260869565215</v>
      </c>
      <c r="D28" s="21" t="str">
        <f t="shared" si="0"/>
        <v>190402</v>
      </c>
      <c r="E28" s="22">
        <f t="shared" si="5"/>
        <v>2.4359955178082178</v>
      </c>
      <c r="F28" s="9">
        <f t="shared" si="6"/>
        <v>-1.2564712328767124E-3</v>
      </c>
      <c r="G28" s="14">
        <f t="shared" si="1"/>
        <v>100.11751050877291</v>
      </c>
      <c r="H28" s="24">
        <f t="shared" si="7"/>
        <v>393.85508772909367</v>
      </c>
      <c r="I28" s="20">
        <f t="shared" si="2"/>
        <v>1616.6811746856151</v>
      </c>
      <c r="J28" s="17">
        <f t="shared" si="8"/>
        <v>0.16166811746856152</v>
      </c>
    </row>
    <row r="29" spans="1:11" ht="12" customHeight="1" x14ac:dyDescent="0.3">
      <c r="A29" s="1">
        <f t="shared" si="3"/>
        <v>43558</v>
      </c>
      <c r="B29" s="20">
        <v>2309.782608695652</v>
      </c>
      <c r="C29" s="20">
        <f t="shared" si="4"/>
        <v>1290.760869565217</v>
      </c>
      <c r="D29" s="21" t="str">
        <f t="shared" si="0"/>
        <v>190403</v>
      </c>
      <c r="E29" s="22">
        <f t="shared" si="5"/>
        <v>2.4347390465753409</v>
      </c>
      <c r="F29" s="9">
        <f t="shared" si="6"/>
        <v>-1.2564712328767124E-3</v>
      </c>
      <c r="G29" s="14">
        <f t="shared" si="1"/>
        <v>100.11964351702113</v>
      </c>
      <c r="H29" s="24">
        <f t="shared" si="7"/>
        <v>415.18517021131629</v>
      </c>
      <c r="I29" s="20">
        <f t="shared" si="2"/>
        <v>1705.9460397765333</v>
      </c>
      <c r="J29" s="17">
        <f t="shared" si="8"/>
        <v>0.17059460397765333</v>
      </c>
    </row>
    <row r="30" spans="1:11" ht="12" customHeight="1" x14ac:dyDescent="0.3">
      <c r="A30" s="1">
        <f t="shared" si="3"/>
        <v>43559</v>
      </c>
      <c r="B30" s="20">
        <v>2377.717391304348</v>
      </c>
      <c r="C30" s="20">
        <f t="shared" si="4"/>
        <v>1358.695652173913</v>
      </c>
      <c r="D30" s="21" t="str">
        <f t="shared" si="0"/>
        <v>190404</v>
      </c>
      <c r="E30" s="22">
        <f t="shared" si="5"/>
        <v>2.433482575342464</v>
      </c>
      <c r="F30" s="9">
        <f t="shared" si="6"/>
        <v>-1.2564712328767124E-3</v>
      </c>
      <c r="G30" s="14">
        <f t="shared" si="1"/>
        <v>100.12177043991848</v>
      </c>
      <c r="H30" s="24">
        <f t="shared" si="7"/>
        <v>436.45439918478246</v>
      </c>
      <c r="I30" s="20">
        <f t="shared" si="2"/>
        <v>1795.1500513586955</v>
      </c>
      <c r="J30" s="17">
        <f t="shared" si="8"/>
        <v>0.17951500513586954</v>
      </c>
    </row>
    <row r="31" spans="1:11" ht="12" customHeight="1" x14ac:dyDescent="0.3">
      <c r="A31" s="1">
        <f t="shared" si="3"/>
        <v>43560</v>
      </c>
      <c r="B31" s="20">
        <v>2445.6521739130435</v>
      </c>
      <c r="C31" s="20">
        <f t="shared" si="4"/>
        <v>1426.6304347826085</v>
      </c>
      <c r="D31" s="21" t="str">
        <f t="shared" si="0"/>
        <v>190405</v>
      </c>
      <c r="E31" s="22">
        <f t="shared" si="5"/>
        <v>2.4322261041095872</v>
      </c>
      <c r="F31" s="9">
        <f t="shared" si="6"/>
        <v>-1.2564712328767124E-3</v>
      </c>
      <c r="G31" s="14">
        <f t="shared" si="1"/>
        <v>100.12389127560199</v>
      </c>
      <c r="H31" s="24">
        <f t="shared" si="7"/>
        <v>457.66275601991424</v>
      </c>
      <c r="I31" s="20">
        <f t="shared" si="2"/>
        <v>1884.2931908025228</v>
      </c>
      <c r="J31" s="17">
        <f t="shared" si="8"/>
        <v>0.18842931908025229</v>
      </c>
    </row>
    <row r="32" spans="1:11" ht="12" customHeight="1" x14ac:dyDescent="0.3">
      <c r="A32" s="1">
        <f t="shared" si="3"/>
        <v>43563</v>
      </c>
      <c r="B32" s="20">
        <v>2649.45652173913</v>
      </c>
      <c r="C32" s="20">
        <f t="shared" si="4"/>
        <v>1630.4347826086951</v>
      </c>
      <c r="D32" s="21" t="str">
        <f t="shared" si="0"/>
        <v>190408</v>
      </c>
      <c r="E32" s="22">
        <f t="shared" si="5"/>
        <v>2.4309696328767103</v>
      </c>
      <c r="F32" s="9">
        <f t="shared" si="6"/>
        <v>-3.7694136986301374E-3</v>
      </c>
      <c r="G32" s="14">
        <f t="shared" si="1"/>
        <v>100.12559341295258</v>
      </c>
      <c r="H32" s="24">
        <f t="shared" si="7"/>
        <v>474.68412952582645</v>
      </c>
      <c r="I32" s="20">
        <f t="shared" si="2"/>
        <v>2105.1189121345215</v>
      </c>
      <c r="J32" s="17">
        <f t="shared" si="8"/>
        <v>0.21051189121345215</v>
      </c>
    </row>
    <row r="33" spans="1:10" ht="12" customHeight="1" x14ac:dyDescent="0.3">
      <c r="A33" s="1">
        <f t="shared" si="3"/>
        <v>43564</v>
      </c>
      <c r="B33" s="20">
        <v>2717.391304347826</v>
      </c>
      <c r="C33" s="20">
        <f t="shared" si="4"/>
        <v>1698.369565217391</v>
      </c>
      <c r="D33" s="21" t="str">
        <f t="shared" si="0"/>
        <v>190409</v>
      </c>
      <c r="E33" s="22">
        <f t="shared" si="5"/>
        <v>2.4272002191780802</v>
      </c>
      <c r="F33" s="9">
        <f t="shared" si="6"/>
        <v>-1.2564712328767124E-3</v>
      </c>
      <c r="G33" s="14">
        <f t="shared" si="1"/>
        <v>100.132313708978</v>
      </c>
      <c r="H33" s="24">
        <f t="shared" si="7"/>
        <v>541.88708978003319</v>
      </c>
      <c r="I33" s="20">
        <f t="shared" si="2"/>
        <v>2240.2566549974244</v>
      </c>
      <c r="J33" s="17">
        <f t="shared" si="8"/>
        <v>0.22402566549974243</v>
      </c>
    </row>
    <row r="34" spans="1:10" ht="12" customHeight="1" x14ac:dyDescent="0.3">
      <c r="A34" s="1">
        <f t="shared" si="3"/>
        <v>43565</v>
      </c>
      <c r="B34" s="20">
        <v>2785.3260869565215</v>
      </c>
      <c r="C34" s="20">
        <f t="shared" si="4"/>
        <v>1766.3043478260865</v>
      </c>
      <c r="D34" s="21" t="str">
        <f t="shared" si="0"/>
        <v>190410</v>
      </c>
      <c r="E34" s="22">
        <f t="shared" si="5"/>
        <v>2.4259437479452033</v>
      </c>
      <c r="F34" s="9">
        <f t="shared" si="6"/>
        <v>-1.2564712328767124E-3</v>
      </c>
      <c r="G34" s="14">
        <f t="shared" si="1"/>
        <v>100.13440408068691</v>
      </c>
      <c r="H34" s="24">
        <f t="shared" si="7"/>
        <v>562.79080686906013</v>
      </c>
      <c r="I34" s="20">
        <f t="shared" si="2"/>
        <v>2329.0951546951464</v>
      </c>
      <c r="J34" s="17">
        <f t="shared" si="8"/>
        <v>0.23290951546951466</v>
      </c>
    </row>
    <row r="35" spans="1:10" ht="12" customHeight="1" x14ac:dyDescent="0.3">
      <c r="A35" s="1">
        <f t="shared" si="3"/>
        <v>43566</v>
      </c>
      <c r="B35" s="20">
        <v>2853.2608695652175</v>
      </c>
      <c r="C35" s="20">
        <f t="shared" si="4"/>
        <v>1834.2391304347825</v>
      </c>
      <c r="D35" s="21" t="str">
        <f t="shared" si="0"/>
        <v>190411</v>
      </c>
      <c r="E35" s="22">
        <f t="shared" si="5"/>
        <v>2.4246872767123264</v>
      </c>
      <c r="F35" s="9">
        <f t="shared" si="6"/>
        <v>-1.2564712328767124E-3</v>
      </c>
      <c r="G35" s="14">
        <f t="shared" si="1"/>
        <v>100.13648835402728</v>
      </c>
      <c r="H35" s="24">
        <f t="shared" si="7"/>
        <v>583.63354027278547</v>
      </c>
      <c r="I35" s="20">
        <f t="shared" si="2"/>
        <v>2417.872670707568</v>
      </c>
      <c r="J35" s="17">
        <f t="shared" si="8"/>
        <v>0.24178726707075679</v>
      </c>
    </row>
    <row r="36" spans="1:10" ht="12" customHeight="1" x14ac:dyDescent="0.3">
      <c r="A36" s="1">
        <f t="shared" si="3"/>
        <v>43567</v>
      </c>
      <c r="B36" s="20">
        <v>2921.195652173913</v>
      </c>
      <c r="C36" s="20">
        <f t="shared" si="4"/>
        <v>1902.173913043478</v>
      </c>
      <c r="D36" s="21" t="str">
        <f t="shared" si="0"/>
        <v>190412</v>
      </c>
      <c r="E36" s="22">
        <f t="shared" si="5"/>
        <v>2.4234308054794496</v>
      </c>
      <c r="F36" s="9">
        <f t="shared" si="6"/>
        <v>-1.2564712328767124E-3</v>
      </c>
      <c r="G36" s="14">
        <f t="shared" si="1"/>
        <v>100.13856652714379</v>
      </c>
      <c r="H36" s="24">
        <f t="shared" si="7"/>
        <v>604.4152714379436</v>
      </c>
      <c r="I36" s="20">
        <f t="shared" si="2"/>
        <v>2506.5891844814214</v>
      </c>
      <c r="J36" s="17">
        <f t="shared" si="8"/>
        <v>0.25065891844814214</v>
      </c>
    </row>
    <row r="37" spans="1:10" ht="12" customHeight="1" x14ac:dyDescent="0.3">
      <c r="A37" s="1">
        <f t="shared" si="3"/>
        <v>43570</v>
      </c>
      <c r="B37" s="20">
        <v>3125</v>
      </c>
      <c r="C37" s="20">
        <f t="shared" si="4"/>
        <v>2105.978260869565</v>
      </c>
      <c r="D37" s="21" t="str">
        <f t="shared" si="0"/>
        <v>190415</v>
      </c>
      <c r="E37" s="22">
        <f t="shared" si="5"/>
        <v>2.4221743342465727</v>
      </c>
      <c r="F37" s="9">
        <f t="shared" si="6"/>
        <v>-3.7694136986301374E-3</v>
      </c>
      <c r="G37" s="14">
        <f t="shared" si="1"/>
        <v>100.14018598036765</v>
      </c>
      <c r="H37" s="24">
        <f t="shared" si="7"/>
        <v>620.60980367647289</v>
      </c>
      <c r="I37" s="20">
        <f t="shared" si="2"/>
        <v>2726.5880645460379</v>
      </c>
      <c r="J37" s="17">
        <f t="shared" si="8"/>
        <v>0.27265880645460383</v>
      </c>
    </row>
    <row r="38" spans="1:10" ht="12" customHeight="1" x14ac:dyDescent="0.3">
      <c r="A38" s="1">
        <f t="shared" si="3"/>
        <v>43571</v>
      </c>
      <c r="B38" s="20">
        <v>3192.9347826086964</v>
      </c>
      <c r="C38" s="20">
        <f t="shared" si="4"/>
        <v>2173.9130434782614</v>
      </c>
      <c r="D38" s="21" t="str">
        <f t="shared" si="0"/>
        <v>190416</v>
      </c>
      <c r="E38" s="22">
        <f t="shared" si="5"/>
        <v>2.4184049205479425</v>
      </c>
      <c r="F38" s="9">
        <f t="shared" si="6"/>
        <v>-1.2564712328767124E-3</v>
      </c>
      <c r="G38" s="14">
        <f t="shared" si="1"/>
        <v>100.14681818030138</v>
      </c>
      <c r="H38" s="24">
        <f t="shared" si="7"/>
        <v>686.93180301380607</v>
      </c>
      <c r="I38" s="20">
        <f t="shared" si="2"/>
        <v>2860.8448464920675</v>
      </c>
      <c r="J38" s="17">
        <f t="shared" si="8"/>
        <v>0.28608448464920672</v>
      </c>
    </row>
    <row r="39" spans="1:10" ht="12" customHeight="1" x14ac:dyDescent="0.3">
      <c r="A39" s="1">
        <f t="shared" si="3"/>
        <v>43572</v>
      </c>
      <c r="B39" s="20">
        <v>3260.8695652173915</v>
      </c>
      <c r="C39" s="20">
        <f t="shared" si="4"/>
        <v>2241.8478260869565</v>
      </c>
      <c r="D39" s="21" t="str">
        <f t="shared" si="0"/>
        <v>190417</v>
      </c>
      <c r="E39" s="22">
        <f t="shared" si="5"/>
        <v>2.4171484493150657</v>
      </c>
      <c r="F39" s="9">
        <f t="shared" si="6"/>
        <v>-1.2564712328767124E-3</v>
      </c>
      <c r="G39" s="14">
        <f t="shared" si="1"/>
        <v>100.14886582450559</v>
      </c>
      <c r="H39" s="24">
        <f t="shared" si="7"/>
        <v>707.40824505591604</v>
      </c>
      <c r="I39" s="20">
        <f t="shared" si="2"/>
        <v>2949.2560711428723</v>
      </c>
      <c r="J39" s="17">
        <f t="shared" si="8"/>
        <v>0.29492560711428722</v>
      </c>
    </row>
    <row r="40" spans="1:10" ht="12" customHeight="1" x14ac:dyDescent="0.3">
      <c r="A40" s="1">
        <f t="shared" si="3"/>
        <v>43573</v>
      </c>
      <c r="B40" s="20">
        <v>3328.804347826087</v>
      </c>
      <c r="C40" s="20">
        <f t="shared" si="4"/>
        <v>2309.782608695652</v>
      </c>
      <c r="D40" s="21" t="str">
        <f t="shared" si="0"/>
        <v>190418</v>
      </c>
      <c r="E40" s="22">
        <f t="shared" si="5"/>
        <v>2.4158919780821888</v>
      </c>
      <c r="F40" s="9">
        <f t="shared" si="6"/>
        <v>-1.2564712328767124E-3</v>
      </c>
      <c r="G40" s="14">
        <f t="shared" si="1"/>
        <v>100.15090735737644</v>
      </c>
      <c r="H40" s="24">
        <f t="shared" si="7"/>
        <v>727.82357376439677</v>
      </c>
      <c r="I40" s="20">
        <f t="shared" si="2"/>
        <v>3037.6061824600488</v>
      </c>
      <c r="J40" s="17">
        <f t="shared" si="8"/>
        <v>0.30376061824600487</v>
      </c>
    </row>
    <row r="41" spans="1:10" ht="12" customHeight="1" x14ac:dyDescent="0.3">
      <c r="A41" s="1">
        <f t="shared" si="3"/>
        <v>43574</v>
      </c>
      <c r="B41" s="20">
        <v>3396.7391304347825</v>
      </c>
      <c r="C41" s="20">
        <f t="shared" si="4"/>
        <v>2377.7173913043475</v>
      </c>
      <c r="D41" s="21" t="str">
        <f t="shared" si="0"/>
        <v>190419</v>
      </c>
      <c r="E41" s="22">
        <f t="shared" si="5"/>
        <v>2.4146355068493119</v>
      </c>
      <c r="F41" s="9">
        <f t="shared" si="6"/>
        <v>-1.2564712328767124E-3</v>
      </c>
      <c r="G41" s="14">
        <f t="shared" si="1"/>
        <v>100.15294277706596</v>
      </c>
      <c r="H41" s="24">
        <f t="shared" si="7"/>
        <v>748.17777065959501</v>
      </c>
      <c r="I41" s="20">
        <f t="shared" si="2"/>
        <v>3125.8951619639424</v>
      </c>
      <c r="J41" s="17">
        <f t="shared" si="8"/>
        <v>0.31258951619639425</v>
      </c>
    </row>
    <row r="42" spans="1:10" ht="12" customHeight="1" x14ac:dyDescent="0.3">
      <c r="A42" s="1">
        <f t="shared" si="3"/>
        <v>43577</v>
      </c>
      <c r="B42" s="20">
        <v>3600.54347826087</v>
      </c>
      <c r="C42" s="20">
        <f t="shared" si="4"/>
        <v>2581.521739130435</v>
      </c>
      <c r="D42" s="21" t="str">
        <f t="shared" si="0"/>
        <v>190422</v>
      </c>
      <c r="E42" s="22">
        <f t="shared" si="5"/>
        <v>2.4133790356164351</v>
      </c>
      <c r="F42" s="9">
        <f t="shared" si="6"/>
        <v>-3.7694136986301374E-3</v>
      </c>
      <c r="G42" s="14">
        <f t="shared" si="1"/>
        <v>100.15447935233409</v>
      </c>
      <c r="H42" s="24">
        <f t="shared" si="7"/>
        <v>763.54352334092823</v>
      </c>
      <c r="I42" s="20">
        <f t="shared" si="2"/>
        <v>3345.065262471363</v>
      </c>
      <c r="J42" s="17">
        <f t="shared" si="8"/>
        <v>0.33450652624713634</v>
      </c>
    </row>
    <row r="43" spans="1:10" ht="12" customHeight="1" x14ac:dyDescent="0.3">
      <c r="A43" s="1">
        <f t="shared" si="3"/>
        <v>43578</v>
      </c>
      <c r="B43" s="20">
        <v>3668.4782608695655</v>
      </c>
      <c r="C43" s="20">
        <f t="shared" si="4"/>
        <v>2649.4565217391305</v>
      </c>
      <c r="D43" s="21" t="str">
        <f t="shared" si="0"/>
        <v>190423</v>
      </c>
      <c r="E43" s="22">
        <f t="shared" si="5"/>
        <v>2.4096096219178049</v>
      </c>
      <c r="F43" s="9">
        <f t="shared" si="6"/>
        <v>-1.2564712328767124E-3</v>
      </c>
      <c r="G43" s="14">
        <f t="shared" si="1"/>
        <v>100.16102328709238</v>
      </c>
      <c r="H43" s="24">
        <f t="shared" si="7"/>
        <v>828.98287092376677</v>
      </c>
      <c r="I43" s="20">
        <f t="shared" si="2"/>
        <v>3478.4393926628973</v>
      </c>
      <c r="J43" s="17">
        <f t="shared" si="8"/>
        <v>0.3478439392662897</v>
      </c>
    </row>
    <row r="44" spans="1:10" ht="12" customHeight="1" x14ac:dyDescent="0.3">
      <c r="A44" s="1">
        <f t="shared" si="3"/>
        <v>43579</v>
      </c>
      <c r="B44" s="20">
        <v>3736.4130434782605</v>
      </c>
      <c r="C44" s="20">
        <f t="shared" si="4"/>
        <v>2717.3913043478256</v>
      </c>
      <c r="D44" s="21" t="str">
        <f t="shared" si="0"/>
        <v>190424</v>
      </c>
      <c r="E44" s="22">
        <f t="shared" si="5"/>
        <v>2.4083531506849281</v>
      </c>
      <c r="F44" s="9">
        <f t="shared" si="6"/>
        <v>-1.2564712328767124E-3</v>
      </c>
      <c r="G44" s="14">
        <f t="shared" si="1"/>
        <v>100.16302811319576</v>
      </c>
      <c r="H44" s="24">
        <f t="shared" si="7"/>
        <v>849.03113195764479</v>
      </c>
      <c r="I44" s="20">
        <f t="shared" si="2"/>
        <v>3566.4224363054705</v>
      </c>
      <c r="J44" s="17">
        <f t="shared" si="8"/>
        <v>0.35664224363054708</v>
      </c>
    </row>
    <row r="45" spans="1:10" ht="12" customHeight="1" x14ac:dyDescent="0.3">
      <c r="A45" s="1">
        <f t="shared" si="3"/>
        <v>43580</v>
      </c>
      <c r="B45" s="20">
        <v>3804.347826086957</v>
      </c>
      <c r="C45" s="20">
        <f t="shared" si="4"/>
        <v>2785.326086956522</v>
      </c>
      <c r="D45" s="21" t="str">
        <f t="shared" si="0"/>
        <v>190425</v>
      </c>
      <c r="E45" s="22">
        <f t="shared" si="5"/>
        <v>2.4070966794520512</v>
      </c>
      <c r="F45" s="9">
        <f t="shared" si="6"/>
        <v>-1.2564712328767124E-3</v>
      </c>
      <c r="G45" s="14">
        <f t="shared" si="1"/>
        <v>100.16502681505361</v>
      </c>
      <c r="H45" s="24">
        <f t="shared" si="7"/>
        <v>869.01815053607834</v>
      </c>
      <c r="I45" s="20">
        <f t="shared" si="2"/>
        <v>3654.3442374926003</v>
      </c>
      <c r="J45" s="17">
        <f t="shared" si="8"/>
        <v>0.36543442374926</v>
      </c>
    </row>
    <row r="46" spans="1:10" ht="12" customHeight="1" x14ac:dyDescent="0.3">
      <c r="A46" s="1">
        <f t="shared" si="3"/>
        <v>43581</v>
      </c>
      <c r="B46" s="20">
        <v>3872.282608695652</v>
      </c>
      <c r="C46" s="20">
        <f t="shared" si="4"/>
        <v>2853.260869565217</v>
      </c>
      <c r="D46" s="21" t="str">
        <f t="shared" si="0"/>
        <v>190426</v>
      </c>
      <c r="E46" s="22">
        <f t="shared" si="5"/>
        <v>2.4058402082191743</v>
      </c>
      <c r="F46" s="9">
        <f t="shared" si="6"/>
        <v>-1.2564712328767124E-3</v>
      </c>
      <c r="G46" s="14">
        <f t="shared" si="1"/>
        <v>100.16701939082559</v>
      </c>
      <c r="H46" s="24">
        <f t="shared" si="7"/>
        <v>888.94390825586811</v>
      </c>
      <c r="I46" s="20">
        <f t="shared" si="2"/>
        <v>3742.2047778210854</v>
      </c>
      <c r="J46" s="17">
        <f t="shared" si="8"/>
        <v>0.37422047778210854</v>
      </c>
    </row>
    <row r="47" spans="1:10" ht="12" customHeight="1" x14ac:dyDescent="0.3">
      <c r="A47" s="1">
        <f t="shared" si="3"/>
        <v>43584</v>
      </c>
      <c r="B47" s="20">
        <v>4076.0869565217395</v>
      </c>
      <c r="C47" s="20">
        <f t="shared" si="4"/>
        <v>3057.0652173913045</v>
      </c>
      <c r="D47" s="21" t="str">
        <f t="shared" si="0"/>
        <v>190429</v>
      </c>
      <c r="E47" s="22">
        <f t="shared" si="5"/>
        <v>2.4045837369862975</v>
      </c>
      <c r="F47" s="9">
        <f t="shared" si="6"/>
        <v>-3.7694136986301374E-3</v>
      </c>
      <c r="G47" s="14">
        <f t="shared" si="1"/>
        <v>100.1684728950235</v>
      </c>
      <c r="H47" s="24">
        <f t="shared" si="7"/>
        <v>903.47895023498381</v>
      </c>
      <c r="I47" s="20">
        <f t="shared" si="2"/>
        <v>3960.5441676262881</v>
      </c>
      <c r="J47" s="17">
        <f t="shared" si="8"/>
        <v>0.39605441676262876</v>
      </c>
    </row>
    <row r="48" spans="1:10" ht="12" customHeight="1" x14ac:dyDescent="0.3">
      <c r="A48" s="1">
        <f t="shared" si="3"/>
        <v>43585</v>
      </c>
      <c r="B48" s="20">
        <v>4144.021739130435</v>
      </c>
      <c r="C48" s="20">
        <f t="shared" si="4"/>
        <v>3125</v>
      </c>
      <c r="D48" s="21" t="str">
        <f t="shared" si="0"/>
        <v>190430</v>
      </c>
      <c r="E48" s="22">
        <f t="shared" si="5"/>
        <v>2.4008143232876673</v>
      </c>
      <c r="F48" s="9">
        <f t="shared" si="6"/>
        <v>-1.2564712328767124E-3</v>
      </c>
      <c r="G48" s="14">
        <f t="shared" si="1"/>
        <v>100.1749283962876</v>
      </c>
      <c r="H48" s="24">
        <f t="shared" si="7"/>
        <v>968.0339628759782</v>
      </c>
      <c r="I48" s="20">
        <f t="shared" si="2"/>
        <v>4093.0339628759784</v>
      </c>
      <c r="J48" s="17">
        <f t="shared" si="8"/>
        <v>0.40930339628759788</v>
      </c>
    </row>
    <row r="49" spans="1:10" ht="12" customHeight="1" x14ac:dyDescent="0.3">
      <c r="A49" s="1">
        <f t="shared" si="3"/>
        <v>43586</v>
      </c>
      <c r="B49" s="20">
        <v>4211.95652173913</v>
      </c>
      <c r="C49" s="20">
        <f t="shared" si="4"/>
        <v>3192.9347826086951</v>
      </c>
      <c r="D49" s="21" t="str">
        <f t="shared" si="0"/>
        <v>190501</v>
      </c>
      <c r="E49" s="22">
        <f t="shared" si="5"/>
        <v>2.3995578520547904</v>
      </c>
      <c r="F49" s="9">
        <f t="shared" si="6"/>
        <v>-1.2564712328767124E-3</v>
      </c>
      <c r="G49" s="14">
        <f t="shared" si="1"/>
        <v>100.17689031406418</v>
      </c>
      <c r="H49" s="24">
        <f t="shared" si="7"/>
        <v>987.65314064181109</v>
      </c>
      <c r="I49" s="20">
        <f t="shared" si="2"/>
        <v>4180.5879232505058</v>
      </c>
      <c r="J49" s="17">
        <f t="shared" si="8"/>
        <v>0.41805879232505061</v>
      </c>
    </row>
    <row r="50" spans="1:10" ht="12" customHeight="1" x14ac:dyDescent="0.3">
      <c r="A50" s="1">
        <f t="shared" si="3"/>
        <v>43587</v>
      </c>
      <c r="B50" s="20">
        <v>4279.8913043478269</v>
      </c>
      <c r="C50" s="20">
        <f t="shared" si="4"/>
        <v>3260.8695652173919</v>
      </c>
      <c r="D50" s="21" t="str">
        <f t="shared" si="0"/>
        <v>190502</v>
      </c>
      <c r="E50" s="22">
        <f t="shared" si="5"/>
        <v>2.3983013808219136</v>
      </c>
      <c r="F50" s="9">
        <f t="shared" si="6"/>
        <v>-1.2564712328767124E-3</v>
      </c>
      <c r="G50" s="14">
        <f t="shared" si="1"/>
        <v>100.1788460947362</v>
      </c>
      <c r="H50" s="24">
        <f t="shared" si="7"/>
        <v>1007.2109473620117</v>
      </c>
      <c r="I50" s="20">
        <f t="shared" si="2"/>
        <v>4268.0805125794031</v>
      </c>
      <c r="J50" s="17">
        <f t="shared" si="8"/>
        <v>0.4268080512579403</v>
      </c>
    </row>
    <row r="51" spans="1:10" ht="12" customHeight="1" x14ac:dyDescent="0.3">
      <c r="A51" s="1">
        <f t="shared" si="3"/>
        <v>43588</v>
      </c>
      <c r="B51" s="20">
        <v>4347.826086956522</v>
      </c>
      <c r="C51" s="20">
        <f t="shared" si="4"/>
        <v>3328.804347826087</v>
      </c>
      <c r="D51" s="21" t="str">
        <f t="shared" si="0"/>
        <v>190503</v>
      </c>
      <c r="E51" s="22">
        <f t="shared" si="5"/>
        <v>2.3970449095890367</v>
      </c>
      <c r="F51" s="9">
        <f t="shared" si="6"/>
        <v>-1.2564712328767124E-3</v>
      </c>
      <c r="G51" s="14">
        <f t="shared" si="1"/>
        <v>100.18079573647088</v>
      </c>
      <c r="H51" s="24">
        <f t="shared" si="7"/>
        <v>1026.7073647088409</v>
      </c>
      <c r="I51" s="20">
        <f t="shared" si="2"/>
        <v>4355.5117125349279</v>
      </c>
      <c r="J51" s="17">
        <f t="shared" si="8"/>
        <v>0.4355511712534928</v>
      </c>
    </row>
    <row r="52" spans="1:10" ht="12" customHeight="1" x14ac:dyDescent="0.3">
      <c r="A52" s="1">
        <f t="shared" si="3"/>
        <v>43591</v>
      </c>
      <c r="B52" s="20">
        <v>4551.630434782609</v>
      </c>
      <c r="C52" s="20">
        <f t="shared" si="4"/>
        <v>3532.608695652174</v>
      </c>
      <c r="D52" s="21" t="str">
        <f t="shared" si="0"/>
        <v>190506</v>
      </c>
      <c r="E52" s="22">
        <f t="shared" si="5"/>
        <v>2.3957884383561598</v>
      </c>
      <c r="F52" s="9">
        <f t="shared" si="6"/>
        <v>-3.7694136986301374E-3</v>
      </c>
      <c r="G52" s="14">
        <f t="shared" si="1"/>
        <v>100.18216597720178</v>
      </c>
      <c r="H52" s="24">
        <f t="shared" si="7"/>
        <v>1040.4097720177674</v>
      </c>
      <c r="I52" s="20">
        <f t="shared" si="2"/>
        <v>4573.0184676699409</v>
      </c>
      <c r="J52" s="17">
        <f t="shared" si="8"/>
        <v>0.45730184676699409</v>
      </c>
    </row>
    <row r="53" spans="1:10" ht="12" customHeight="1" x14ac:dyDescent="0.3">
      <c r="A53" s="1">
        <f t="shared" si="3"/>
        <v>43592</v>
      </c>
      <c r="B53" s="20">
        <v>4619.565217391304</v>
      </c>
      <c r="C53" s="20">
        <f t="shared" si="4"/>
        <v>3600.5434782608691</v>
      </c>
      <c r="D53" s="21" t="str">
        <f t="shared" si="0"/>
        <v>190507</v>
      </c>
      <c r="E53" s="22">
        <f t="shared" si="5"/>
        <v>2.3920190246575297</v>
      </c>
      <c r="F53" s="9">
        <f t="shared" si="6"/>
        <v>-1.2564712328767124E-3</v>
      </c>
      <c r="G53" s="14">
        <f t="shared" si="1"/>
        <v>100.18853287742093</v>
      </c>
      <c r="H53" s="24">
        <f t="shared" si="7"/>
        <v>1104.0787742092562</v>
      </c>
      <c r="I53" s="20">
        <f t="shared" si="2"/>
        <v>4704.6222524701252</v>
      </c>
      <c r="J53" s="17">
        <f t="shared" si="8"/>
        <v>0.47046222524701248</v>
      </c>
    </row>
    <row r="54" spans="1:10" ht="12" customHeight="1" x14ac:dyDescent="0.3">
      <c r="A54" s="1">
        <f t="shared" si="3"/>
        <v>43593</v>
      </c>
      <c r="B54" s="20">
        <v>4687.5</v>
      </c>
      <c r="C54" s="20">
        <f t="shared" si="4"/>
        <v>3668.478260869565</v>
      </c>
      <c r="D54" s="21" t="str">
        <f t="shared" si="0"/>
        <v>190508</v>
      </c>
      <c r="E54" s="22">
        <f t="shared" si="5"/>
        <v>2.3907625534246528</v>
      </c>
      <c r="F54" s="9">
        <f t="shared" si="6"/>
        <v>-1.2564712328767124E-3</v>
      </c>
      <c r="G54" s="14">
        <f t="shared" si="1"/>
        <v>100.19045179701699</v>
      </c>
      <c r="H54" s="24">
        <f t="shared" si="7"/>
        <v>1123.2679701699055</v>
      </c>
      <c r="I54" s="20">
        <f t="shared" si="2"/>
        <v>4791.7462310394703</v>
      </c>
      <c r="J54" s="17">
        <f t="shared" si="8"/>
        <v>0.47917462310394698</v>
      </c>
    </row>
    <row r="55" spans="1:10" ht="12" customHeight="1" x14ac:dyDescent="0.3">
      <c r="A55" s="1">
        <f t="shared" si="3"/>
        <v>43594</v>
      </c>
      <c r="B55" s="20">
        <v>4755.434782608696</v>
      </c>
      <c r="C55" s="20">
        <f t="shared" si="4"/>
        <v>3736.413043478261</v>
      </c>
      <c r="D55" s="21" t="str">
        <f t="shared" si="0"/>
        <v>190509</v>
      </c>
      <c r="E55" s="22">
        <f t="shared" si="5"/>
        <v>2.389506082191776</v>
      </c>
      <c r="F55" s="9">
        <f t="shared" si="6"/>
        <v>-1.2564712328767124E-3</v>
      </c>
      <c r="G55" s="14">
        <f t="shared" si="1"/>
        <v>100.19236456670258</v>
      </c>
      <c r="H55" s="24">
        <f t="shared" si="7"/>
        <v>1142.3956670257951</v>
      </c>
      <c r="I55" s="20">
        <f t="shared" si="2"/>
        <v>4878.8087105040559</v>
      </c>
      <c r="J55" s="17">
        <f t="shared" si="8"/>
        <v>0.48788087105040556</v>
      </c>
    </row>
    <row r="56" spans="1:10" ht="12" customHeight="1" x14ac:dyDescent="0.3">
      <c r="A56" s="1">
        <f t="shared" si="3"/>
        <v>43595</v>
      </c>
      <c r="B56" s="20">
        <v>4823.369565217391</v>
      </c>
      <c r="C56" s="20">
        <f t="shared" si="4"/>
        <v>3804.347826086956</v>
      </c>
      <c r="D56" s="21" t="str">
        <f t="shared" si="0"/>
        <v>190510</v>
      </c>
      <c r="E56" s="22">
        <f t="shared" si="5"/>
        <v>2.3882496109588991</v>
      </c>
      <c r="F56" s="9">
        <f t="shared" si="6"/>
        <v>-1.2564712328767124E-3</v>
      </c>
      <c r="G56" s="14">
        <f t="shared" si="1"/>
        <v>100.19427118465261</v>
      </c>
      <c r="H56" s="24">
        <f t="shared" si="7"/>
        <v>1161.4618465260662</v>
      </c>
      <c r="I56" s="20">
        <f t="shared" si="2"/>
        <v>4965.8096726130225</v>
      </c>
      <c r="J56" s="17">
        <f t="shared" si="8"/>
        <v>0.49658096726130224</v>
      </c>
    </row>
    <row r="57" spans="1:10" ht="12" customHeight="1" x14ac:dyDescent="0.3">
      <c r="A57" s="1">
        <f t="shared" si="3"/>
        <v>43598</v>
      </c>
      <c r="B57" s="20">
        <v>5027.1739130434789</v>
      </c>
      <c r="C57" s="20">
        <f t="shared" si="4"/>
        <v>4008.152173913044</v>
      </c>
      <c r="D57" s="21" t="str">
        <f t="shared" si="0"/>
        <v>190513</v>
      </c>
      <c r="E57" s="22">
        <f t="shared" si="5"/>
        <v>2.3869931397260222</v>
      </c>
      <c r="F57" s="9">
        <f t="shared" si="6"/>
        <v>-3.7694136986301374E-3</v>
      </c>
      <c r="G57" s="14">
        <f t="shared" si="1"/>
        <v>100.19555797024032</v>
      </c>
      <c r="H57" s="24">
        <f t="shared" si="7"/>
        <v>1174.3297024031563</v>
      </c>
      <c r="I57" s="20">
        <f t="shared" si="2"/>
        <v>5182.4818763162002</v>
      </c>
      <c r="J57" s="17">
        <f t="shared" si="8"/>
        <v>0.51824818763162006</v>
      </c>
    </row>
    <row r="58" spans="1:10" ht="12" customHeight="1" x14ac:dyDescent="0.3">
      <c r="A58" s="1">
        <f t="shared" si="3"/>
        <v>43599</v>
      </c>
      <c r="B58" s="20">
        <v>5095.108695652174</v>
      </c>
      <c r="C58" s="20">
        <f t="shared" si="4"/>
        <v>4076.086956521739</v>
      </c>
      <c r="D58" s="21" t="str">
        <f t="shared" si="0"/>
        <v>190514</v>
      </c>
      <c r="E58" s="22">
        <f t="shared" si="5"/>
        <v>2.3832237260273921</v>
      </c>
      <c r="F58" s="9">
        <f t="shared" si="6"/>
        <v>-1.2564712328767124E-3</v>
      </c>
      <c r="G58" s="14">
        <f t="shared" si="1"/>
        <v>100.20183610263479</v>
      </c>
      <c r="H58" s="24">
        <f t="shared" si="7"/>
        <v>1237.1110263478613</v>
      </c>
      <c r="I58" s="20">
        <f t="shared" si="2"/>
        <v>5313.1979828696003</v>
      </c>
      <c r="J58" s="17">
        <f t="shared" si="8"/>
        <v>0.53131979828696008</v>
      </c>
    </row>
    <row r="59" spans="1:10" ht="12" customHeight="1" x14ac:dyDescent="0.3">
      <c r="A59" s="1">
        <f t="shared" si="3"/>
        <v>43600</v>
      </c>
      <c r="B59" s="20">
        <v>5163.0434782608691</v>
      </c>
      <c r="C59" s="20">
        <f t="shared" si="4"/>
        <v>4144.0217391304341</v>
      </c>
      <c r="D59" s="21" t="str">
        <f t="shared" si="0"/>
        <v>190515</v>
      </c>
      <c r="E59" s="22">
        <f t="shared" si="5"/>
        <v>2.3819672547945152</v>
      </c>
      <c r="F59" s="9">
        <f t="shared" si="6"/>
        <v>-1.2564712328767124E-3</v>
      </c>
      <c r="G59" s="14">
        <f t="shared" si="1"/>
        <v>100.20371193456967</v>
      </c>
      <c r="H59" s="24">
        <f t="shared" si="7"/>
        <v>1255.8693456966807</v>
      </c>
      <c r="I59" s="20">
        <f t="shared" si="2"/>
        <v>5399.8910848271153</v>
      </c>
      <c r="J59" s="17">
        <f t="shared" si="8"/>
        <v>0.53998910848271153</v>
      </c>
    </row>
    <row r="60" spans="1:10" ht="12" customHeight="1" x14ac:dyDescent="0.3">
      <c r="A60" s="1">
        <f t="shared" si="3"/>
        <v>43601</v>
      </c>
      <c r="B60" s="20">
        <v>5230.978260869565</v>
      </c>
      <c r="C60" s="20">
        <f t="shared" si="4"/>
        <v>4211.95652173913</v>
      </c>
      <c r="D60" s="21" t="str">
        <f t="shared" si="0"/>
        <v>190516</v>
      </c>
      <c r="E60" s="22">
        <f t="shared" si="5"/>
        <v>2.3807107835616383</v>
      </c>
      <c r="F60" s="9">
        <f t="shared" si="6"/>
        <v>-1.2564712328767124E-3</v>
      </c>
      <c r="G60" s="14">
        <f t="shared" si="1"/>
        <v>100.20558160384179</v>
      </c>
      <c r="H60" s="24">
        <f t="shared" si="7"/>
        <v>1274.5660384179303</v>
      </c>
      <c r="I60" s="20">
        <f t="shared" si="2"/>
        <v>5486.5225601570601</v>
      </c>
      <c r="J60" s="17">
        <f t="shared" si="8"/>
        <v>0.548652256015706</v>
      </c>
    </row>
    <row r="61" spans="1:10" ht="12" customHeight="1" x14ac:dyDescent="0.3">
      <c r="A61" s="1">
        <f t="shared" si="3"/>
        <v>43602</v>
      </c>
      <c r="B61" s="20">
        <v>5298.9130434782601</v>
      </c>
      <c r="C61" s="20">
        <f t="shared" si="4"/>
        <v>4279.8913043478251</v>
      </c>
      <c r="D61" s="21" t="str">
        <f t="shared" si="0"/>
        <v>190517</v>
      </c>
      <c r="E61" s="22">
        <f t="shared" si="5"/>
        <v>2.3794543123287615</v>
      </c>
      <c r="F61" s="9">
        <f t="shared" si="6"/>
        <v>-1.2564712328767124E-3</v>
      </c>
      <c r="G61" s="14">
        <f t="shared" si="1"/>
        <v>100.20744510863368</v>
      </c>
      <c r="H61" s="24">
        <f t="shared" si="7"/>
        <v>1293.2010863367793</v>
      </c>
      <c r="I61" s="20">
        <f t="shared" si="2"/>
        <v>5573.0923906846047</v>
      </c>
      <c r="J61" s="17">
        <f t="shared" si="8"/>
        <v>0.55730923906846042</v>
      </c>
    </row>
    <row r="62" spans="1:10" ht="12" customHeight="1" x14ac:dyDescent="0.3">
      <c r="A62" s="1">
        <f t="shared" si="3"/>
        <v>43605</v>
      </c>
      <c r="B62" s="20">
        <v>5502.717391304348</v>
      </c>
      <c r="C62" s="20">
        <f t="shared" si="4"/>
        <v>4483.695652173913</v>
      </c>
      <c r="D62" s="21" t="str">
        <f t="shared" si="0"/>
        <v>190520</v>
      </c>
      <c r="E62" s="22">
        <f t="shared" si="5"/>
        <v>2.3781978410958846</v>
      </c>
      <c r="F62" s="9">
        <f t="shared" si="6"/>
        <v>-3.7694136986301374E-3</v>
      </c>
      <c r="G62" s="14">
        <f t="shared" si="1"/>
        <v>100.20864824812597</v>
      </c>
      <c r="H62" s="24">
        <f t="shared" si="7"/>
        <v>1305.2324812596794</v>
      </c>
      <c r="I62" s="20">
        <f t="shared" si="2"/>
        <v>5788.9281334335919</v>
      </c>
      <c r="J62" s="17">
        <f t="shared" si="8"/>
        <v>0.57889281334335918</v>
      </c>
    </row>
    <row r="63" spans="1:10" ht="12" customHeight="1" x14ac:dyDescent="0.3">
      <c r="A63" s="1">
        <f t="shared" si="3"/>
        <v>43606</v>
      </c>
      <c r="B63" s="20">
        <v>5570.652173913043</v>
      </c>
      <c r="C63" s="20">
        <f t="shared" si="4"/>
        <v>4551.6304347826081</v>
      </c>
      <c r="D63" s="21" t="str">
        <f t="shared" si="0"/>
        <v>190521</v>
      </c>
      <c r="E63" s="22">
        <f t="shared" si="5"/>
        <v>2.3744284273972545</v>
      </c>
      <c r="F63" s="9">
        <f t="shared" si="6"/>
        <v>-1.2564712328767124E-3</v>
      </c>
      <c r="G63" s="14">
        <f t="shared" si="1"/>
        <v>100.21483744668966</v>
      </c>
      <c r="H63" s="24">
        <f t="shared" si="7"/>
        <v>1367.1244668965699</v>
      </c>
      <c r="I63" s="20">
        <f t="shared" si="2"/>
        <v>5918.7549016791781</v>
      </c>
      <c r="J63" s="17">
        <f t="shared" si="8"/>
        <v>0.59187549016791785</v>
      </c>
    </row>
    <row r="64" spans="1:10" ht="12" customHeight="1" x14ac:dyDescent="0.3">
      <c r="A64" s="1">
        <f t="shared" si="3"/>
        <v>43607</v>
      </c>
      <c r="B64" s="20">
        <v>5638.5869565217399</v>
      </c>
      <c r="C64" s="20">
        <f t="shared" si="4"/>
        <v>4619.5652173913049</v>
      </c>
      <c r="D64" s="21" t="str">
        <f t="shared" si="0"/>
        <v>190522</v>
      </c>
      <c r="E64" s="22">
        <f t="shared" si="5"/>
        <v>2.3731719561643776</v>
      </c>
      <c r="F64" s="9">
        <f t="shared" si="6"/>
        <v>-1.2564712328767124E-3</v>
      </c>
      <c r="G64" s="14">
        <f t="shared" si="1"/>
        <v>100.216670101858</v>
      </c>
      <c r="H64" s="24">
        <f t="shared" si="7"/>
        <v>1385.4510185799995</v>
      </c>
      <c r="I64" s="20">
        <f t="shared" si="2"/>
        <v>6005.0162359713049</v>
      </c>
      <c r="J64" s="17">
        <f t="shared" si="8"/>
        <v>0.60050162359713055</v>
      </c>
    </row>
    <row r="65" spans="1:10" ht="12" customHeight="1" x14ac:dyDescent="0.3">
      <c r="A65" s="1">
        <f t="shared" si="3"/>
        <v>43608</v>
      </c>
      <c r="B65" s="20">
        <v>5706.521739130435</v>
      </c>
      <c r="C65" s="20">
        <f t="shared" si="4"/>
        <v>4687.5</v>
      </c>
      <c r="D65" s="21" t="str">
        <f t="shared" si="0"/>
        <v>190523</v>
      </c>
      <c r="E65" s="22">
        <f t="shared" si="5"/>
        <v>2.3719154849315007</v>
      </c>
      <c r="F65" s="9">
        <f t="shared" si="6"/>
        <v>-1.2564712328767124E-3</v>
      </c>
      <c r="G65" s="14">
        <f t="shared" si="1"/>
        <v>100.21849658166484</v>
      </c>
      <c r="H65" s="24">
        <f t="shared" si="7"/>
        <v>1403.7158166483721</v>
      </c>
      <c r="I65" s="20">
        <f t="shared" si="2"/>
        <v>6091.2158166483723</v>
      </c>
      <c r="J65" s="17">
        <f t="shared" si="8"/>
        <v>0.60912158166483732</v>
      </c>
    </row>
    <row r="66" spans="1:10" ht="12" customHeight="1" x14ac:dyDescent="0.3">
      <c r="A66" s="1">
        <f t="shared" si="3"/>
        <v>43609</v>
      </c>
      <c r="B66" s="20">
        <v>5774.4565217391309</v>
      </c>
      <c r="C66" s="20">
        <f t="shared" si="4"/>
        <v>4755.434782608696</v>
      </c>
      <c r="D66" s="21" t="str">
        <f t="shared" si="0"/>
        <v>190524</v>
      </c>
      <c r="E66" s="22">
        <f t="shared" si="5"/>
        <v>2.3706590136986239</v>
      </c>
      <c r="F66" s="9">
        <f t="shared" si="6"/>
        <v>-1.2564712328767124E-3</v>
      </c>
      <c r="G66" s="14">
        <f t="shared" si="1"/>
        <v>100.22031688430047</v>
      </c>
      <c r="H66" s="24">
        <f t="shared" si="7"/>
        <v>1421.9188430047327</v>
      </c>
      <c r="I66" s="20">
        <f t="shared" si="2"/>
        <v>6177.3536256134284</v>
      </c>
      <c r="J66" s="17">
        <f t="shared" si="8"/>
        <v>0.61773536256134287</v>
      </c>
    </row>
    <row r="67" spans="1:10" ht="12" customHeight="1" x14ac:dyDescent="0.3">
      <c r="A67" s="1">
        <f t="shared" si="3"/>
        <v>43612</v>
      </c>
      <c r="B67" s="20">
        <v>5978.260869565217</v>
      </c>
      <c r="C67" s="20">
        <f t="shared" si="4"/>
        <v>4959.2391304347821</v>
      </c>
      <c r="D67" s="21" t="str">
        <f t="shared" si="0"/>
        <v>190527</v>
      </c>
      <c r="E67" s="22">
        <f t="shared" si="5"/>
        <v>2.369402542465747</v>
      </c>
      <c r="F67" s="9">
        <f t="shared" si="6"/>
        <v>-3.7694136986301374E-3</v>
      </c>
      <c r="G67" s="14">
        <f t="shared" si="1"/>
        <v>100.22143618747189</v>
      </c>
      <c r="H67" s="24">
        <f t="shared" si="7"/>
        <v>1433.1118747189464</v>
      </c>
      <c r="I67" s="20">
        <f t="shared" si="2"/>
        <v>6392.3510051537287</v>
      </c>
      <c r="J67" s="17">
        <f t="shared" si="8"/>
        <v>0.63923510051537291</v>
      </c>
    </row>
    <row r="68" spans="1:10" ht="12" customHeight="1" x14ac:dyDescent="0.3">
      <c r="A68" s="1">
        <f t="shared" si="3"/>
        <v>43613</v>
      </c>
      <c r="B68" s="20">
        <v>6046.1956521739121</v>
      </c>
      <c r="C68" s="20">
        <f t="shared" si="4"/>
        <v>5027.1739130434771</v>
      </c>
      <c r="D68" s="21" t="str">
        <f t="shared" si="0"/>
        <v>190528</v>
      </c>
      <c r="E68" s="22">
        <f t="shared" si="5"/>
        <v>2.3656331287671168</v>
      </c>
      <c r="F68" s="9">
        <f t="shared" si="6"/>
        <v>-1.2564712328767124E-3</v>
      </c>
      <c r="G68" s="14">
        <f t="shared" si="1"/>
        <v>100.22753628697546</v>
      </c>
      <c r="H68" s="24">
        <f t="shared" si="7"/>
        <v>1494.1128697546446</v>
      </c>
      <c r="I68" s="20">
        <f t="shared" si="2"/>
        <v>6521.2867827981217</v>
      </c>
      <c r="J68" s="17">
        <f t="shared" si="8"/>
        <v>0.65212867827981214</v>
      </c>
    </row>
    <row r="69" spans="1:10" ht="12" customHeight="1" x14ac:dyDescent="0.3">
      <c r="A69" s="1">
        <f t="shared" si="3"/>
        <v>43614</v>
      </c>
      <c r="B69" s="20">
        <v>6114.130434782609</v>
      </c>
      <c r="C69" s="20">
        <f t="shared" si="4"/>
        <v>5095.108695652174</v>
      </c>
      <c r="D69" s="21" t="str">
        <f t="shared" si="0"/>
        <v>190529</v>
      </c>
      <c r="E69" s="22">
        <f t="shared" si="5"/>
        <v>2.36437665753424</v>
      </c>
      <c r="F69" s="9">
        <f t="shared" si="6"/>
        <v>-1.2564712328767124E-3</v>
      </c>
      <c r="G69" s="14">
        <f t="shared" si="1"/>
        <v>100.229325676648</v>
      </c>
      <c r="H69" s="24">
        <f t="shared" si="7"/>
        <v>1512.0067664800272</v>
      </c>
      <c r="I69" s="20">
        <f t="shared" si="2"/>
        <v>6607.1154621322012</v>
      </c>
      <c r="J69" s="17">
        <f t="shared" si="8"/>
        <v>0.66071154621322004</v>
      </c>
    </row>
    <row r="70" spans="1:10" ht="12" customHeight="1" x14ac:dyDescent="0.3">
      <c r="A70" s="1">
        <f t="shared" si="3"/>
        <v>43615</v>
      </c>
      <c r="B70" s="20">
        <v>6182.065217391304</v>
      </c>
      <c r="C70" s="20">
        <f t="shared" si="4"/>
        <v>5163.0434782608691</v>
      </c>
      <c r="D70" s="21" t="str">
        <f t="shared" si="0"/>
        <v>190530</v>
      </c>
      <c r="E70" s="22">
        <f t="shared" si="5"/>
        <v>2.3631201863013631</v>
      </c>
      <c r="F70" s="9">
        <f t="shared" si="6"/>
        <v>-1.2564712328767124E-3</v>
      </c>
      <c r="G70" s="14">
        <f t="shared" si="1"/>
        <v>100.23110887831437</v>
      </c>
      <c r="H70" s="24">
        <f t="shared" si="7"/>
        <v>1529.8387831437312</v>
      </c>
      <c r="I70" s="20">
        <f t="shared" si="2"/>
        <v>6692.8822614046003</v>
      </c>
      <c r="J70" s="17">
        <f t="shared" si="8"/>
        <v>0.66928822614046002</v>
      </c>
    </row>
    <row r="71" spans="1:10" ht="12" customHeight="1" x14ac:dyDescent="0.3">
      <c r="A71" s="1">
        <f t="shared" si="3"/>
        <v>43616</v>
      </c>
      <c r="B71" s="20">
        <v>6250</v>
      </c>
      <c r="C71" s="20">
        <f t="shared" si="4"/>
        <v>5230.978260869565</v>
      </c>
      <c r="D71" s="21" t="str">
        <f t="shared" si="0"/>
        <v>190531</v>
      </c>
      <c r="E71" s="22">
        <f t="shared" si="5"/>
        <v>2.3618637150684862</v>
      </c>
      <c r="F71" s="9">
        <f t="shared" si="6"/>
        <v>-1.2564712328767124E-3</v>
      </c>
      <c r="G71" s="14">
        <f t="shared" si="1"/>
        <v>100.23288589017244</v>
      </c>
      <c r="H71" s="24">
        <f t="shared" si="7"/>
        <v>1547.6089017244021</v>
      </c>
      <c r="I71" s="20">
        <f t="shared" si="2"/>
        <v>6778.5871625939672</v>
      </c>
      <c r="J71" s="17">
        <f t="shared" si="8"/>
        <v>0.67785871625939664</v>
      </c>
    </row>
    <row r="72" spans="1:10" ht="12" customHeight="1" x14ac:dyDescent="0.3">
      <c r="A72" s="1">
        <f t="shared" si="3"/>
        <v>43619</v>
      </c>
      <c r="B72" s="20">
        <v>6453.8043478260861</v>
      </c>
      <c r="C72" s="20">
        <f t="shared" si="4"/>
        <v>5434.7826086956511</v>
      </c>
      <c r="D72" s="21" t="str">
        <f t="shared" si="0"/>
        <v>190603</v>
      </c>
      <c r="E72" s="22">
        <f t="shared" si="5"/>
        <v>2.3606072438356094</v>
      </c>
      <c r="F72" s="9">
        <f t="shared" si="6"/>
        <v>-3.7694136986301374E-3</v>
      </c>
      <c r="G72" s="14">
        <f t="shared" si="1"/>
        <v>100.2339211675276</v>
      </c>
      <c r="H72" s="24">
        <f t="shared" si="7"/>
        <v>1557.9616752759764</v>
      </c>
      <c r="I72" s="20">
        <f t="shared" si="2"/>
        <v>6992.7442839716277</v>
      </c>
      <c r="J72" s="17">
        <f t="shared" si="8"/>
        <v>0.69927442839716281</v>
      </c>
    </row>
    <row r="73" spans="1:10" ht="12" customHeight="1" x14ac:dyDescent="0.3">
      <c r="A73" s="1">
        <f t="shared" si="3"/>
        <v>43620</v>
      </c>
      <c r="B73" s="20">
        <v>6521.739130434783</v>
      </c>
      <c r="C73" s="20">
        <f t="shared" si="4"/>
        <v>5502.717391304348</v>
      </c>
      <c r="D73" s="21" t="str">
        <f t="shared" si="0"/>
        <v>190604</v>
      </c>
      <c r="E73" s="22">
        <f t="shared" si="5"/>
        <v>2.3568378301369792</v>
      </c>
      <c r="F73" s="9">
        <f t="shared" si="6"/>
        <v>-1.2564712328767124E-3</v>
      </c>
      <c r="G73" s="14">
        <f t="shared" si="1"/>
        <v>100.23993200352118</v>
      </c>
      <c r="H73" s="24">
        <f t="shared" si="7"/>
        <v>1618.0700352117583</v>
      </c>
      <c r="I73" s="20">
        <f t="shared" si="2"/>
        <v>7120.7874265161063</v>
      </c>
      <c r="J73" s="17">
        <f t="shared" si="8"/>
        <v>0.71207874265161064</v>
      </c>
    </row>
    <row r="74" spans="1:10" ht="12" customHeight="1" x14ac:dyDescent="0.3">
      <c r="A74" s="1">
        <f t="shared" si="3"/>
        <v>43621</v>
      </c>
      <c r="B74" s="20">
        <v>6589.6739130434789</v>
      </c>
      <c r="C74" s="20">
        <f t="shared" si="4"/>
        <v>5570.652173913044</v>
      </c>
      <c r="D74" s="21" t="str">
        <f t="shared" si="0"/>
        <v>190605</v>
      </c>
      <c r="E74" s="22">
        <f t="shared" si="5"/>
        <v>2.3555813589041024</v>
      </c>
      <c r="F74" s="9">
        <f t="shared" si="6"/>
        <v>-1.2564712328767124E-3</v>
      </c>
      <c r="G74" s="14">
        <f t="shared" si="1"/>
        <v>100.24167803934691</v>
      </c>
      <c r="H74" s="24">
        <f t="shared" si="7"/>
        <v>1635.5303934690826</v>
      </c>
      <c r="I74" s="20">
        <f t="shared" si="2"/>
        <v>7206.1825673821268</v>
      </c>
      <c r="J74" s="17">
        <f t="shared" si="8"/>
        <v>0.72061825673821267</v>
      </c>
    </row>
    <row r="75" spans="1:10" ht="12" customHeight="1" x14ac:dyDescent="0.3">
      <c r="A75" s="1">
        <f t="shared" si="3"/>
        <v>43622</v>
      </c>
      <c r="B75" s="20">
        <v>6657.608695652174</v>
      </c>
      <c r="C75" s="20">
        <f t="shared" si="4"/>
        <v>5638.586956521739</v>
      </c>
      <c r="D75" s="21" t="str">
        <f t="shared" si="0"/>
        <v>190606</v>
      </c>
      <c r="E75" s="22">
        <f t="shared" si="5"/>
        <v>2.3543248876712255</v>
      </c>
      <c r="F75" s="9">
        <f t="shared" si="6"/>
        <v>-1.2564712328767124E-3</v>
      </c>
      <c r="G75" s="14">
        <f t="shared" si="1"/>
        <v>100.2434178745757</v>
      </c>
      <c r="H75" s="24">
        <f t="shared" si="7"/>
        <v>1652.9287457569808</v>
      </c>
      <c r="I75" s="20">
        <f t="shared" si="2"/>
        <v>7291.5157022787198</v>
      </c>
      <c r="J75" s="17">
        <f t="shared" si="8"/>
        <v>0.72915157022787191</v>
      </c>
    </row>
    <row r="76" spans="1:10" ht="12" customHeight="1" x14ac:dyDescent="0.3">
      <c r="A76" s="1">
        <f t="shared" si="3"/>
        <v>43623</v>
      </c>
      <c r="B76" s="20">
        <v>6725.5434782608691</v>
      </c>
      <c r="C76" s="20">
        <f t="shared" si="4"/>
        <v>5706.5217391304341</v>
      </c>
      <c r="D76" s="21" t="str">
        <f t="shared" si="0"/>
        <v>190607</v>
      </c>
      <c r="E76" s="22">
        <f t="shared" si="5"/>
        <v>2.3530684164383486</v>
      </c>
      <c r="F76" s="9">
        <f t="shared" si="6"/>
        <v>-1.2564712328767124E-3</v>
      </c>
      <c r="G76" s="14">
        <f t="shared" si="1"/>
        <v>100.24515150741327</v>
      </c>
      <c r="H76" s="24">
        <f t="shared" si="7"/>
        <v>1670.2650741326863</v>
      </c>
      <c r="I76" s="20">
        <f t="shared" si="2"/>
        <v>7376.7868132631202</v>
      </c>
      <c r="J76" s="17">
        <f t="shared" si="8"/>
        <v>0.73767868132631198</v>
      </c>
    </row>
    <row r="77" spans="1:10" ht="12" customHeight="1" x14ac:dyDescent="0.3">
      <c r="A77" s="1">
        <f t="shared" si="3"/>
        <v>43626</v>
      </c>
      <c r="B77" s="20">
        <v>6929.347826086957</v>
      </c>
      <c r="C77" s="20">
        <f t="shared" si="4"/>
        <v>5910.326086956522</v>
      </c>
      <c r="D77" s="21" t="str">
        <f t="shared" si="0"/>
        <v>190610</v>
      </c>
      <c r="E77" s="22">
        <f t="shared" si="5"/>
        <v>2.3518119452054718</v>
      </c>
      <c r="F77" s="9">
        <f t="shared" si="6"/>
        <v>-3.7694136986301374E-3</v>
      </c>
      <c r="G77" s="14">
        <f t="shared" si="1"/>
        <v>100.24610257018981</v>
      </c>
      <c r="H77" s="24">
        <f t="shared" si="7"/>
        <v>1679.7757018980517</v>
      </c>
      <c r="I77" s="20">
        <f t="shared" si="2"/>
        <v>7590.1017888545739</v>
      </c>
      <c r="J77" s="17">
        <f t="shared" si="8"/>
        <v>0.75901017888545741</v>
      </c>
    </row>
    <row r="78" spans="1:10" ht="12" customHeight="1" x14ac:dyDescent="0.3">
      <c r="A78" s="1">
        <f t="shared" si="3"/>
        <v>43627</v>
      </c>
      <c r="B78" s="20">
        <v>6997.2826086956529</v>
      </c>
      <c r="C78" s="20">
        <f t="shared" si="4"/>
        <v>5978.2608695652179</v>
      </c>
      <c r="D78" s="21" t="str">
        <f t="shared" si="0"/>
        <v>190611</v>
      </c>
      <c r="E78" s="22">
        <f t="shared" si="5"/>
        <v>2.3480425315068416</v>
      </c>
      <c r="F78" s="9">
        <f t="shared" si="6"/>
        <v>-1.2564712328767124E-3</v>
      </c>
      <c r="G78" s="14">
        <f t="shared" si="1"/>
        <v>100.25202397900594</v>
      </c>
      <c r="H78" s="24">
        <f t="shared" si="7"/>
        <v>1738.9897900594065</v>
      </c>
      <c r="I78" s="20">
        <f t="shared" si="2"/>
        <v>7717.2506596246239</v>
      </c>
      <c r="J78" s="17">
        <f t="shared" si="8"/>
        <v>0.77172506596246238</v>
      </c>
    </row>
    <row r="79" spans="1:10" ht="12" customHeight="1" x14ac:dyDescent="0.3">
      <c r="A79" s="1">
        <f t="shared" si="3"/>
        <v>43628</v>
      </c>
      <c r="B79" s="20">
        <v>7065.2173913043471</v>
      </c>
      <c r="C79" s="20">
        <f t="shared" si="4"/>
        <v>6046.1956521739121</v>
      </c>
      <c r="D79" s="21" t="str">
        <f t="shared" si="0"/>
        <v>190612</v>
      </c>
      <c r="E79" s="22">
        <f t="shared" si="5"/>
        <v>2.3467860602739647</v>
      </c>
      <c r="F79" s="9">
        <f t="shared" si="6"/>
        <v>-1.2564712328767124E-3</v>
      </c>
      <c r="G79" s="14">
        <f t="shared" si="1"/>
        <v>100.25372657301286</v>
      </c>
      <c r="H79" s="24">
        <f t="shared" si="7"/>
        <v>1756.0157301285528</v>
      </c>
      <c r="I79" s="20">
        <f t="shared" si="2"/>
        <v>7802.2113823024647</v>
      </c>
      <c r="J79" s="17">
        <f t="shared" si="8"/>
        <v>0.78022113823024652</v>
      </c>
    </row>
    <row r="80" spans="1:10" ht="12" customHeight="1" x14ac:dyDescent="0.3">
      <c r="A80" s="1">
        <f t="shared" si="3"/>
        <v>43629</v>
      </c>
      <c r="B80" s="20">
        <v>7133.152173913043</v>
      </c>
      <c r="C80" s="20">
        <f t="shared" si="4"/>
        <v>6114.1304347826081</v>
      </c>
      <c r="D80" s="21" t="str">
        <f t="shared" si="0"/>
        <v>190613</v>
      </c>
      <c r="E80" s="22">
        <f t="shared" si="5"/>
        <v>2.3455295890410879</v>
      </c>
      <c r="F80" s="9">
        <f t="shared" si="6"/>
        <v>-1.2564712328767124E-3</v>
      </c>
      <c r="G80" s="14">
        <f t="shared" si="1"/>
        <v>100.25542295388657</v>
      </c>
      <c r="H80" s="24">
        <f t="shared" si="7"/>
        <v>1772.9795388656555</v>
      </c>
      <c r="I80" s="20">
        <f t="shared" si="2"/>
        <v>7887.1099736482638</v>
      </c>
      <c r="J80" s="17">
        <f t="shared" si="8"/>
        <v>0.78871099736482642</v>
      </c>
    </row>
    <row r="81" spans="1:10" ht="12" customHeight="1" x14ac:dyDescent="0.3">
      <c r="A81" s="1">
        <f t="shared" si="3"/>
        <v>43630</v>
      </c>
      <c r="B81" s="20">
        <v>7201.0869565217399</v>
      </c>
      <c r="C81" s="20">
        <f t="shared" si="4"/>
        <v>6182.0652173913049</v>
      </c>
      <c r="D81" s="21" t="str">
        <f t="shared" si="0"/>
        <v>190614</v>
      </c>
      <c r="E81" s="22">
        <f t="shared" si="5"/>
        <v>2.344273117808211</v>
      </c>
      <c r="F81" s="9">
        <f t="shared" si="6"/>
        <v>-1.2564712328767124E-3</v>
      </c>
      <c r="G81" s="14">
        <f t="shared" si="1"/>
        <v>100.25711311984051</v>
      </c>
      <c r="H81" s="24">
        <f t="shared" si="7"/>
        <v>1789.8811984051122</v>
      </c>
      <c r="I81" s="20">
        <f t="shared" si="2"/>
        <v>7971.9464157964176</v>
      </c>
      <c r="J81" s="17">
        <f t="shared" si="8"/>
        <v>0.79719464157964171</v>
      </c>
    </row>
    <row r="82" spans="1:10" ht="12" customHeight="1" x14ac:dyDescent="0.3">
      <c r="A82" s="1">
        <f t="shared" si="3"/>
        <v>43633</v>
      </c>
      <c r="B82" s="20">
        <v>7404.891304347826</v>
      </c>
      <c r="C82" s="20">
        <f t="shared" si="4"/>
        <v>6385.869565217391</v>
      </c>
      <c r="D82" s="21" t="str">
        <f t="shared" si="0"/>
        <v>190617</v>
      </c>
      <c r="E82" s="22">
        <f t="shared" si="5"/>
        <v>2.3430166465753341</v>
      </c>
      <c r="F82" s="9">
        <f t="shared" si="6"/>
        <v>-3.7694136986301374E-3</v>
      </c>
      <c r="G82" s="14">
        <f t="shared" si="1"/>
        <v>100.25797978001211</v>
      </c>
      <c r="H82" s="24">
        <f t="shared" si="7"/>
        <v>1798.5478001210708</v>
      </c>
      <c r="I82" s="20">
        <f t="shared" si="2"/>
        <v>8184.4173653384623</v>
      </c>
      <c r="J82" s="17">
        <f t="shared" si="8"/>
        <v>0.81844173653384622</v>
      </c>
    </row>
    <row r="83" spans="1:10" ht="12" customHeight="1" x14ac:dyDescent="0.3">
      <c r="A83" s="1">
        <f t="shared" si="3"/>
        <v>43634</v>
      </c>
      <c r="B83" s="20">
        <v>7472.8260869565211</v>
      </c>
      <c r="C83" s="20">
        <f t="shared" si="4"/>
        <v>6453.8043478260861</v>
      </c>
      <c r="D83" s="21" t="str">
        <f t="shared" si="0"/>
        <v>190618</v>
      </c>
      <c r="E83" s="22">
        <f t="shared" si="5"/>
        <v>2.339247232876704</v>
      </c>
      <c r="F83" s="9">
        <f t="shared" si="6"/>
        <v>-1.2564712328767124E-3</v>
      </c>
      <c r="G83" s="14">
        <f t="shared" si="1"/>
        <v>100.26381159876863</v>
      </c>
      <c r="H83" s="24">
        <f t="shared" si="7"/>
        <v>1856.8659876862625</v>
      </c>
      <c r="I83" s="20">
        <f t="shared" si="2"/>
        <v>8310.6703355123482</v>
      </c>
      <c r="J83" s="17">
        <f t="shared" si="8"/>
        <v>0.83106703355123479</v>
      </c>
    </row>
    <row r="84" spans="1:10" ht="12" customHeight="1" x14ac:dyDescent="0.3">
      <c r="A84" s="1">
        <f t="shared" si="3"/>
        <v>43635</v>
      </c>
      <c r="B84" s="20">
        <v>7540.760869565217</v>
      </c>
      <c r="C84" s="20">
        <f t="shared" si="4"/>
        <v>6521.7391304347821</v>
      </c>
      <c r="D84" s="21" t="str">
        <f t="shared" si="0"/>
        <v>190619</v>
      </c>
      <c r="E84" s="22">
        <f t="shared" si="5"/>
        <v>2.3379907616438271</v>
      </c>
      <c r="F84" s="9">
        <f t="shared" si="6"/>
        <v>-1.2564712328767124E-3</v>
      </c>
      <c r="G84" s="14">
        <f t="shared" si="1"/>
        <v>100.26547066336593</v>
      </c>
      <c r="H84" s="24">
        <f t="shared" si="7"/>
        <v>1873.4566336593159</v>
      </c>
      <c r="I84" s="20">
        <f t="shared" si="2"/>
        <v>8395.1957640940982</v>
      </c>
      <c r="J84" s="17">
        <f t="shared" si="8"/>
        <v>0.83951957640940977</v>
      </c>
    </row>
    <row r="85" spans="1:10" ht="12" customHeight="1" x14ac:dyDescent="0.3">
      <c r="A85" s="1">
        <f t="shared" si="3"/>
        <v>43636</v>
      </c>
      <c r="B85" s="20">
        <v>7608.6956521739139</v>
      </c>
      <c r="C85" s="20">
        <f t="shared" si="4"/>
        <v>6589.6739130434789</v>
      </c>
      <c r="D85" s="21" t="str">
        <f t="shared" si="0"/>
        <v>190620</v>
      </c>
      <c r="E85" s="22">
        <f t="shared" si="5"/>
        <v>2.3367342904109503</v>
      </c>
      <c r="F85" s="9">
        <f t="shared" si="6"/>
        <v>-1.2564712328767124E-3</v>
      </c>
      <c r="G85" s="14">
        <f t="shared" si="1"/>
        <v>100.26712350234813</v>
      </c>
      <c r="H85" s="24">
        <f t="shared" si="7"/>
        <v>1889.9850234812732</v>
      </c>
      <c r="I85" s="20">
        <f t="shared" si="2"/>
        <v>8479.6589365247528</v>
      </c>
      <c r="J85" s="17">
        <f t="shared" si="8"/>
        <v>0.84796589365247532</v>
      </c>
    </row>
    <row r="86" spans="1:10" ht="12" customHeight="1" x14ac:dyDescent="0.3">
      <c r="A86" s="1">
        <f t="shared" si="3"/>
        <v>43637</v>
      </c>
      <c r="B86" s="20">
        <v>7676.6304347826072</v>
      </c>
      <c r="C86" s="20">
        <f t="shared" si="4"/>
        <v>6657.6086956521722</v>
      </c>
      <c r="D86" s="21" t="str">
        <f t="shared" si="0"/>
        <v>190621</v>
      </c>
      <c r="E86" s="22">
        <f t="shared" si="5"/>
        <v>2.3354778191780734</v>
      </c>
      <c r="F86" s="9">
        <f t="shared" si="6"/>
        <v>-1.2564712328767124E-3</v>
      </c>
      <c r="G86" s="14">
        <f t="shared" si="1"/>
        <v>100.26877011393654</v>
      </c>
      <c r="H86" s="24">
        <f t="shared" si="7"/>
        <v>1906.4511393654016</v>
      </c>
      <c r="I86" s="20">
        <f t="shared" si="2"/>
        <v>8564.0598350175733</v>
      </c>
      <c r="J86" s="17">
        <f t="shared" si="8"/>
        <v>0.85640598350175734</v>
      </c>
    </row>
    <row r="87" spans="1:10" ht="12" customHeight="1" x14ac:dyDescent="0.3">
      <c r="A87" s="1">
        <f t="shared" si="3"/>
        <v>43640</v>
      </c>
      <c r="B87" s="20">
        <v>7880.434782608696</v>
      </c>
      <c r="C87" s="20">
        <f t="shared" si="4"/>
        <v>6861.413043478261</v>
      </c>
      <c r="D87" s="21" t="str">
        <f t="shared" si="0"/>
        <v>190624</v>
      </c>
      <c r="E87" s="22">
        <f t="shared" si="5"/>
        <v>2.3342213479451965</v>
      </c>
      <c r="F87" s="9">
        <f t="shared" si="6"/>
        <v>-3.7694136986301374E-3</v>
      </c>
      <c r="G87" s="14">
        <f t="shared" si="1"/>
        <v>100.26955218421607</v>
      </c>
      <c r="H87" s="24">
        <f t="shared" si="7"/>
        <v>1914.271842160673</v>
      </c>
      <c r="I87" s="20">
        <f t="shared" si="2"/>
        <v>8775.6848856389333</v>
      </c>
      <c r="J87" s="17">
        <f t="shared" si="8"/>
        <v>0.87756848856389325</v>
      </c>
    </row>
    <row r="88" spans="1:10" ht="12" customHeight="1" x14ac:dyDescent="0.3">
      <c r="A88" s="1">
        <f t="shared" si="3"/>
        <v>43641</v>
      </c>
      <c r="B88" s="20">
        <v>7948.3695652173928</v>
      </c>
      <c r="C88" s="20">
        <f t="shared" si="4"/>
        <v>6929.3478260869579</v>
      </c>
      <c r="D88" s="21" t="str">
        <f t="shared" si="0"/>
        <v>190625</v>
      </c>
      <c r="E88" s="22">
        <f t="shared" si="5"/>
        <v>2.3304519342465664</v>
      </c>
      <c r="F88" s="9">
        <f t="shared" si="6"/>
        <v>-1.2564712328767124E-3</v>
      </c>
      <c r="G88" s="14">
        <f t="shared" si="1"/>
        <v>100.2752942508188</v>
      </c>
      <c r="H88" s="24">
        <f t="shared" si="7"/>
        <v>1971.6925081880277</v>
      </c>
      <c r="I88" s="20">
        <f t="shared" si="2"/>
        <v>8901.0403342749851</v>
      </c>
      <c r="J88" s="17">
        <f t="shared" si="8"/>
        <v>0.89010403342749855</v>
      </c>
    </row>
    <row r="89" spans="1:10" ht="12" customHeight="1" x14ac:dyDescent="0.3">
      <c r="A89" s="1">
        <f t="shared" si="3"/>
        <v>43642</v>
      </c>
      <c r="B89" s="20">
        <v>8016.3043478260861</v>
      </c>
      <c r="C89" s="20">
        <f t="shared" si="4"/>
        <v>6997.2826086956511</v>
      </c>
      <c r="D89" s="21" t="str">
        <f t="shared" si="0"/>
        <v>190626</v>
      </c>
      <c r="E89" s="22">
        <f t="shared" si="5"/>
        <v>2.3291954630136895</v>
      </c>
      <c r="F89" s="9">
        <f t="shared" si="6"/>
        <v>-1.2564712328767124E-3</v>
      </c>
      <c r="G89" s="14">
        <f t="shared" si="1"/>
        <v>100.27690969879772</v>
      </c>
      <c r="H89" s="24">
        <f t="shared" si="7"/>
        <v>1987.8469879772354</v>
      </c>
      <c r="I89" s="20">
        <f t="shared" si="2"/>
        <v>8985.1295966728867</v>
      </c>
      <c r="J89" s="17">
        <f t="shared" si="8"/>
        <v>0.89851295966728861</v>
      </c>
    </row>
    <row r="90" spans="1:10" ht="12" customHeight="1" x14ac:dyDescent="0.3">
      <c r="A90" s="1">
        <f t="shared" si="3"/>
        <v>43643</v>
      </c>
      <c r="B90" s="20">
        <v>8084.239130434783</v>
      </c>
      <c r="C90" s="20">
        <f t="shared" si="4"/>
        <v>7065.217391304348</v>
      </c>
      <c r="D90" s="21" t="str">
        <f t="shared" si="0"/>
        <v>190627</v>
      </c>
      <c r="E90" s="22">
        <f t="shared" si="5"/>
        <v>2.3279389917808126</v>
      </c>
      <c r="F90" s="9">
        <f t="shared" si="6"/>
        <v>-1.2564712328767124E-3</v>
      </c>
      <c r="G90" s="14">
        <f t="shared" si="1"/>
        <v>100.27851890873453</v>
      </c>
      <c r="H90" s="24">
        <f t="shared" si="7"/>
        <v>2003.9390873452589</v>
      </c>
      <c r="I90" s="20">
        <f t="shared" si="2"/>
        <v>9069.1564786496074</v>
      </c>
      <c r="J90" s="17">
        <f t="shared" si="8"/>
        <v>0.90691564786496082</v>
      </c>
    </row>
    <row r="91" spans="1:10" ht="12" customHeight="1" x14ac:dyDescent="0.3">
      <c r="A91" s="1">
        <f t="shared" si="3"/>
        <v>43644</v>
      </c>
      <c r="B91" s="20">
        <v>8152.1739130434789</v>
      </c>
      <c r="C91" s="20">
        <f t="shared" si="4"/>
        <v>7133.152173913044</v>
      </c>
      <c r="D91" s="21" t="str">
        <f t="shared" si="0"/>
        <v>190628</v>
      </c>
      <c r="E91" s="22">
        <f t="shared" si="5"/>
        <v>2.3266825205479358</v>
      </c>
      <c r="F91" s="9">
        <f t="shared" si="6"/>
        <v>-1.2564712328767124E-3</v>
      </c>
      <c r="G91" s="14">
        <f t="shared" si="1"/>
        <v>100.28012187885834</v>
      </c>
      <c r="H91" s="24">
        <f t="shared" si="7"/>
        <v>2019.9687885833839</v>
      </c>
      <c r="I91" s="20">
        <f t="shared" si="2"/>
        <v>9153.1209624964285</v>
      </c>
      <c r="J91" s="17">
        <f t="shared" si="8"/>
        <v>0.91531209624964283</v>
      </c>
    </row>
    <row r="92" spans="1:10" ht="12" customHeight="1" x14ac:dyDescent="0.3">
      <c r="A92" s="1">
        <f t="shared" si="3"/>
        <v>43647</v>
      </c>
      <c r="B92" s="20">
        <v>8355.9782608695659</v>
      </c>
      <c r="C92" s="20">
        <f t="shared" si="4"/>
        <v>7336.9565217391309</v>
      </c>
      <c r="D92" s="21" t="str">
        <f t="shared" si="0"/>
        <v>190701</v>
      </c>
      <c r="E92" s="22">
        <f t="shared" si="5"/>
        <v>2.3254260493150589</v>
      </c>
      <c r="F92" s="9">
        <f t="shared" si="6"/>
        <v>-3.7694136986301374E-3</v>
      </c>
      <c r="G92" s="14">
        <f t="shared" si="1"/>
        <v>100.28081917270075</v>
      </c>
      <c r="H92" s="24">
        <f t="shared" si="7"/>
        <v>2026.9417270074541</v>
      </c>
      <c r="I92" s="20">
        <f t="shared" si="2"/>
        <v>9363.8982487465855</v>
      </c>
      <c r="J92" s="17">
        <f t="shared" si="8"/>
        <v>0.93638982487465849</v>
      </c>
    </row>
    <row r="93" spans="1:10" ht="12" customHeight="1" x14ac:dyDescent="0.3">
      <c r="A93" s="1">
        <f t="shared" si="3"/>
        <v>43648</v>
      </c>
      <c r="B93" s="20">
        <v>8423.9130434782601</v>
      </c>
      <c r="C93" s="20">
        <f t="shared" si="4"/>
        <v>7404.8913043478251</v>
      </c>
      <c r="D93" s="21" t="str">
        <f t="shared" si="0"/>
        <v>190702</v>
      </c>
      <c r="E93" s="22">
        <f t="shared" si="5"/>
        <v>2.3216566356164288</v>
      </c>
      <c r="F93" s="9">
        <f t="shared" si="6"/>
        <v>-1.2564712328767124E-3</v>
      </c>
      <c r="G93" s="14">
        <f t="shared" si="1"/>
        <v>100.28647132584646</v>
      </c>
      <c r="H93" s="24">
        <f t="shared" si="7"/>
        <v>2083.4632584646329</v>
      </c>
      <c r="I93" s="20">
        <f t="shared" si="2"/>
        <v>9488.3545628124575</v>
      </c>
      <c r="J93" s="17">
        <f t="shared" si="8"/>
        <v>0.94883545628124577</v>
      </c>
    </row>
    <row r="94" spans="1:10" ht="12" customHeight="1" x14ac:dyDescent="0.3">
      <c r="A94" s="1">
        <f t="shared" si="3"/>
        <v>43649</v>
      </c>
      <c r="B94" s="20">
        <v>8491.847826086956</v>
      </c>
      <c r="C94" s="20">
        <f t="shared" si="4"/>
        <v>7472.8260869565211</v>
      </c>
      <c r="D94" s="21" t="str">
        <f t="shared" si="0"/>
        <v>190703</v>
      </c>
      <c r="E94" s="22">
        <f t="shared" si="5"/>
        <v>2.3204001643835519</v>
      </c>
      <c r="F94" s="9">
        <f t="shared" si="6"/>
        <v>-1.2564712328767124E-3</v>
      </c>
      <c r="G94" s="14">
        <f t="shared" si="1"/>
        <v>100.28804307038227</v>
      </c>
      <c r="H94" s="24">
        <f t="shared" si="7"/>
        <v>2099.1807038227253</v>
      </c>
      <c r="I94" s="20">
        <f t="shared" si="2"/>
        <v>9572.0067907792472</v>
      </c>
      <c r="J94" s="17">
        <f t="shared" si="8"/>
        <v>0.95720067907792472</v>
      </c>
    </row>
    <row r="95" spans="1:10" ht="12" customHeight="1" x14ac:dyDescent="0.3">
      <c r="A95" s="1">
        <f t="shared" si="3"/>
        <v>43650</v>
      </c>
      <c r="B95" s="20">
        <v>8559.7826086956538</v>
      </c>
      <c r="C95" s="20">
        <f t="shared" si="4"/>
        <v>7540.7608695652189</v>
      </c>
      <c r="D95" s="21" t="str">
        <f t="shared" si="0"/>
        <v>190704</v>
      </c>
      <c r="E95" s="22">
        <f t="shared" si="5"/>
        <v>2.319143693150675</v>
      </c>
      <c r="F95" s="9">
        <f t="shared" si="6"/>
        <v>-1.2564712328767124E-3</v>
      </c>
      <c r="G95" s="14">
        <f t="shared" si="1"/>
        <v>100.28960856450379</v>
      </c>
      <c r="H95" s="24">
        <f t="shared" si="7"/>
        <v>2114.8356450379424</v>
      </c>
      <c r="I95" s="20">
        <f t="shared" si="2"/>
        <v>9655.5965146031613</v>
      </c>
      <c r="J95" s="17">
        <f t="shared" si="8"/>
        <v>0.96555965146031608</v>
      </c>
    </row>
    <row r="96" spans="1:10" ht="12" customHeight="1" x14ac:dyDescent="0.3">
      <c r="A96" s="1">
        <f t="shared" si="3"/>
        <v>43651</v>
      </c>
      <c r="B96" s="20">
        <v>8627.7173913043462</v>
      </c>
      <c r="C96" s="20">
        <f t="shared" si="4"/>
        <v>7608.6956521739112</v>
      </c>
      <c r="D96" s="21" t="str">
        <f t="shared" si="0"/>
        <v>190705</v>
      </c>
      <c r="E96" s="22">
        <f t="shared" si="5"/>
        <v>2.3178872219177982</v>
      </c>
      <c r="F96" s="9">
        <f t="shared" si="6"/>
        <v>-1.2564712328767124E-3</v>
      </c>
      <c r="G96" s="14">
        <f t="shared" si="1"/>
        <v>100.29116780644804</v>
      </c>
      <c r="H96" s="24">
        <f t="shared" si="7"/>
        <v>2130.4280644804408</v>
      </c>
      <c r="I96" s="20">
        <f t="shared" si="2"/>
        <v>9739.1237166543524</v>
      </c>
      <c r="J96" s="17">
        <f t="shared" si="8"/>
        <v>0.97391237166543532</v>
      </c>
    </row>
    <row r="97" spans="1:10" ht="12" customHeight="1" x14ac:dyDescent="0.3">
      <c r="A97" s="1">
        <f t="shared" si="3"/>
        <v>43654</v>
      </c>
      <c r="B97" s="20">
        <v>8831.5217391304341</v>
      </c>
      <c r="C97" s="20">
        <f t="shared" si="4"/>
        <v>7812.4999999999991</v>
      </c>
      <c r="D97" s="21" t="str">
        <f t="shared" si="0"/>
        <v>190708</v>
      </c>
      <c r="E97" s="22">
        <f t="shared" si="5"/>
        <v>2.3166307506849213</v>
      </c>
      <c r="F97" s="9">
        <f t="shared" si="6"/>
        <v>-3.7694136986301374E-3</v>
      </c>
      <c r="G97" s="14">
        <f t="shared" si="1"/>
        <v>100.29178013805357</v>
      </c>
      <c r="H97" s="24">
        <f t="shared" si="7"/>
        <v>2136.5513805356786</v>
      </c>
      <c r="I97" s="20">
        <f t="shared" si="2"/>
        <v>9949.0513805356786</v>
      </c>
      <c r="J97" s="17">
        <f t="shared" si="8"/>
        <v>0.99490513805356784</v>
      </c>
    </row>
    <row r="98" spans="1:10" ht="12" customHeight="1" x14ac:dyDescent="0.3">
      <c r="A98" s="1">
        <f t="shared" si="3"/>
        <v>43655</v>
      </c>
      <c r="B98" s="20">
        <v>8899.45652173913</v>
      </c>
      <c r="C98" s="20">
        <f t="shared" si="4"/>
        <v>7880.4347826086951</v>
      </c>
      <c r="D98" s="21" t="str">
        <f t="shared" si="0"/>
        <v>190709</v>
      </c>
      <c r="E98" s="22">
        <f t="shared" si="5"/>
        <v>2.3128613369862911</v>
      </c>
      <c r="F98" s="9">
        <f t="shared" si="6"/>
        <v>-1.2564712328767124E-3</v>
      </c>
      <c r="G98" s="14">
        <f t="shared" si="1"/>
        <v>100.29734221723271</v>
      </c>
      <c r="H98" s="24">
        <f t="shared" si="7"/>
        <v>2192.1721723271048</v>
      </c>
      <c r="I98" s="20">
        <f t="shared" si="2"/>
        <v>10072.6069549358</v>
      </c>
      <c r="J98" s="17">
        <f t="shared" si="8"/>
        <v>1.0072606954935801</v>
      </c>
    </row>
    <row r="99" spans="1:10" ht="12" customHeight="1" x14ac:dyDescent="0.3">
      <c r="A99" s="1">
        <f t="shared" si="3"/>
        <v>43656</v>
      </c>
      <c r="B99" s="20">
        <v>8967.391304347826</v>
      </c>
      <c r="C99" s="20">
        <f t="shared" si="4"/>
        <v>7948.369565217391</v>
      </c>
      <c r="D99" s="21" t="str">
        <f t="shared" si="0"/>
        <v>190710</v>
      </c>
      <c r="E99" s="22">
        <f t="shared" si="5"/>
        <v>2.3116048657534143</v>
      </c>
      <c r="F99" s="9">
        <f t="shared" si="6"/>
        <v>-1.2564712328767124E-3</v>
      </c>
      <c r="G99" s="14">
        <f t="shared" si="1"/>
        <v>100.2988701718857</v>
      </c>
      <c r="H99" s="24">
        <f t="shared" si="7"/>
        <v>2207.4517188569585</v>
      </c>
      <c r="I99" s="20">
        <f t="shared" si="2"/>
        <v>10155.821284074349</v>
      </c>
      <c r="J99" s="17">
        <f t="shared" si="8"/>
        <v>1.0155821284074349</v>
      </c>
    </row>
    <row r="100" spans="1:10" ht="12" customHeight="1" x14ac:dyDescent="0.3">
      <c r="A100" s="1">
        <f t="shared" si="3"/>
        <v>43657</v>
      </c>
      <c r="B100" s="20">
        <v>9035.3260869565202</v>
      </c>
      <c r="C100" s="20">
        <f t="shared" si="4"/>
        <v>8016.3043478260852</v>
      </c>
      <c r="D100" s="21" t="str">
        <f t="shared" si="0"/>
        <v>190711</v>
      </c>
      <c r="E100" s="22">
        <f t="shared" si="5"/>
        <v>2.3103483945205374</v>
      </c>
      <c r="F100" s="9">
        <f t="shared" si="6"/>
        <v>-1.2564712328767124E-3</v>
      </c>
      <c r="G100" s="14">
        <f t="shared" si="1"/>
        <v>100.30039186380748</v>
      </c>
      <c r="H100" s="24">
        <f t="shared" si="7"/>
        <v>2222.6686380747651</v>
      </c>
      <c r="I100" s="20">
        <f t="shared" si="2"/>
        <v>10238.972985900851</v>
      </c>
      <c r="J100" s="17">
        <f t="shared" si="8"/>
        <v>1.0238972985900852</v>
      </c>
    </row>
    <row r="101" spans="1:10" ht="12" customHeight="1" x14ac:dyDescent="0.3">
      <c r="A101" s="1">
        <f t="shared" si="3"/>
        <v>43658</v>
      </c>
      <c r="B101" s="20">
        <v>9103.2608695652179</v>
      </c>
      <c r="C101" s="20">
        <f t="shared" si="4"/>
        <v>8084.239130434783</v>
      </c>
      <c r="D101" s="21" t="str">
        <f t="shared" si="0"/>
        <v>190712</v>
      </c>
      <c r="E101" s="22">
        <f t="shared" si="5"/>
        <v>2.3090919232876606</v>
      </c>
      <c r="F101" s="9">
        <f t="shared" si="6"/>
        <v>-1.2564712328767124E-3</v>
      </c>
      <c r="G101" s="14">
        <f t="shared" si="1"/>
        <v>100.30190729124288</v>
      </c>
      <c r="H101" s="24">
        <f t="shared" si="7"/>
        <v>2237.8229124288396</v>
      </c>
      <c r="I101" s="20">
        <f t="shared" si="2"/>
        <v>10322.062042863623</v>
      </c>
      <c r="J101" s="17">
        <f t="shared" si="8"/>
        <v>1.0322062042863622</v>
      </c>
    </row>
    <row r="102" spans="1:10" ht="12" customHeight="1" x14ac:dyDescent="0.3">
      <c r="A102" s="1">
        <f t="shared" si="3"/>
        <v>43661</v>
      </c>
      <c r="B102" s="20">
        <v>9307.065217391304</v>
      </c>
      <c r="C102" s="20">
        <f t="shared" si="4"/>
        <v>8288.0434782608681</v>
      </c>
      <c r="D102" s="21" t="str">
        <f t="shared" si="0"/>
        <v>190715</v>
      </c>
      <c r="E102" s="22">
        <f t="shared" si="5"/>
        <v>2.3078354520547837</v>
      </c>
      <c r="F102" s="9">
        <f t="shared" si="6"/>
        <v>-3.7694136986301374E-3</v>
      </c>
      <c r="G102" s="14">
        <f t="shared" si="1"/>
        <v>100.30243447555989</v>
      </c>
      <c r="H102" s="24">
        <f t="shared" si="7"/>
        <v>2243.0947555989178</v>
      </c>
      <c r="I102" s="20">
        <f t="shared" si="2"/>
        <v>10531.138233859787</v>
      </c>
      <c r="J102" s="17">
        <f t="shared" si="8"/>
        <v>1.0531138233859787</v>
      </c>
    </row>
    <row r="103" spans="1:10" ht="12" customHeight="1" x14ac:dyDescent="0.3">
      <c r="A103" s="1">
        <f t="shared" si="3"/>
        <v>43662</v>
      </c>
      <c r="B103" s="20">
        <v>9375</v>
      </c>
      <c r="C103" s="20">
        <f t="shared" si="4"/>
        <v>8355.9782608695641</v>
      </c>
      <c r="D103" s="21" t="str">
        <f t="shared" si="0"/>
        <v>190716</v>
      </c>
      <c r="E103" s="22">
        <f t="shared" si="5"/>
        <v>2.3040660383561535</v>
      </c>
      <c r="F103" s="9">
        <f t="shared" si="6"/>
        <v>-1.2564712328767124E-3</v>
      </c>
      <c r="G103" s="14">
        <f t="shared" si="1"/>
        <v>100.30790632105946</v>
      </c>
      <c r="H103" s="24">
        <f t="shared" si="7"/>
        <v>2297.8132105946261</v>
      </c>
      <c r="I103" s="20">
        <f t="shared" si="2"/>
        <v>10653.79147146419</v>
      </c>
      <c r="J103" s="17">
        <f t="shared" si="8"/>
        <v>1.0653791471464189</v>
      </c>
    </row>
    <row r="104" spans="1:10" ht="12" customHeight="1" x14ac:dyDescent="0.3">
      <c r="A104" s="1">
        <f t="shared" si="3"/>
        <v>43663</v>
      </c>
      <c r="B104" s="20">
        <v>9442.934782608696</v>
      </c>
      <c r="C104" s="20">
        <f t="shared" si="4"/>
        <v>8423.9130434782601</v>
      </c>
      <c r="D104" s="21" t="str">
        <f t="shared" si="0"/>
        <v>190717</v>
      </c>
      <c r="E104" s="22">
        <f t="shared" si="5"/>
        <v>2.3028095671232767</v>
      </c>
      <c r="F104" s="9">
        <f t="shared" si="6"/>
        <v>-1.2564712328767124E-3</v>
      </c>
      <c r="G104" s="14">
        <f t="shared" si="1"/>
        <v>100.30939039977685</v>
      </c>
      <c r="H104" s="24">
        <f t="shared" si="7"/>
        <v>2312.6539977684502</v>
      </c>
      <c r="I104" s="20">
        <f t="shared" si="2"/>
        <v>10736.56704124671</v>
      </c>
      <c r="J104" s="17">
        <f t="shared" si="8"/>
        <v>1.073656704124671</v>
      </c>
    </row>
    <row r="105" spans="1:10" ht="12" customHeight="1" x14ac:dyDescent="0.3">
      <c r="A105" s="1">
        <f t="shared" si="3"/>
        <v>43664</v>
      </c>
      <c r="B105" s="20">
        <v>9510.8695652173919</v>
      </c>
      <c r="C105" s="20">
        <f t="shared" si="4"/>
        <v>8491.847826086956</v>
      </c>
      <c r="D105" s="21" t="str">
        <f t="shared" si="0"/>
        <v>190718</v>
      </c>
      <c r="E105" s="22">
        <f t="shared" si="5"/>
        <v>2.3015530958903998</v>
      </c>
      <c r="F105" s="9">
        <f t="shared" si="6"/>
        <v>-1.2564712328767124E-3</v>
      </c>
      <c r="G105" s="14">
        <f t="shared" si="1"/>
        <v>100.3108682035013</v>
      </c>
      <c r="H105" s="24">
        <f t="shared" si="7"/>
        <v>2327.4320350130038</v>
      </c>
      <c r="I105" s="20">
        <f t="shared" si="2"/>
        <v>10819.27986109996</v>
      </c>
      <c r="J105" s="17">
        <f t="shared" si="8"/>
        <v>1.081927986109996</v>
      </c>
    </row>
    <row r="106" spans="1:10" ht="12" customHeight="1" x14ac:dyDescent="0.3">
      <c r="A106" s="1">
        <f t="shared" si="3"/>
        <v>43665</v>
      </c>
      <c r="B106" s="20">
        <v>9578.8043478260861</v>
      </c>
      <c r="C106" s="20">
        <f t="shared" si="4"/>
        <v>8559.7826086956502</v>
      </c>
      <c r="D106" s="21" t="str">
        <f t="shared" si="0"/>
        <v>190719</v>
      </c>
      <c r="E106" s="22">
        <f t="shared" si="5"/>
        <v>2.3002966246575229</v>
      </c>
      <c r="F106" s="9">
        <f t="shared" si="6"/>
        <v>-1.2564712328767124E-3</v>
      </c>
      <c r="G106" s="14">
        <f t="shared" si="1"/>
        <v>100.31233973048573</v>
      </c>
      <c r="H106" s="24">
        <f t="shared" si="7"/>
        <v>2342.1473048573207</v>
      </c>
      <c r="I106" s="20">
        <f t="shared" si="2"/>
        <v>10901.929913552971</v>
      </c>
      <c r="J106" s="17">
        <f t="shared" si="8"/>
        <v>1.090192991355297</v>
      </c>
    </row>
    <row r="107" spans="1:10" ht="12" customHeight="1" x14ac:dyDescent="0.3">
      <c r="A107" s="1">
        <f t="shared" si="3"/>
        <v>43668</v>
      </c>
      <c r="B107" s="20">
        <v>9782.608695652174</v>
      </c>
      <c r="C107" s="20">
        <f t="shared" si="4"/>
        <v>8763.5869565217381</v>
      </c>
      <c r="D107" s="21" t="str">
        <f t="shared" si="0"/>
        <v>190722</v>
      </c>
      <c r="E107" s="22">
        <f t="shared" si="5"/>
        <v>2.2990401534246461</v>
      </c>
      <c r="F107" s="9">
        <f t="shared" si="6"/>
        <v>-3.7694136986301374E-3</v>
      </c>
      <c r="G107" s="14">
        <f t="shared" si="1"/>
        <v>100.31278158321376</v>
      </c>
      <c r="H107" s="24">
        <f t="shared" si="7"/>
        <v>2346.5658321376281</v>
      </c>
      <c r="I107" s="20">
        <f t="shared" si="2"/>
        <v>11110.152788659367</v>
      </c>
      <c r="J107" s="17">
        <f t="shared" si="8"/>
        <v>1.1110152788659367</v>
      </c>
    </row>
    <row r="108" spans="1:10" ht="12" customHeight="1" x14ac:dyDescent="0.3">
      <c r="A108" s="1">
        <f t="shared" si="3"/>
        <v>43669</v>
      </c>
      <c r="B108" s="20">
        <v>9850.54347826087</v>
      </c>
      <c r="C108" s="20">
        <f t="shared" si="4"/>
        <v>8831.5217391304341</v>
      </c>
      <c r="D108" s="21" t="str">
        <f t="shared" si="0"/>
        <v>190723</v>
      </c>
      <c r="E108" s="22">
        <f t="shared" si="5"/>
        <v>2.2952707397260159</v>
      </c>
      <c r="F108" s="9">
        <f t="shared" si="6"/>
        <v>-1.2564712328767124E-3</v>
      </c>
      <c r="G108" s="14">
        <f t="shared" si="1"/>
        <v>100.31816303612007</v>
      </c>
      <c r="H108" s="24">
        <f t="shared" si="7"/>
        <v>2400.3803612006891</v>
      </c>
      <c r="I108" s="20">
        <f t="shared" si="2"/>
        <v>11231.902100331123</v>
      </c>
      <c r="J108" s="17">
        <f t="shared" si="8"/>
        <v>1.1231902100331121</v>
      </c>
    </row>
    <row r="109" spans="1:10" ht="12" customHeight="1" x14ac:dyDescent="0.3">
      <c r="A109" s="1">
        <f t="shared" si="3"/>
        <v>43670</v>
      </c>
      <c r="B109" s="20">
        <v>9918.4782608695659</v>
      </c>
      <c r="C109" s="20">
        <f t="shared" si="4"/>
        <v>8899.45652173913</v>
      </c>
      <c r="D109" s="21" t="str">
        <f t="shared" si="0"/>
        <v>190724</v>
      </c>
      <c r="E109" s="22">
        <f t="shared" si="5"/>
        <v>2.2940142684931391</v>
      </c>
      <c r="F109" s="9">
        <f t="shared" si="6"/>
        <v>-1.2564712328767124E-3</v>
      </c>
      <c r="G109" s="14">
        <f t="shared" si="1"/>
        <v>100.31960315323695</v>
      </c>
      <c r="H109" s="24">
        <f t="shared" si="7"/>
        <v>2414.7815323695454</v>
      </c>
      <c r="I109" s="20">
        <f t="shared" si="2"/>
        <v>11314.238054108675</v>
      </c>
      <c r="J109" s="17">
        <f t="shared" si="8"/>
        <v>1.1314238054108674</v>
      </c>
    </row>
    <row r="110" spans="1:10" ht="12" customHeight="1" x14ac:dyDescent="0.3">
      <c r="A110" s="1">
        <f t="shared" si="3"/>
        <v>43671</v>
      </c>
      <c r="B110" s="20">
        <v>9986.4130434782601</v>
      </c>
      <c r="C110" s="20">
        <f t="shared" si="4"/>
        <v>8967.3913043478242</v>
      </c>
      <c r="D110" s="21" t="str">
        <f t="shared" si="0"/>
        <v>190725</v>
      </c>
      <c r="E110" s="22">
        <f t="shared" si="5"/>
        <v>2.2927577972602622</v>
      </c>
      <c r="F110" s="9">
        <f t="shared" si="6"/>
        <v>-1.2564712328767124E-3</v>
      </c>
      <c r="G110" s="14">
        <f t="shared" si="1"/>
        <v>100.32103698315493</v>
      </c>
      <c r="H110" s="24">
        <f t="shared" si="7"/>
        <v>2429.1198315492579</v>
      </c>
      <c r="I110" s="20">
        <f t="shared" si="2"/>
        <v>11396.511135897083</v>
      </c>
      <c r="J110" s="17">
        <f t="shared" si="8"/>
        <v>1.1396511135897083</v>
      </c>
    </row>
    <row r="111" spans="1:10" ht="12" customHeight="1" x14ac:dyDescent="0.3">
      <c r="A111" s="1">
        <f t="shared" si="3"/>
        <v>43672</v>
      </c>
      <c r="B111" s="20">
        <v>10054.347826086958</v>
      </c>
      <c r="C111" s="20">
        <f t="shared" si="4"/>
        <v>9035.326086956522</v>
      </c>
      <c r="D111" s="21" t="str">
        <f t="shared" si="0"/>
        <v>190726</v>
      </c>
      <c r="E111" s="22">
        <f t="shared" si="5"/>
        <v>2.2915013260273853</v>
      </c>
      <c r="F111" s="9">
        <f t="shared" si="6"/>
        <v>-1.2564712328767124E-3</v>
      </c>
      <c r="G111" s="14">
        <f t="shared" si="1"/>
        <v>100.32246452413476</v>
      </c>
      <c r="H111" s="24">
        <f t="shared" si="7"/>
        <v>2443.3952413475881</v>
      </c>
      <c r="I111" s="20">
        <f t="shared" si="2"/>
        <v>11478.721328304109</v>
      </c>
      <c r="J111" s="17">
        <f t="shared" si="8"/>
        <v>1.1478721328304109</v>
      </c>
    </row>
    <row r="112" spans="1:10" ht="12" customHeight="1" x14ac:dyDescent="0.3">
      <c r="A112" s="1">
        <f t="shared" si="3"/>
        <v>43675</v>
      </c>
      <c r="B112" s="20">
        <v>10258.152173913042</v>
      </c>
      <c r="C112" s="20">
        <f t="shared" si="4"/>
        <v>9239.1304347826062</v>
      </c>
      <c r="D112" s="21" t="str">
        <f t="shared" si="0"/>
        <v>190729</v>
      </c>
      <c r="E112" s="22">
        <f t="shared" si="5"/>
        <v>2.2902448547945085</v>
      </c>
      <c r="F112" s="9">
        <f t="shared" si="6"/>
        <v>-3.7694136986301374E-3</v>
      </c>
      <c r="G112" s="14">
        <f t="shared" si="1"/>
        <v>100.32282086172755</v>
      </c>
      <c r="H112" s="24">
        <f t="shared" si="7"/>
        <v>2446.9586172754989</v>
      </c>
      <c r="I112" s="20">
        <f t="shared" si="2"/>
        <v>11686.089052058105</v>
      </c>
      <c r="J112" s="17">
        <f t="shared" si="8"/>
        <v>1.1686089052058104</v>
      </c>
    </row>
    <row r="113" spans="1:10" ht="12" customHeight="1" x14ac:dyDescent="0.3">
      <c r="A113" s="1">
        <f t="shared" si="3"/>
        <v>43676</v>
      </c>
      <c r="B113" s="20">
        <v>10326.086956521738</v>
      </c>
      <c r="C113" s="20">
        <f t="shared" si="4"/>
        <v>9307.0652173913022</v>
      </c>
      <c r="D113" s="21" t="str">
        <f t="shared" si="0"/>
        <v>190730</v>
      </c>
      <c r="E113" s="22">
        <f t="shared" si="5"/>
        <v>2.2864754410958783</v>
      </c>
      <c r="F113" s="9">
        <f t="shared" si="6"/>
        <v>-1.2564712328767124E-3</v>
      </c>
      <c r="G113" s="14">
        <f t="shared" si="1"/>
        <v>100.3281117639289</v>
      </c>
      <c r="H113" s="24">
        <f t="shared" si="7"/>
        <v>2499.867639289022</v>
      </c>
      <c r="I113" s="20">
        <f t="shared" si="2"/>
        <v>11806.932856680323</v>
      </c>
      <c r="J113" s="17">
        <f t="shared" si="8"/>
        <v>1.1806932856680323</v>
      </c>
    </row>
    <row r="114" spans="1:10" ht="12" customHeight="1" x14ac:dyDescent="0.3">
      <c r="A114" s="1">
        <f t="shared" si="3"/>
        <v>43677</v>
      </c>
      <c r="B114" s="20">
        <v>10394.021739130434</v>
      </c>
      <c r="C114" s="20">
        <f t="shared" si="4"/>
        <v>9374.9999999999982</v>
      </c>
      <c r="D114" s="21" t="str">
        <f t="shared" si="0"/>
        <v>190731</v>
      </c>
      <c r="E114" s="22">
        <f t="shared" si="5"/>
        <v>2.2852189698630014</v>
      </c>
      <c r="F114" s="9">
        <f t="shared" si="6"/>
        <v>-1.2564712328767124E-3</v>
      </c>
      <c r="G114" s="14">
        <f t="shared" si="1"/>
        <v>100.32950783417024</v>
      </c>
      <c r="H114" s="24">
        <f t="shared" si="7"/>
        <v>2513.8283417024354</v>
      </c>
      <c r="I114" s="20">
        <f t="shared" si="2"/>
        <v>11888.828341702434</v>
      </c>
      <c r="J114" s="17">
        <f t="shared" si="8"/>
        <v>1.1888828341702435</v>
      </c>
    </row>
    <row r="115" spans="1:10" ht="12" customHeight="1" x14ac:dyDescent="0.3">
      <c r="A115" s="1">
        <f t="shared" si="3"/>
        <v>43678</v>
      </c>
      <c r="B115" s="20">
        <v>10461.95652173913</v>
      </c>
      <c r="C115" s="20">
        <f t="shared" si="4"/>
        <v>9442.9347826086941</v>
      </c>
      <c r="D115" s="21" t="str">
        <f t="shared" si="0"/>
        <v>190801</v>
      </c>
      <c r="E115" s="22">
        <f t="shared" si="5"/>
        <v>2.2839624986301246</v>
      </c>
      <c r="F115" s="9">
        <f t="shared" si="6"/>
        <v>-1.2564712328767124E-3</v>
      </c>
      <c r="G115" s="14">
        <f t="shared" si="1"/>
        <v>100.33089760506232</v>
      </c>
      <c r="H115" s="24">
        <f t="shared" si="7"/>
        <v>2527.7260506231869</v>
      </c>
      <c r="I115" s="20">
        <f t="shared" si="2"/>
        <v>11970.660833231881</v>
      </c>
      <c r="J115" s="17">
        <f t="shared" si="8"/>
        <v>1.1970660833231881</v>
      </c>
    </row>
    <row r="116" spans="1:10" ht="12" customHeight="1" x14ac:dyDescent="0.3">
      <c r="A116" s="1">
        <f t="shared" si="3"/>
        <v>43679</v>
      </c>
      <c r="B116" s="20">
        <v>10529.891304347824</v>
      </c>
      <c r="C116" s="20">
        <f t="shared" si="4"/>
        <v>9510.8695652173883</v>
      </c>
      <c r="D116" s="21" t="str">
        <f t="shared" si="0"/>
        <v>190802</v>
      </c>
      <c r="E116" s="22">
        <f t="shared" si="5"/>
        <v>2.2827060273972477</v>
      </c>
      <c r="F116" s="9">
        <f t="shared" si="6"/>
        <v>-1.2564712328767124E-3</v>
      </c>
      <c r="G116" s="14">
        <f t="shared" si="1"/>
        <v>100.33228107487393</v>
      </c>
      <c r="H116" s="24">
        <f t="shared" si="7"/>
        <v>2541.5607487393286</v>
      </c>
      <c r="I116" s="20">
        <f t="shared" si="2"/>
        <v>12052.430313956716</v>
      </c>
      <c r="J116" s="17">
        <f t="shared" si="8"/>
        <v>1.2052430313956717</v>
      </c>
    </row>
    <row r="117" spans="1:10" ht="12" customHeight="1" x14ac:dyDescent="0.3">
      <c r="A117" s="1">
        <f t="shared" si="3"/>
        <v>43682</v>
      </c>
      <c r="B117" s="20">
        <v>10733.695652173914</v>
      </c>
      <c r="C117" s="20">
        <f t="shared" si="4"/>
        <v>9714.673913043478</v>
      </c>
      <c r="D117" s="21" t="str">
        <f t="shared" si="0"/>
        <v>190805</v>
      </c>
      <c r="E117" s="22">
        <f t="shared" si="5"/>
        <v>2.2814495561643708</v>
      </c>
      <c r="F117" s="9">
        <f t="shared" si="6"/>
        <v>-3.7694136986301374E-3</v>
      </c>
      <c r="G117" s="14">
        <f t="shared" si="1"/>
        <v>100.33255171454239</v>
      </c>
      <c r="H117" s="24">
        <f t="shared" si="7"/>
        <v>2544.2671454239021</v>
      </c>
      <c r="I117" s="20">
        <f t="shared" si="2"/>
        <v>12258.941058467381</v>
      </c>
      <c r="J117" s="17">
        <f t="shared" si="8"/>
        <v>1.2258941058467381</v>
      </c>
    </row>
    <row r="118" spans="1:10" ht="12" customHeight="1" x14ac:dyDescent="0.3">
      <c r="A118" s="1">
        <f t="shared" si="3"/>
        <v>43683</v>
      </c>
      <c r="B118" s="20">
        <v>10801.630434782608</v>
      </c>
      <c r="C118" s="20">
        <f t="shared" si="4"/>
        <v>9782.6086956521722</v>
      </c>
      <c r="D118" s="21" t="str">
        <f t="shared" si="0"/>
        <v>190806</v>
      </c>
      <c r="E118" s="22">
        <f t="shared" si="5"/>
        <v>2.2776801424657407</v>
      </c>
      <c r="F118" s="9">
        <f t="shared" si="6"/>
        <v>-1.2564712328767124E-3</v>
      </c>
      <c r="G118" s="14">
        <f t="shared" si="1"/>
        <v>100.33775190873207</v>
      </c>
      <c r="H118" s="24">
        <f t="shared" si="7"/>
        <v>2596.2690873207348</v>
      </c>
      <c r="I118" s="20">
        <f t="shared" si="2"/>
        <v>12378.877782972908</v>
      </c>
      <c r="J118" s="17">
        <f t="shared" si="8"/>
        <v>1.2378877782972908</v>
      </c>
    </row>
    <row r="119" spans="1:10" ht="12" customHeight="1" x14ac:dyDescent="0.3">
      <c r="A119" s="1">
        <f t="shared" si="3"/>
        <v>43684</v>
      </c>
      <c r="B119" s="20">
        <v>10869.565217391304</v>
      </c>
      <c r="C119" s="20">
        <f t="shared" si="4"/>
        <v>9850.5434782608681</v>
      </c>
      <c r="D119" s="21" t="str">
        <f t="shared" si="0"/>
        <v>190807</v>
      </c>
      <c r="E119" s="22">
        <f t="shared" si="5"/>
        <v>2.2764236712328638</v>
      </c>
      <c r="F119" s="9">
        <f t="shared" si="6"/>
        <v>-1.2564712328767124E-3</v>
      </c>
      <c r="G119" s="14">
        <f t="shared" si="1"/>
        <v>100.33910384721352</v>
      </c>
      <c r="H119" s="24">
        <f t="shared" si="7"/>
        <v>2609.7884721352216</v>
      </c>
      <c r="I119" s="20">
        <f t="shared" si="2"/>
        <v>12460.33195039609</v>
      </c>
      <c r="J119" s="17">
        <f t="shared" si="8"/>
        <v>1.2460331950396091</v>
      </c>
    </row>
    <row r="120" spans="1:10" ht="12" customHeight="1" x14ac:dyDescent="0.3">
      <c r="A120" s="1">
        <f t="shared" si="3"/>
        <v>43685</v>
      </c>
      <c r="B120" s="20">
        <v>10937.5</v>
      </c>
      <c r="C120" s="20">
        <f t="shared" si="4"/>
        <v>9918.4782608695641</v>
      </c>
      <c r="D120" s="21" t="str">
        <f t="shared" si="0"/>
        <v>190808</v>
      </c>
      <c r="E120" s="22">
        <f t="shared" si="5"/>
        <v>2.275167199999987</v>
      </c>
      <c r="F120" s="9">
        <f t="shared" si="6"/>
        <v>-1.2564712328767124E-3</v>
      </c>
      <c r="G120" s="14">
        <f t="shared" si="1"/>
        <v>100.3404494742515</v>
      </c>
      <c r="H120" s="24">
        <f t="shared" si="7"/>
        <v>2623.2447425149985</v>
      </c>
      <c r="I120" s="20">
        <f t="shared" si="2"/>
        <v>12541.723003384563</v>
      </c>
      <c r="J120" s="17">
        <f t="shared" si="8"/>
        <v>1.2541723003384564</v>
      </c>
    </row>
    <row r="121" spans="1:10" ht="12" customHeight="1" x14ac:dyDescent="0.3">
      <c r="A121" s="1">
        <f t="shared" si="3"/>
        <v>43686</v>
      </c>
      <c r="B121" s="20">
        <v>11005.434782608696</v>
      </c>
      <c r="C121" s="20">
        <f t="shared" si="4"/>
        <v>9986.4130434782601</v>
      </c>
      <c r="D121" s="21" t="str">
        <f t="shared" si="0"/>
        <v>190809</v>
      </c>
      <c r="E121" s="22">
        <f t="shared" si="5"/>
        <v>2.2739107287671101</v>
      </c>
      <c r="F121" s="9">
        <f t="shared" si="6"/>
        <v>-1.2564712328767124E-3</v>
      </c>
      <c r="G121" s="14">
        <f t="shared" si="1"/>
        <v>100.34178878812268</v>
      </c>
      <c r="H121" s="24">
        <f t="shared" si="7"/>
        <v>2636.6378812268463</v>
      </c>
      <c r="I121" s="20">
        <f t="shared" si="2"/>
        <v>12623.050924705107</v>
      </c>
      <c r="J121" s="17">
        <f t="shared" si="8"/>
        <v>1.2623050924705106</v>
      </c>
    </row>
    <row r="122" spans="1:10" ht="12" customHeight="1" x14ac:dyDescent="0.3">
      <c r="A122" s="1">
        <f t="shared" si="3"/>
        <v>43689</v>
      </c>
      <c r="B122" s="20">
        <v>11209.239130434782</v>
      </c>
      <c r="C122" s="20">
        <f t="shared" si="4"/>
        <v>10190.217391304346</v>
      </c>
      <c r="D122" s="21" t="str">
        <f t="shared" si="0"/>
        <v>190812</v>
      </c>
      <c r="E122" s="22">
        <f t="shared" si="5"/>
        <v>2.2726542575342332</v>
      </c>
      <c r="F122" s="9">
        <f t="shared" si="6"/>
        <v>-3.7694136986301374E-3</v>
      </c>
      <c r="G122" s="14">
        <f t="shared" si="1"/>
        <v>100.34197354783787</v>
      </c>
      <c r="H122" s="24">
        <f t="shared" si="7"/>
        <v>2638.4854783786695</v>
      </c>
      <c r="I122" s="20">
        <f t="shared" si="2"/>
        <v>12828.702869683017</v>
      </c>
      <c r="J122" s="17">
        <f t="shared" si="8"/>
        <v>1.2828702869683017</v>
      </c>
    </row>
    <row r="123" spans="1:10" ht="12" customHeight="1" x14ac:dyDescent="0.3">
      <c r="A123" s="1">
        <f t="shared" si="3"/>
        <v>43690</v>
      </c>
      <c r="B123" s="20">
        <v>11277.17391304348</v>
      </c>
      <c r="C123" s="20">
        <f t="shared" si="4"/>
        <v>10258.152173913044</v>
      </c>
      <c r="D123" s="21" t="str">
        <f t="shared" si="0"/>
        <v>190813</v>
      </c>
      <c r="E123" s="22">
        <f t="shared" si="5"/>
        <v>2.2688848438356031</v>
      </c>
      <c r="F123" s="9">
        <f t="shared" si="6"/>
        <v>-1.2564712328767124E-3</v>
      </c>
      <c r="G123" s="14">
        <f t="shared" si="1"/>
        <v>100.34708287751667</v>
      </c>
      <c r="H123" s="24">
        <f t="shared" si="7"/>
        <v>2689.5787751666944</v>
      </c>
      <c r="I123" s="20">
        <f t="shared" si="2"/>
        <v>12947.730949079738</v>
      </c>
      <c r="J123" s="17">
        <f t="shared" si="8"/>
        <v>1.2947730949079739</v>
      </c>
    </row>
    <row r="124" spans="1:10" ht="12" customHeight="1" x14ac:dyDescent="0.3">
      <c r="A124" s="1">
        <f t="shared" si="3"/>
        <v>43691</v>
      </c>
      <c r="B124" s="20">
        <v>11345.108695652176</v>
      </c>
      <c r="C124" s="20">
        <f t="shared" si="4"/>
        <v>10326.08695652174</v>
      </c>
      <c r="D124" s="21" t="str">
        <f t="shared" si="0"/>
        <v>190814</v>
      </c>
      <c r="E124" s="22">
        <f t="shared" si="5"/>
        <v>2.2676283726027262</v>
      </c>
      <c r="F124" s="9">
        <f t="shared" si="6"/>
        <v>-1.2564712328767124E-3</v>
      </c>
      <c r="G124" s="14">
        <f t="shared" si="1"/>
        <v>100.34839059974665</v>
      </c>
      <c r="H124" s="24">
        <f t="shared" si="7"/>
        <v>2702.6559974665079</v>
      </c>
      <c r="I124" s="20">
        <f t="shared" si="2"/>
        <v>13028.742953988247</v>
      </c>
      <c r="J124" s="17">
        <f t="shared" si="8"/>
        <v>1.3028742953988248</v>
      </c>
    </row>
    <row r="125" spans="1:10" ht="12" customHeight="1" x14ac:dyDescent="0.3">
      <c r="A125" s="1">
        <f t="shared" si="3"/>
        <v>43692</v>
      </c>
      <c r="B125" s="20">
        <v>11413.04347826087</v>
      </c>
      <c r="C125" s="20">
        <f t="shared" si="4"/>
        <v>10394.021739130434</v>
      </c>
      <c r="D125" s="21" t="str">
        <f t="shared" si="0"/>
        <v>190815</v>
      </c>
      <c r="E125" s="22">
        <f t="shared" si="5"/>
        <v>2.2663719013698493</v>
      </c>
      <c r="F125" s="9">
        <f t="shared" si="6"/>
        <v>-1.2564712328767124E-3</v>
      </c>
      <c r="G125" s="14">
        <f t="shared" si="1"/>
        <v>100.34969199849495</v>
      </c>
      <c r="H125" s="24">
        <f t="shared" si="7"/>
        <v>2715.6699849494717</v>
      </c>
      <c r="I125" s="20">
        <f t="shared" si="2"/>
        <v>13109.691724079905</v>
      </c>
      <c r="J125" s="17">
        <f t="shared" si="8"/>
        <v>1.3109691724079906</v>
      </c>
    </row>
    <row r="126" spans="1:10" ht="12" customHeight="1" x14ac:dyDescent="0.3">
      <c r="A126" s="1">
        <f t="shared" si="3"/>
        <v>43693</v>
      </c>
      <c r="B126" s="20">
        <v>11480.978260869566</v>
      </c>
      <c r="C126" s="20">
        <f t="shared" si="4"/>
        <v>10461.95652173913</v>
      </c>
      <c r="D126" s="21" t="str">
        <f t="shared" si="0"/>
        <v>190816</v>
      </c>
      <c r="E126" s="22">
        <f t="shared" si="5"/>
        <v>2.2651154301369725</v>
      </c>
      <c r="F126" s="9">
        <f t="shared" si="6"/>
        <v>-1.2564712328767124E-3</v>
      </c>
      <c r="G126" s="14">
        <f t="shared" si="1"/>
        <v>100.35098707204641</v>
      </c>
      <c r="H126" s="24">
        <f t="shared" si="7"/>
        <v>2728.6207204640791</v>
      </c>
      <c r="I126" s="20">
        <f t="shared" si="2"/>
        <v>13190.57724220321</v>
      </c>
      <c r="J126" s="17">
        <f t="shared" si="8"/>
        <v>1.319057724220321</v>
      </c>
    </row>
    <row r="127" spans="1:10" ht="12" customHeight="1" x14ac:dyDescent="0.3">
      <c r="A127" s="1">
        <f t="shared" si="3"/>
        <v>43696</v>
      </c>
      <c r="B127" s="20">
        <v>11684.782608695652</v>
      </c>
      <c r="C127" s="20">
        <f t="shared" si="4"/>
        <v>10665.760869565216</v>
      </c>
      <c r="D127" s="21" t="str">
        <f t="shared" si="0"/>
        <v>190819</v>
      </c>
      <c r="E127" s="22">
        <f t="shared" si="5"/>
        <v>2.2638589589040956</v>
      </c>
      <c r="F127" s="9">
        <f t="shared" si="6"/>
        <v>-3.7694136986301374E-3</v>
      </c>
      <c r="G127" s="14">
        <f t="shared" si="1"/>
        <v>100.35108577054237</v>
      </c>
      <c r="H127" s="24">
        <f t="shared" si="7"/>
        <v>2729.6077054236889</v>
      </c>
      <c r="I127" s="20">
        <f t="shared" si="2"/>
        <v>13395.368574988905</v>
      </c>
      <c r="J127" s="17">
        <f t="shared" si="8"/>
        <v>1.3395368574988904</v>
      </c>
    </row>
    <row r="128" spans="1:10" ht="12" customHeight="1" x14ac:dyDescent="0.3">
      <c r="A128" s="1">
        <f t="shared" si="3"/>
        <v>43697</v>
      </c>
      <c r="B128" s="20">
        <v>11752.717391304348</v>
      </c>
      <c r="C128" s="20">
        <f t="shared" si="4"/>
        <v>10733.695652173912</v>
      </c>
      <c r="D128" s="21" t="str">
        <f t="shared" si="0"/>
        <v>190820</v>
      </c>
      <c r="E128" s="22">
        <f t="shared" si="5"/>
        <v>2.2600895452054655</v>
      </c>
      <c r="F128" s="9">
        <f t="shared" si="6"/>
        <v>-1.2564712328767124E-3</v>
      </c>
      <c r="G128" s="14">
        <f t="shared" si="1"/>
        <v>100.35610408002151</v>
      </c>
      <c r="H128" s="24">
        <f t="shared" si="7"/>
        <v>2779.7908002150962</v>
      </c>
      <c r="I128" s="20">
        <f t="shared" si="2"/>
        <v>13513.486452389008</v>
      </c>
      <c r="J128" s="17">
        <f t="shared" si="8"/>
        <v>1.3513486452389007</v>
      </c>
    </row>
    <row r="129" spans="1:11" ht="12" customHeight="1" x14ac:dyDescent="0.3">
      <c r="A129" s="1">
        <f t="shared" si="3"/>
        <v>43698</v>
      </c>
      <c r="B129" s="20">
        <v>11820.652173913042</v>
      </c>
      <c r="C129" s="20">
        <f t="shared" si="4"/>
        <v>10801.630434782606</v>
      </c>
      <c r="D129" s="21" t="str">
        <f t="shared" si="0"/>
        <v>190821</v>
      </c>
      <c r="E129" s="22">
        <f t="shared" si="5"/>
        <v>2.2588330739725886</v>
      </c>
      <c r="F129" s="9">
        <f t="shared" si="6"/>
        <v>-1.2564712328767124E-3</v>
      </c>
      <c r="G129" s="14">
        <f t="shared" si="1"/>
        <v>100.35736750190205</v>
      </c>
      <c r="H129" s="24">
        <f t="shared" si="7"/>
        <v>2792.4250190204702</v>
      </c>
      <c r="I129" s="20">
        <f t="shared" si="2"/>
        <v>13594.055453803077</v>
      </c>
      <c r="J129" s="17">
        <f t="shared" si="8"/>
        <v>1.3594055453803078</v>
      </c>
      <c r="K129" s="13"/>
    </row>
    <row r="130" spans="1:11" ht="12" customHeight="1" x14ac:dyDescent="0.3">
      <c r="A130" s="1">
        <f t="shared" si="3"/>
        <v>43699</v>
      </c>
      <c r="B130" s="20">
        <v>11888.586956521738</v>
      </c>
      <c r="C130" s="20">
        <f t="shared" si="4"/>
        <v>10869.565217391302</v>
      </c>
      <c r="D130" s="21" t="str">
        <f t="shared" si="0"/>
        <v>190822</v>
      </c>
      <c r="E130" s="22">
        <f t="shared" si="5"/>
        <v>2.2575766027397117</v>
      </c>
      <c r="F130" s="9">
        <f t="shared" si="6"/>
        <v>-1.2564712328767124E-3</v>
      </c>
      <c r="G130" s="14">
        <f t="shared" si="1"/>
        <v>100.35862458831919</v>
      </c>
      <c r="H130" s="24">
        <f t="shared" si="7"/>
        <v>2804.9958831918789</v>
      </c>
      <c r="I130" s="20">
        <f t="shared" si="2"/>
        <v>13674.561100583182</v>
      </c>
      <c r="J130" s="17">
        <f t="shared" si="8"/>
        <v>1.367456110058318</v>
      </c>
    </row>
    <row r="131" spans="1:11" ht="12" customHeight="1" x14ac:dyDescent="0.3">
      <c r="A131" s="1">
        <f t="shared" si="3"/>
        <v>43700</v>
      </c>
      <c r="B131" s="20">
        <v>11956.521739130434</v>
      </c>
      <c r="C131" s="20">
        <f t="shared" si="4"/>
        <v>10937.499999999998</v>
      </c>
      <c r="D131" s="21" t="str">
        <f t="shared" si="0"/>
        <v>190823</v>
      </c>
      <c r="E131" s="22">
        <f t="shared" si="5"/>
        <v>2.2563201315068349</v>
      </c>
      <c r="F131" s="9">
        <f t="shared" si="6"/>
        <v>-1.2564712328767124E-3</v>
      </c>
      <c r="G131" s="14">
        <f t="shared" si="1"/>
        <v>100.35987533756581</v>
      </c>
      <c r="H131" s="24">
        <f t="shared" si="7"/>
        <v>2817.5033756581061</v>
      </c>
      <c r="I131" s="20">
        <f t="shared" si="2"/>
        <v>13755.003375658103</v>
      </c>
      <c r="J131" s="17">
        <f t="shared" si="8"/>
        <v>1.3755003375658104</v>
      </c>
    </row>
    <row r="132" spans="1:11" ht="12" customHeight="1" x14ac:dyDescent="0.3">
      <c r="A132" s="1">
        <f t="shared" si="3"/>
        <v>43703</v>
      </c>
      <c r="B132" s="20">
        <v>12160.32608695652</v>
      </c>
      <c r="C132" s="20">
        <f t="shared" si="4"/>
        <v>11141.304347826084</v>
      </c>
      <c r="D132" s="21" t="str">
        <f t="shared" si="0"/>
        <v>190826</v>
      </c>
      <c r="E132" s="22">
        <f t="shared" si="5"/>
        <v>2.255063660273958</v>
      </c>
      <c r="F132" s="9">
        <f t="shared" si="6"/>
        <v>-3.7694136986301374E-3</v>
      </c>
      <c r="G132" s="14">
        <f t="shared" si="1"/>
        <v>100.3598877943427</v>
      </c>
      <c r="H132" s="24">
        <f t="shared" si="7"/>
        <v>2817.62794342697</v>
      </c>
      <c r="I132" s="20">
        <f t="shared" si="2"/>
        <v>13958.932291253055</v>
      </c>
      <c r="J132" s="17">
        <f t="shared" si="8"/>
        <v>1.3958932291253054</v>
      </c>
    </row>
    <row r="133" spans="1:11" ht="12" customHeight="1" x14ac:dyDescent="0.3">
      <c r="A133" s="1">
        <f t="shared" si="3"/>
        <v>43704</v>
      </c>
      <c r="B133" s="20">
        <v>12228.260869565218</v>
      </c>
      <c r="C133" s="20">
        <f t="shared" si="4"/>
        <v>11209.239130434782</v>
      </c>
      <c r="D133" s="21" t="str">
        <f t="shared" si="0"/>
        <v>190827</v>
      </c>
      <c r="E133" s="22">
        <f t="shared" si="5"/>
        <v>2.2512942465753278</v>
      </c>
      <c r="F133" s="9">
        <f t="shared" si="6"/>
        <v>-1.2564712328767124E-3</v>
      </c>
      <c r="G133" s="14">
        <f t="shared" si="1"/>
        <v>100.36481492874644</v>
      </c>
      <c r="H133" s="24">
        <f t="shared" si="7"/>
        <v>2866.8992874644064</v>
      </c>
      <c r="I133" s="20">
        <f t="shared" si="2"/>
        <v>14076.138417899188</v>
      </c>
      <c r="J133" s="17">
        <f t="shared" si="8"/>
        <v>1.4076138417899187</v>
      </c>
    </row>
    <row r="134" spans="1:11" ht="12" customHeight="1" x14ac:dyDescent="0.3">
      <c r="A134" s="1">
        <f t="shared" si="3"/>
        <v>43705</v>
      </c>
      <c r="B134" s="20">
        <v>12296.195652173914</v>
      </c>
      <c r="C134" s="20">
        <f t="shared" si="4"/>
        <v>11277.173913043478</v>
      </c>
      <c r="D134" s="21" t="str">
        <f t="shared" si="0"/>
        <v>190828</v>
      </c>
      <c r="E134" s="22">
        <f t="shared" si="5"/>
        <v>2.250037775342451</v>
      </c>
      <c r="F134" s="9">
        <f t="shared" si="6"/>
        <v>-1.2564712328767124E-3</v>
      </c>
      <c r="G134" s="14">
        <f t="shared" si="1"/>
        <v>100.36603396657505</v>
      </c>
      <c r="H134" s="24">
        <f t="shared" si="7"/>
        <v>2879.0896657504559</v>
      </c>
      <c r="I134" s="20">
        <f t="shared" si="2"/>
        <v>14156.263578793934</v>
      </c>
      <c r="J134" s="17">
        <f t="shared" si="8"/>
        <v>1.4156263578793935</v>
      </c>
    </row>
    <row r="135" spans="1:11" ht="12" customHeight="1" x14ac:dyDescent="0.3">
      <c r="A135" s="1">
        <f t="shared" si="3"/>
        <v>43706</v>
      </c>
      <c r="B135" s="20">
        <v>12364.130434782608</v>
      </c>
      <c r="C135" s="20">
        <f t="shared" si="4"/>
        <v>11345.108695652172</v>
      </c>
      <c r="D135" s="21" t="str">
        <f t="shared" si="0"/>
        <v>190829</v>
      </c>
      <c r="E135" s="22">
        <f t="shared" si="5"/>
        <v>2.2487813041095741</v>
      </c>
      <c r="F135" s="9">
        <f t="shared" si="6"/>
        <v>-1.2564712328767124E-3</v>
      </c>
      <c r="G135" s="14">
        <f t="shared" si="1"/>
        <v>100.36724665701504</v>
      </c>
      <c r="H135" s="24">
        <f t="shared" si="7"/>
        <v>2891.2165701504478</v>
      </c>
      <c r="I135" s="20">
        <f t="shared" si="2"/>
        <v>14236.325265802619</v>
      </c>
      <c r="J135" s="17">
        <f t="shared" si="8"/>
        <v>1.4236325265802618</v>
      </c>
    </row>
    <row r="136" spans="1:11" ht="12" customHeight="1" x14ac:dyDescent="0.3">
      <c r="A136" s="1">
        <f t="shared" si="3"/>
        <v>43707</v>
      </c>
      <c r="B136" s="20">
        <v>12432.065217391304</v>
      </c>
      <c r="C136" s="20">
        <f t="shared" si="4"/>
        <v>11413.043478260868</v>
      </c>
      <c r="D136" s="21" t="str">
        <f t="shared" si="0"/>
        <v>190830</v>
      </c>
      <c r="E136" s="22">
        <f t="shared" si="5"/>
        <v>2.2475248328766972</v>
      </c>
      <c r="F136" s="9">
        <f t="shared" si="6"/>
        <v>-1.2564712328767124E-3</v>
      </c>
      <c r="G136" s="14">
        <f t="shared" si="1"/>
        <v>100.36845299836747</v>
      </c>
      <c r="H136" s="24">
        <f t="shared" si="7"/>
        <v>2903.2799836747358</v>
      </c>
      <c r="I136" s="20">
        <f t="shared" si="2"/>
        <v>14316.323461935604</v>
      </c>
      <c r="J136" s="17">
        <f t="shared" si="8"/>
        <v>1.4316323461935605</v>
      </c>
    </row>
    <row r="137" spans="1:11" ht="12" customHeight="1" x14ac:dyDescent="0.3">
      <c r="A137" s="1">
        <f t="shared" si="3"/>
        <v>43710</v>
      </c>
      <c r="B137" s="20">
        <v>137.36263736263737</v>
      </c>
      <c r="C137" s="20">
        <f t="shared" si="4"/>
        <v>11618.340898232202</v>
      </c>
      <c r="D137" s="21" t="str">
        <f t="shared" si="0"/>
        <v>190902</v>
      </c>
      <c r="E137" s="22">
        <f t="shared" si="5"/>
        <v>2.2462683616438204</v>
      </c>
      <c r="F137" s="9">
        <f t="shared" si="6"/>
        <v>-3.7694136986301374E-3</v>
      </c>
      <c r="G137" s="14">
        <f t="shared" si="1"/>
        <v>100.37077337855925</v>
      </c>
      <c r="H137" s="24">
        <f t="shared" si="7"/>
        <v>2926.4837855924952</v>
      </c>
      <c r="I137" s="20">
        <f t="shared" si="2"/>
        <v>14544.824683824696</v>
      </c>
      <c r="J137" s="17">
        <f t="shared" si="8"/>
        <v>1.4544824683824695</v>
      </c>
    </row>
    <row r="138" spans="1:11" ht="12" customHeight="1" x14ac:dyDescent="0.3">
      <c r="A138" s="1">
        <f t="shared" si="3"/>
        <v>43711</v>
      </c>
      <c r="B138" s="20">
        <v>206.04395604395603</v>
      </c>
      <c r="C138" s="20">
        <f t="shared" si="4"/>
        <v>11687.02221691352</v>
      </c>
      <c r="D138" s="21" t="str">
        <f t="shared" si="0"/>
        <v>190903</v>
      </c>
      <c r="E138" s="22">
        <f t="shared" si="5"/>
        <v>2.2424989479451902</v>
      </c>
      <c r="F138" s="9">
        <f t="shared" si="6"/>
        <v>-1.2564712328767124E-3</v>
      </c>
      <c r="G138" s="14">
        <f t="shared" si="1"/>
        <v>100.37557117562426</v>
      </c>
      <c r="H138" s="24">
        <f t="shared" si="7"/>
        <v>2974.4617562425901</v>
      </c>
      <c r="I138" s="20">
        <f t="shared" si="2"/>
        <v>14661.48397315611</v>
      </c>
      <c r="J138" s="17">
        <f t="shared" si="8"/>
        <v>1.4661483973156109</v>
      </c>
    </row>
    <row r="139" spans="1:11" ht="12" customHeight="1" x14ac:dyDescent="0.3">
      <c r="A139" s="1">
        <f t="shared" si="3"/>
        <v>43712</v>
      </c>
      <c r="B139" s="20">
        <v>274.72527472527474</v>
      </c>
      <c r="C139" s="20">
        <f t="shared" si="4"/>
        <v>11755.703535594837</v>
      </c>
      <c r="D139" s="21" t="str">
        <f t="shared" si="0"/>
        <v>190904</v>
      </c>
      <c r="E139" s="22">
        <f t="shared" si="5"/>
        <v>2.2412424767123134</v>
      </c>
      <c r="F139" s="9">
        <f t="shared" si="6"/>
        <v>-1.2564712328767124E-3</v>
      </c>
      <c r="G139" s="14">
        <f t="shared" si="1"/>
        <v>100.37668049368004</v>
      </c>
      <c r="H139" s="24">
        <f t="shared" si="7"/>
        <v>2985.5549368004117</v>
      </c>
      <c r="I139" s="20">
        <f t="shared" si="2"/>
        <v>14741.25847239525</v>
      </c>
      <c r="J139" s="17">
        <f t="shared" si="8"/>
        <v>1.4741258472395249</v>
      </c>
    </row>
    <row r="140" spans="1:11" ht="12" customHeight="1" x14ac:dyDescent="0.3">
      <c r="A140" s="1">
        <f t="shared" si="3"/>
        <v>43713</v>
      </c>
      <c r="B140" s="20">
        <v>343.40659340659346</v>
      </c>
      <c r="C140" s="20">
        <f t="shared" si="4"/>
        <v>11824.384854276155</v>
      </c>
      <c r="D140" s="21" t="str">
        <f t="shared" si="0"/>
        <v>190905</v>
      </c>
      <c r="E140" s="22">
        <f t="shared" si="5"/>
        <v>2.2399860054794365</v>
      </c>
      <c r="F140" s="9">
        <f t="shared" si="6"/>
        <v>-1.2564712328767124E-3</v>
      </c>
      <c r="G140" s="14">
        <f t="shared" si="1"/>
        <v>100.37778353792251</v>
      </c>
      <c r="H140" s="24">
        <f t="shared" si="7"/>
        <v>2996.5853792251091</v>
      </c>
      <c r="I140" s="20">
        <f t="shared" si="2"/>
        <v>14820.970233501264</v>
      </c>
      <c r="J140" s="17">
        <f t="shared" si="8"/>
        <v>1.4820970233501265</v>
      </c>
    </row>
    <row r="141" spans="1:11" ht="12" customHeight="1" x14ac:dyDescent="0.3">
      <c r="A141" s="1">
        <f t="shared" si="3"/>
        <v>43714</v>
      </c>
      <c r="B141" s="20">
        <v>412.08791208791206</v>
      </c>
      <c r="C141" s="20">
        <f t="shared" si="4"/>
        <v>11893.066172957473</v>
      </c>
      <c r="D141" s="21" t="str">
        <f t="shared" si="0"/>
        <v>190906</v>
      </c>
      <c r="E141" s="22">
        <f t="shared" si="5"/>
        <v>2.2387295342465596</v>
      </c>
      <c r="F141" s="9">
        <f t="shared" si="6"/>
        <v>-1.2564712328767124E-3</v>
      </c>
      <c r="G141" s="14">
        <f t="shared" si="1"/>
        <v>100.3788803066751</v>
      </c>
      <c r="H141" s="24">
        <f t="shared" si="7"/>
        <v>3007.5530667510006</v>
      </c>
      <c r="I141" s="20">
        <f t="shared" si="2"/>
        <v>14900.619239708474</v>
      </c>
      <c r="J141" s="17">
        <f t="shared" si="8"/>
        <v>1.4900619239708475</v>
      </c>
    </row>
    <row r="142" spans="1:11" ht="12" customHeight="1" x14ac:dyDescent="0.3">
      <c r="A142" s="1">
        <f t="shared" si="3"/>
        <v>43717</v>
      </c>
      <c r="B142" s="20">
        <v>618.13186813186815</v>
      </c>
      <c r="C142" s="20">
        <f t="shared" si="4"/>
        <v>12099.110129001429</v>
      </c>
      <c r="D142" s="21" t="str">
        <f t="shared" si="0"/>
        <v>190909</v>
      </c>
      <c r="E142" s="22">
        <f t="shared" si="5"/>
        <v>2.2374730630136828</v>
      </c>
      <c r="F142" s="9">
        <f t="shared" si="6"/>
        <v>-3.7694136986301374E-3</v>
      </c>
      <c r="G142" s="14">
        <f t="shared" si="1"/>
        <v>100.37849704380552</v>
      </c>
      <c r="H142" s="24">
        <f t="shared" si="7"/>
        <v>3003.7204380552394</v>
      </c>
      <c r="I142" s="20">
        <f t="shared" si="2"/>
        <v>15102.830567056668</v>
      </c>
      <c r="J142" s="17">
        <f t="shared" si="8"/>
        <v>1.5102830567056669</v>
      </c>
    </row>
    <row r="143" spans="1:11" ht="12" customHeight="1" x14ac:dyDescent="0.3">
      <c r="A143" s="1">
        <f t="shared" si="3"/>
        <v>43718</v>
      </c>
      <c r="B143" s="20">
        <v>686.81318681318692</v>
      </c>
      <c r="C143" s="20">
        <f t="shared" si="4"/>
        <v>12167.791447682746</v>
      </c>
      <c r="D143" s="21" t="str">
        <f t="shared" si="0"/>
        <v>190910</v>
      </c>
      <c r="E143" s="22">
        <f t="shared" si="5"/>
        <v>2.2337036493150526</v>
      </c>
      <c r="F143" s="9">
        <f t="shared" si="6"/>
        <v>-1.2564712328767124E-3</v>
      </c>
      <c r="G143" s="14">
        <f t="shared" si="1"/>
        <v>100.38320459329596</v>
      </c>
      <c r="H143" s="24">
        <f t="shared" si="7"/>
        <v>3050.7959329595737</v>
      </c>
      <c r="I143" s="20">
        <f t="shared" si="2"/>
        <v>15218.587380642321</v>
      </c>
      <c r="J143" s="17">
        <f t="shared" si="8"/>
        <v>1.5218587380642321</v>
      </c>
    </row>
    <row r="144" spans="1:11" ht="12" customHeight="1" x14ac:dyDescent="0.3">
      <c r="A144" s="1">
        <f t="shared" si="3"/>
        <v>43719</v>
      </c>
      <c r="B144" s="20">
        <v>755.49450549450546</v>
      </c>
      <c r="C144" s="20">
        <f t="shared" si="4"/>
        <v>12236.472766364064</v>
      </c>
      <c r="D144" s="21" t="str">
        <f t="shared" si="0"/>
        <v>190911</v>
      </c>
      <c r="E144" s="22">
        <f t="shared" si="5"/>
        <v>2.2324471780821757</v>
      </c>
      <c r="F144" s="9">
        <f t="shared" si="6"/>
        <v>-1.2564712328767124E-3</v>
      </c>
      <c r="G144" s="14">
        <f t="shared" si="1"/>
        <v>100.38426995949122</v>
      </c>
      <c r="H144" s="24">
        <f t="shared" si="7"/>
        <v>3061.4495949122042</v>
      </c>
      <c r="I144" s="20">
        <f t="shared" si="2"/>
        <v>15297.922361276269</v>
      </c>
      <c r="J144" s="17">
        <f t="shared" si="8"/>
        <v>1.529792236127627</v>
      </c>
    </row>
    <row r="145" spans="1:10" ht="12" customHeight="1" x14ac:dyDescent="0.3">
      <c r="A145" s="1">
        <f t="shared" si="3"/>
        <v>43720</v>
      </c>
      <c r="B145" s="20">
        <v>824.17582417582412</v>
      </c>
      <c r="C145" s="20">
        <f t="shared" si="4"/>
        <v>12305.154085045382</v>
      </c>
      <c r="D145" s="21" t="str">
        <f t="shared" si="0"/>
        <v>190912</v>
      </c>
      <c r="E145" s="22">
        <f t="shared" si="5"/>
        <v>2.2311907068492989</v>
      </c>
      <c r="F145" s="9">
        <f t="shared" si="6"/>
        <v>-1.2564712328767124E-3</v>
      </c>
      <c r="G145" s="14">
        <f t="shared" si="1"/>
        <v>100.38532904016149</v>
      </c>
      <c r="H145" s="24">
        <f t="shared" si="7"/>
        <v>3072.0404016149419</v>
      </c>
      <c r="I145" s="20">
        <f t="shared" si="2"/>
        <v>15377.194486660324</v>
      </c>
      <c r="J145" s="17">
        <f t="shared" si="8"/>
        <v>1.5377194486660326</v>
      </c>
    </row>
    <row r="146" spans="1:10" ht="12" customHeight="1" x14ac:dyDescent="0.3">
      <c r="A146" s="1">
        <f t="shared" si="3"/>
        <v>43721</v>
      </c>
      <c r="B146" s="20">
        <v>892.85714285714278</v>
      </c>
      <c r="C146" s="20">
        <f t="shared" si="4"/>
        <v>12373.8354037267</v>
      </c>
      <c r="D146" s="21" t="str">
        <f t="shared" si="0"/>
        <v>190913</v>
      </c>
      <c r="E146" s="22">
        <f t="shared" si="5"/>
        <v>2.229934235616422</v>
      </c>
      <c r="F146" s="9">
        <f t="shared" si="6"/>
        <v>-1.2564712328767124E-3</v>
      </c>
      <c r="G146" s="14">
        <f t="shared" si="1"/>
        <v>100.38638183363831</v>
      </c>
      <c r="H146" s="24">
        <f t="shared" si="7"/>
        <v>3082.5683363831049</v>
      </c>
      <c r="I146" s="20">
        <f t="shared" si="2"/>
        <v>15456.403740109805</v>
      </c>
      <c r="J146" s="17">
        <f t="shared" si="8"/>
        <v>1.5456403740109805</v>
      </c>
    </row>
    <row r="147" spans="1:10" ht="12" customHeight="1" x14ac:dyDescent="0.3">
      <c r="A147" s="1">
        <f t="shared" si="3"/>
        <v>43724</v>
      </c>
      <c r="B147" s="20">
        <v>1098.901098901099</v>
      </c>
      <c r="C147" s="20">
        <f t="shared" si="4"/>
        <v>12579.879359770655</v>
      </c>
      <c r="D147" s="21" t="str">
        <f t="shared" si="0"/>
        <v>190916</v>
      </c>
      <c r="E147" s="22">
        <f t="shared" si="5"/>
        <v>2.2286777643835451</v>
      </c>
      <c r="F147" s="9">
        <f t="shared" si="6"/>
        <v>-3.7694136986301374E-3</v>
      </c>
      <c r="G147" s="14">
        <f t="shared" si="1"/>
        <v>100.38591295167662</v>
      </c>
      <c r="H147" s="24">
        <f t="shared" si="7"/>
        <v>3077.8795167661597</v>
      </c>
      <c r="I147" s="20">
        <f t="shared" si="2"/>
        <v>15657.758876536815</v>
      </c>
      <c r="J147" s="17">
        <f t="shared" si="8"/>
        <v>1.5657758876536816</v>
      </c>
    </row>
    <row r="148" spans="1:10" ht="12" customHeight="1" x14ac:dyDescent="0.3">
      <c r="A148" s="1">
        <f t="shared" si="3"/>
        <v>43725</v>
      </c>
      <c r="B148" s="20">
        <v>1167.5824175824175</v>
      </c>
      <c r="C148" s="20">
        <f t="shared" si="4"/>
        <v>12648.560678451973</v>
      </c>
      <c r="D148" s="21" t="str">
        <f t="shared" si="0"/>
        <v>190917</v>
      </c>
      <c r="E148" s="22">
        <f t="shared" si="5"/>
        <v>2.224908350684915</v>
      </c>
      <c r="F148" s="9">
        <f t="shared" si="6"/>
        <v>-1.2564712328767124E-3</v>
      </c>
      <c r="G148" s="14">
        <f t="shared" si="1"/>
        <v>100.39053010228116</v>
      </c>
      <c r="H148" s="24">
        <f t="shared" si="7"/>
        <v>3124.0510228116136</v>
      </c>
      <c r="I148" s="20">
        <f t="shared" si="2"/>
        <v>15772.611701263588</v>
      </c>
      <c r="J148" s="17">
        <f t="shared" si="8"/>
        <v>1.5772611701263588</v>
      </c>
    </row>
    <row r="149" spans="1:10" ht="12" customHeight="1" x14ac:dyDescent="0.3">
      <c r="A149" s="1">
        <f t="shared" si="3"/>
        <v>43726</v>
      </c>
      <c r="B149" s="20">
        <v>1236.2637362637363</v>
      </c>
      <c r="C149" s="20">
        <f t="shared" si="4"/>
        <v>12717.241997133293</v>
      </c>
      <c r="D149" s="21" t="str">
        <f t="shared" si="0"/>
        <v>190918</v>
      </c>
      <c r="E149" s="22">
        <f t="shared" si="5"/>
        <v>2.2236518794520381</v>
      </c>
      <c r="F149" s="9">
        <f t="shared" si="6"/>
        <v>-1.2564712328767124E-3</v>
      </c>
      <c r="G149" s="14">
        <f t="shared" si="1"/>
        <v>100.39155143480343</v>
      </c>
      <c r="H149" s="24">
        <f t="shared" si="7"/>
        <v>3134.2643480343213</v>
      </c>
      <c r="I149" s="20">
        <f t="shared" si="2"/>
        <v>15851.506345167614</v>
      </c>
      <c r="J149" s="17">
        <f t="shared" si="8"/>
        <v>1.5851506345167614</v>
      </c>
    </row>
    <row r="150" spans="1:10" ht="12" customHeight="1" x14ac:dyDescent="0.3">
      <c r="A150" s="1">
        <f t="shared" si="3"/>
        <v>43727</v>
      </c>
      <c r="B150" s="20">
        <v>1304.9450549450551</v>
      </c>
      <c r="C150" s="20">
        <f t="shared" si="4"/>
        <v>12785.923315814613</v>
      </c>
      <c r="D150" s="21" t="str">
        <f t="shared" si="0"/>
        <v>190919</v>
      </c>
      <c r="E150" s="22">
        <f t="shared" si="5"/>
        <v>2.2223954082191613</v>
      </c>
      <c r="F150" s="9">
        <f t="shared" si="6"/>
        <v>-1.2564712328767124E-3</v>
      </c>
      <c r="G150" s="14">
        <f t="shared" si="1"/>
        <v>100.39256647014548</v>
      </c>
      <c r="H150" s="24">
        <f t="shared" si="7"/>
        <v>3144.4147014548203</v>
      </c>
      <c r="I150" s="20">
        <f t="shared" si="2"/>
        <v>15930.338017269432</v>
      </c>
      <c r="J150" s="17">
        <f t="shared" si="8"/>
        <v>1.5930338017269432</v>
      </c>
    </row>
    <row r="151" spans="1:10" ht="12" customHeight="1" x14ac:dyDescent="0.3">
      <c r="A151" s="1">
        <f t="shared" si="3"/>
        <v>43728</v>
      </c>
      <c r="B151" s="20">
        <v>1373.6263736263738</v>
      </c>
      <c r="C151" s="20">
        <f t="shared" si="4"/>
        <v>12854.604634495932</v>
      </c>
      <c r="D151" s="21" t="str">
        <f t="shared" si="0"/>
        <v>190920</v>
      </c>
      <c r="E151" s="22">
        <f t="shared" si="5"/>
        <v>2.2211389369862844</v>
      </c>
      <c r="F151" s="9">
        <f t="shared" si="6"/>
        <v>-1.2564712328767124E-3</v>
      </c>
      <c r="G151" s="14">
        <f t="shared" si="1"/>
        <v>100.39357520664689</v>
      </c>
      <c r="H151" s="24">
        <f t="shared" si="7"/>
        <v>3154.502066468865</v>
      </c>
      <c r="I151" s="20">
        <f t="shared" si="2"/>
        <v>16009.106700964798</v>
      </c>
      <c r="J151" s="17">
        <f t="shared" si="8"/>
        <v>1.6009106700964799</v>
      </c>
    </row>
    <row r="152" spans="1:10" ht="12" customHeight="1" x14ac:dyDescent="0.3">
      <c r="A152" s="1">
        <f t="shared" si="3"/>
        <v>43731</v>
      </c>
      <c r="B152" s="20">
        <v>1579.6703296703295</v>
      </c>
      <c r="C152" s="20">
        <f t="shared" si="4"/>
        <v>13060.648590539888</v>
      </c>
      <c r="D152" s="21" t="str">
        <f t="shared" si="0"/>
        <v>190923</v>
      </c>
      <c r="E152" s="22">
        <f t="shared" si="5"/>
        <v>2.2198824657534075</v>
      </c>
      <c r="F152" s="9">
        <f t="shared" si="6"/>
        <v>-3.7694136986301374E-3</v>
      </c>
      <c r="G152" s="14">
        <f t="shared" si="1"/>
        <v>100.39302052985832</v>
      </c>
      <c r="H152" s="24">
        <f t="shared" si="7"/>
        <v>3148.9552985831892</v>
      </c>
      <c r="I152" s="20">
        <f t="shared" si="2"/>
        <v>16209.603889123076</v>
      </c>
      <c r="J152" s="17">
        <f t="shared" si="8"/>
        <v>1.6209603889123076</v>
      </c>
    </row>
    <row r="153" spans="1:10" ht="12" customHeight="1" x14ac:dyDescent="0.3">
      <c r="A153" s="1">
        <f t="shared" si="3"/>
        <v>43732</v>
      </c>
      <c r="B153" s="20">
        <v>1648.3516483516482</v>
      </c>
      <c r="C153" s="20">
        <f t="shared" si="4"/>
        <v>13129.329909221207</v>
      </c>
      <c r="D153" s="21" t="str">
        <f t="shared" si="0"/>
        <v>190924</v>
      </c>
      <c r="E153" s="22">
        <f t="shared" si="5"/>
        <v>2.2161130520547774</v>
      </c>
      <c r="F153" s="9">
        <f t="shared" si="6"/>
        <v>-1.2564712328767124E-3</v>
      </c>
      <c r="G153" s="14">
        <f t="shared" si="1"/>
        <v>100.39754713107754</v>
      </c>
      <c r="H153" s="24">
        <f t="shared" si="7"/>
        <v>3194.2213107754469</v>
      </c>
      <c r="I153" s="20">
        <f t="shared" si="2"/>
        <v>16323.551219996654</v>
      </c>
      <c r="J153" s="17">
        <f t="shared" si="8"/>
        <v>1.6323551219996655</v>
      </c>
    </row>
    <row r="154" spans="1:10" ht="12" customHeight="1" x14ac:dyDescent="0.3">
      <c r="A154" s="1">
        <f t="shared" si="3"/>
        <v>43733</v>
      </c>
      <c r="B154" s="20">
        <v>1717.0329670329672</v>
      </c>
      <c r="C154" s="20">
        <f t="shared" si="4"/>
        <v>13198.011227902527</v>
      </c>
      <c r="D154" s="21" t="str">
        <f t="shared" si="0"/>
        <v>190925</v>
      </c>
      <c r="E154" s="22">
        <f t="shared" si="5"/>
        <v>2.2148565808219005</v>
      </c>
      <c r="F154" s="9">
        <f t="shared" si="6"/>
        <v>-1.2564712328767124E-3</v>
      </c>
      <c r="G154" s="14">
        <f t="shared" si="1"/>
        <v>100.3985243485096</v>
      </c>
      <c r="H154" s="24">
        <f t="shared" si="7"/>
        <v>3203.9934850959635</v>
      </c>
      <c r="I154" s="20">
        <f t="shared" si="2"/>
        <v>16402.004712998489</v>
      </c>
      <c r="J154" s="17">
        <f t="shared" si="8"/>
        <v>1.6402004712998488</v>
      </c>
    </row>
    <row r="155" spans="1:10" ht="12" customHeight="1" x14ac:dyDescent="0.3">
      <c r="A155" s="1">
        <f t="shared" si="3"/>
        <v>43734</v>
      </c>
      <c r="B155" s="20">
        <v>1785.7142857142856</v>
      </c>
      <c r="C155" s="20">
        <f t="shared" si="4"/>
        <v>13266.692546583845</v>
      </c>
      <c r="D155" s="21" t="str">
        <f t="shared" si="0"/>
        <v>190926</v>
      </c>
      <c r="E155" s="22">
        <f t="shared" si="5"/>
        <v>2.2136001095890236</v>
      </c>
      <c r="F155" s="9">
        <f t="shared" si="6"/>
        <v>-1.2564712328767124E-3</v>
      </c>
      <c r="G155" s="14">
        <f t="shared" si="1"/>
        <v>100.39949525716267</v>
      </c>
      <c r="H155" s="24">
        <f t="shared" si="7"/>
        <v>3213.7025716266971</v>
      </c>
      <c r="I155" s="20">
        <f t="shared" si="2"/>
        <v>16480.395118210541</v>
      </c>
      <c r="J155" s="17">
        <f t="shared" si="8"/>
        <v>1.648039511821054</v>
      </c>
    </row>
    <row r="156" spans="1:10" ht="12" customHeight="1" x14ac:dyDescent="0.3">
      <c r="A156" s="1">
        <f t="shared" si="3"/>
        <v>43735</v>
      </c>
      <c r="B156" s="20">
        <v>1854.3956043956046</v>
      </c>
      <c r="C156" s="20">
        <f t="shared" si="4"/>
        <v>13335.373865265165</v>
      </c>
      <c r="D156" s="21" t="str">
        <f t="shared" si="0"/>
        <v>190927</v>
      </c>
      <c r="E156" s="22">
        <f t="shared" si="5"/>
        <v>2.2123436383561468</v>
      </c>
      <c r="F156" s="9">
        <f t="shared" si="6"/>
        <v>-1.2564712328767124E-3</v>
      </c>
      <c r="G156" s="14">
        <f t="shared" si="1"/>
        <v>100.40045985538445</v>
      </c>
      <c r="H156" s="24">
        <f t="shared" si="7"/>
        <v>3223.3485538445448</v>
      </c>
      <c r="I156" s="20">
        <f t="shared" si="2"/>
        <v>16558.722419109708</v>
      </c>
      <c r="J156" s="17">
        <f t="shared" si="8"/>
        <v>1.655872241910971</v>
      </c>
    </row>
    <row r="157" spans="1:10" ht="12" customHeight="1" x14ac:dyDescent="0.3">
      <c r="A157" s="1">
        <f t="shared" si="3"/>
        <v>43738</v>
      </c>
      <c r="B157" s="20">
        <v>2060.4395604395604</v>
      </c>
      <c r="C157" s="20">
        <f t="shared" si="4"/>
        <v>13541.41782130912</v>
      </c>
      <c r="D157" s="21" t="str">
        <f t="shared" si="0"/>
        <v>190930</v>
      </c>
      <c r="E157" s="22">
        <f t="shared" si="5"/>
        <v>2.2110871671232699</v>
      </c>
      <c r="F157" s="9">
        <f t="shared" si="6"/>
        <v>-3.7694136986301374E-3</v>
      </c>
      <c r="G157" s="14">
        <f t="shared" si="1"/>
        <v>100.39981920880362</v>
      </c>
      <c r="H157" s="24">
        <f t="shared" si="7"/>
        <v>3216.9420880362054</v>
      </c>
      <c r="I157" s="20">
        <f t="shared" si="2"/>
        <v>16758.359909345327</v>
      </c>
      <c r="J157" s="17">
        <f t="shared" si="8"/>
        <v>1.6758359909345326</v>
      </c>
    </row>
    <row r="158" spans="1:10" ht="12" customHeight="1" x14ac:dyDescent="0.3">
      <c r="A158" s="1">
        <f t="shared" si="3"/>
        <v>43739</v>
      </c>
      <c r="B158" s="20">
        <v>2129.1208791208792</v>
      </c>
      <c r="C158" s="20">
        <f t="shared" si="4"/>
        <v>13610.099139990438</v>
      </c>
      <c r="D158" s="21" t="str">
        <f t="shared" si="0"/>
        <v>191001</v>
      </c>
      <c r="E158" s="22">
        <f t="shared" si="5"/>
        <v>2.2073177534246398</v>
      </c>
      <c r="F158" s="9">
        <f t="shared" si="6"/>
        <v>-1.2564712328767124E-3</v>
      </c>
      <c r="G158" s="14">
        <f t="shared" si="1"/>
        <v>100.40425511095259</v>
      </c>
      <c r="H158" s="24">
        <f t="shared" si="7"/>
        <v>3261.3011095259026</v>
      </c>
      <c r="I158" s="20">
        <f t="shared" si="2"/>
        <v>16871.40024951634</v>
      </c>
      <c r="J158" s="17">
        <f t="shared" si="8"/>
        <v>1.687140024951634</v>
      </c>
    </row>
    <row r="159" spans="1:10" ht="12" customHeight="1" x14ac:dyDescent="0.3">
      <c r="A159" s="1">
        <f t="shared" si="3"/>
        <v>43740</v>
      </c>
      <c r="B159" s="20">
        <v>2197.802197802198</v>
      </c>
      <c r="C159" s="20">
        <f t="shared" si="4"/>
        <v>13678.780458671758</v>
      </c>
      <c r="D159" s="21" t="str">
        <f t="shared" si="0"/>
        <v>191002</v>
      </c>
      <c r="E159" s="22">
        <f t="shared" si="5"/>
        <v>2.2060612821917629</v>
      </c>
      <c r="F159" s="9">
        <f t="shared" si="6"/>
        <v>-1.2564712328767124E-3</v>
      </c>
      <c r="G159" s="14">
        <f t="shared" si="1"/>
        <v>100.40518813227342</v>
      </c>
      <c r="H159" s="24">
        <f t="shared" si="7"/>
        <v>3270.6313227342321</v>
      </c>
      <c r="I159" s="20">
        <f t="shared" si="2"/>
        <v>16949.41178140599</v>
      </c>
      <c r="J159" s="17">
        <f t="shared" si="8"/>
        <v>1.694941178140599</v>
      </c>
    </row>
    <row r="160" spans="1:10" ht="12" customHeight="1" x14ac:dyDescent="0.3">
      <c r="A160" s="1">
        <f t="shared" si="3"/>
        <v>43741</v>
      </c>
      <c r="B160" s="20">
        <v>2266.4835164835163</v>
      </c>
      <c r="C160" s="20">
        <f t="shared" si="4"/>
        <v>13747.461777353075</v>
      </c>
      <c r="D160" s="21" t="str">
        <f t="shared" si="0"/>
        <v>191003</v>
      </c>
      <c r="E160" s="22">
        <f t="shared" si="5"/>
        <v>2.204804810958886</v>
      </c>
      <c r="F160" s="9">
        <f t="shared" si="6"/>
        <v>-1.2564712328767124E-3</v>
      </c>
      <c r="G160" s="14">
        <f t="shared" si="1"/>
        <v>100.40611483327339</v>
      </c>
      <c r="H160" s="24">
        <f t="shared" si="7"/>
        <v>3279.8983327339215</v>
      </c>
      <c r="I160" s="20">
        <f t="shared" si="2"/>
        <v>17027.360110086996</v>
      </c>
      <c r="J160" s="17">
        <f t="shared" si="8"/>
        <v>1.7027360110086998</v>
      </c>
    </row>
    <row r="161" spans="1:10" ht="12" customHeight="1" x14ac:dyDescent="0.3">
      <c r="A161" s="1">
        <f t="shared" si="3"/>
        <v>43742</v>
      </c>
      <c r="B161" s="20">
        <v>2335.164835164835</v>
      </c>
      <c r="C161" s="20">
        <f t="shared" si="4"/>
        <v>13816.143096034393</v>
      </c>
      <c r="D161" s="21" t="str">
        <f t="shared" si="0"/>
        <v>191004</v>
      </c>
      <c r="E161" s="22">
        <f t="shared" si="5"/>
        <v>2.2035483397260092</v>
      </c>
      <c r="F161" s="9">
        <f t="shared" si="6"/>
        <v>-1.2564712328767124E-3</v>
      </c>
      <c r="G161" s="14">
        <f t="shared" si="1"/>
        <v>100.40703521230823</v>
      </c>
      <c r="H161" s="24">
        <f t="shared" si="7"/>
        <v>3289.1021230823017</v>
      </c>
      <c r="I161" s="20">
        <f t="shared" si="2"/>
        <v>17105.245219116696</v>
      </c>
      <c r="J161" s="17">
        <f t="shared" si="8"/>
        <v>1.7105245219116696</v>
      </c>
    </row>
    <row r="162" spans="1:10" ht="12" customHeight="1" x14ac:dyDescent="0.3">
      <c r="A162" s="1">
        <f t="shared" si="3"/>
        <v>43745</v>
      </c>
      <c r="B162" s="20">
        <v>2541.2087912087909</v>
      </c>
      <c r="C162" s="20">
        <f t="shared" si="4"/>
        <v>14022.187052078349</v>
      </c>
      <c r="D162" s="21" t="str">
        <f t="shared" si="0"/>
        <v>191007</v>
      </c>
      <c r="E162" s="22">
        <f t="shared" si="5"/>
        <v>2.2022918684931323</v>
      </c>
      <c r="F162" s="9">
        <f t="shared" si="6"/>
        <v>-3.7694136986301374E-3</v>
      </c>
      <c r="G162" s="14">
        <f t="shared" si="1"/>
        <v>100.40630842174174</v>
      </c>
      <c r="H162" s="24">
        <f t="shared" si="7"/>
        <v>3281.8342174174118</v>
      </c>
      <c r="I162" s="20">
        <f t="shared" si="2"/>
        <v>17304.021269495759</v>
      </c>
      <c r="J162" s="17">
        <f t="shared" si="8"/>
        <v>1.7304021269495757</v>
      </c>
    </row>
    <row r="163" spans="1:10" ht="12" customHeight="1" x14ac:dyDescent="0.3">
      <c r="A163" s="1">
        <f t="shared" si="3"/>
        <v>43746</v>
      </c>
      <c r="B163" s="20">
        <v>2609.8901098901101</v>
      </c>
      <c r="C163" s="20">
        <f t="shared" si="4"/>
        <v>14090.868370759668</v>
      </c>
      <c r="D163" s="21" t="str">
        <f t="shared" si="0"/>
        <v>191008</v>
      </c>
      <c r="E163" s="22">
        <f t="shared" si="5"/>
        <v>2.1985224547945021</v>
      </c>
      <c r="F163" s="9">
        <f t="shared" si="6"/>
        <v>-1.2564712328767124E-3</v>
      </c>
      <c r="G163" s="14">
        <f t="shared" si="1"/>
        <v>100.41065347595267</v>
      </c>
      <c r="H163" s="24">
        <f t="shared" si="7"/>
        <v>3325.2847595267099</v>
      </c>
      <c r="I163" s="20">
        <f t="shared" si="2"/>
        <v>17416.153130286377</v>
      </c>
      <c r="J163" s="17">
        <f t="shared" si="8"/>
        <v>1.7416153130286376</v>
      </c>
    </row>
    <row r="164" spans="1:10" ht="12" customHeight="1" x14ac:dyDescent="0.3">
      <c r="A164" s="1">
        <f t="shared" si="3"/>
        <v>43747</v>
      </c>
      <c r="B164" s="20">
        <v>2678.5714285714284</v>
      </c>
      <c r="C164" s="20">
        <f t="shared" si="4"/>
        <v>14159.549689440986</v>
      </c>
      <c r="D164" s="21" t="str">
        <f t="shared" si="0"/>
        <v>191009</v>
      </c>
      <c r="E164" s="22">
        <f t="shared" si="5"/>
        <v>2.1972659835616253</v>
      </c>
      <c r="F164" s="9">
        <f t="shared" si="6"/>
        <v>-1.2564712328767124E-3</v>
      </c>
      <c r="G164" s="14">
        <f t="shared" si="1"/>
        <v>100.41154222053937</v>
      </c>
      <c r="H164" s="24">
        <f t="shared" si="7"/>
        <v>3334.1722053937415</v>
      </c>
      <c r="I164" s="20">
        <f t="shared" si="2"/>
        <v>17493.721894834729</v>
      </c>
      <c r="J164" s="17">
        <f t="shared" si="8"/>
        <v>1.7493721894834728</v>
      </c>
    </row>
    <row r="165" spans="1:10" ht="12" customHeight="1" x14ac:dyDescent="0.3">
      <c r="A165" s="1">
        <f t="shared" si="3"/>
        <v>43748</v>
      </c>
      <c r="B165" s="20">
        <v>2747.2527472527477</v>
      </c>
      <c r="C165" s="20">
        <f t="shared" si="4"/>
        <v>14228.231008122306</v>
      </c>
      <c r="D165" s="21" t="str">
        <f t="shared" si="0"/>
        <v>191010</v>
      </c>
      <c r="E165" s="22">
        <f t="shared" si="5"/>
        <v>2.1960095123287484</v>
      </c>
      <c r="F165" s="9">
        <f t="shared" si="6"/>
        <v>-1.2564712328767124E-3</v>
      </c>
      <c r="G165" s="14">
        <f t="shared" si="1"/>
        <v>100.41242463332013</v>
      </c>
      <c r="H165" s="24">
        <f t="shared" si="7"/>
        <v>3342.9963332012849</v>
      </c>
      <c r="I165" s="20">
        <f t="shared" si="2"/>
        <v>17571.227341323589</v>
      </c>
      <c r="J165" s="17">
        <f t="shared" si="8"/>
        <v>1.757122734132359</v>
      </c>
    </row>
    <row r="166" spans="1:10" ht="12" customHeight="1" x14ac:dyDescent="0.3">
      <c r="A166" s="1">
        <f t="shared" si="3"/>
        <v>43749</v>
      </c>
      <c r="B166" s="20">
        <v>2815.9340659340655</v>
      </c>
      <c r="C166" s="20">
        <f t="shared" si="4"/>
        <v>14296.912326803624</v>
      </c>
      <c r="D166" s="21" t="str">
        <f t="shared" si="0"/>
        <v>191011</v>
      </c>
      <c r="E166" s="22">
        <f t="shared" si="5"/>
        <v>2.1947530410958715</v>
      </c>
      <c r="F166" s="9">
        <f t="shared" si="6"/>
        <v>-1.2564712328767124E-3</v>
      </c>
      <c r="G166" s="14">
        <f t="shared" si="1"/>
        <v>100.41330071265885</v>
      </c>
      <c r="H166" s="24">
        <f t="shared" si="7"/>
        <v>3351.757126588524</v>
      </c>
      <c r="I166" s="20">
        <f t="shared" si="2"/>
        <v>17648.669453392147</v>
      </c>
      <c r="J166" s="17">
        <f t="shared" si="8"/>
        <v>1.764866945339215</v>
      </c>
    </row>
    <row r="167" spans="1:10" ht="12" customHeight="1" x14ac:dyDescent="0.3">
      <c r="A167" s="1">
        <f t="shared" si="3"/>
        <v>43752</v>
      </c>
      <c r="B167" s="20">
        <v>3021.9780219780218</v>
      </c>
      <c r="C167" s="20">
        <f t="shared" si="4"/>
        <v>14502.956282847579</v>
      </c>
      <c r="D167" s="21" t="str">
        <f t="shared" si="0"/>
        <v>191014</v>
      </c>
      <c r="E167" s="22">
        <f t="shared" si="5"/>
        <v>2.1934965698629947</v>
      </c>
      <c r="F167" s="9">
        <f t="shared" si="6"/>
        <v>-3.7694136986301374E-3</v>
      </c>
      <c r="G167" s="14">
        <f t="shared" si="1"/>
        <v>100.41248760468841</v>
      </c>
      <c r="H167" s="24">
        <f t="shared" si="7"/>
        <v>3343.6260468840828</v>
      </c>
      <c r="I167" s="20">
        <f t="shared" si="2"/>
        <v>17846.58232973166</v>
      </c>
      <c r="J167" s="17">
        <f t="shared" si="8"/>
        <v>1.7846582329731662</v>
      </c>
    </row>
    <row r="168" spans="1:10" ht="12" customHeight="1" x14ac:dyDescent="0.3">
      <c r="A168" s="1">
        <f t="shared" si="3"/>
        <v>43753</v>
      </c>
      <c r="B168" s="20">
        <v>3090.6593406593411</v>
      </c>
      <c r="C168" s="20">
        <f t="shared" si="4"/>
        <v>14571.637601528899</v>
      </c>
      <c r="D168" s="21" t="str">
        <f t="shared" si="0"/>
        <v>191015</v>
      </c>
      <c r="E168" s="22">
        <f t="shared" si="5"/>
        <v>2.1897271561643645</v>
      </c>
      <c r="F168" s="9">
        <f t="shared" si="6"/>
        <v>-1.2564712328767124E-3</v>
      </c>
      <c r="G168" s="14">
        <f t="shared" si="1"/>
        <v>100.41674166291327</v>
      </c>
      <c r="H168" s="24">
        <f t="shared" si="7"/>
        <v>3386.1666291326746</v>
      </c>
      <c r="I168" s="20">
        <f t="shared" si="2"/>
        <v>17957.804230661575</v>
      </c>
      <c r="J168" s="17">
        <f t="shared" si="8"/>
        <v>1.7957804230661574</v>
      </c>
    </row>
    <row r="169" spans="1:10" ht="12" customHeight="1" x14ac:dyDescent="0.3">
      <c r="A169" s="1">
        <f t="shared" si="3"/>
        <v>43754</v>
      </c>
      <c r="B169" s="20">
        <v>3159.3406593406589</v>
      </c>
      <c r="C169" s="20">
        <f t="shared" si="4"/>
        <v>14640.318920210217</v>
      </c>
      <c r="D169" s="21" t="str">
        <f t="shared" si="0"/>
        <v>191016</v>
      </c>
      <c r="E169" s="22">
        <f t="shared" si="5"/>
        <v>2.1884706849314877</v>
      </c>
      <c r="F169" s="9">
        <f t="shared" si="6"/>
        <v>-1.2564712328767124E-3</v>
      </c>
      <c r="G169" s="14">
        <f t="shared" si="1"/>
        <v>100.41758605054184</v>
      </c>
      <c r="H169" s="24">
        <f t="shared" si="7"/>
        <v>3394.6105054184272</v>
      </c>
      <c r="I169" s="20">
        <f t="shared" si="2"/>
        <v>18034.929425628645</v>
      </c>
      <c r="J169" s="17">
        <f t="shared" si="8"/>
        <v>1.8034929425628645</v>
      </c>
    </row>
    <row r="170" spans="1:10" ht="12" customHeight="1" x14ac:dyDescent="0.3">
      <c r="A170" s="1">
        <f t="shared" si="3"/>
        <v>43755</v>
      </c>
      <c r="B170" s="20">
        <v>3228.0219780219782</v>
      </c>
      <c r="C170" s="20">
        <f t="shared" si="4"/>
        <v>14709.000238891536</v>
      </c>
      <c r="D170" s="21" t="str">
        <f t="shared" si="0"/>
        <v>191017</v>
      </c>
      <c r="E170" s="22">
        <f t="shared" si="5"/>
        <v>2.1872142136986108</v>
      </c>
      <c r="F170" s="9">
        <f t="shared" si="6"/>
        <v>-1.2564712328767124E-3</v>
      </c>
      <c r="G170" s="14">
        <f t="shared" si="1"/>
        <v>100.41842409493663</v>
      </c>
      <c r="H170" s="24">
        <f t="shared" si="7"/>
        <v>3402.9909493662558</v>
      </c>
      <c r="I170" s="20">
        <f t="shared" si="2"/>
        <v>18111.991188257791</v>
      </c>
      <c r="J170" s="17">
        <f t="shared" si="8"/>
        <v>1.8111991188257792</v>
      </c>
    </row>
    <row r="171" spans="1:10" ht="12" customHeight="1" x14ac:dyDescent="0.3">
      <c r="A171" s="1">
        <f t="shared" si="3"/>
        <v>43756</v>
      </c>
      <c r="B171" s="20">
        <v>3296.7032967032965</v>
      </c>
      <c r="C171" s="20">
        <f t="shared" si="4"/>
        <v>14777.681557572854</v>
      </c>
      <c r="D171" s="21" t="str">
        <f t="shared" si="0"/>
        <v>191018</v>
      </c>
      <c r="E171" s="22">
        <f t="shared" si="5"/>
        <v>2.1859577424657339</v>
      </c>
      <c r="F171" s="9">
        <f t="shared" si="6"/>
        <v>-1.2564712328767124E-3</v>
      </c>
      <c r="G171" s="14">
        <f t="shared" si="1"/>
        <v>100.41925579446966</v>
      </c>
      <c r="H171" s="24">
        <f t="shared" si="7"/>
        <v>3411.3079446966312</v>
      </c>
      <c r="I171" s="20">
        <f t="shared" si="2"/>
        <v>18188.989502269484</v>
      </c>
      <c r="J171" s="17">
        <f t="shared" si="8"/>
        <v>1.8188989502269481</v>
      </c>
    </row>
    <row r="172" spans="1:10" ht="12" customHeight="1" x14ac:dyDescent="0.3">
      <c r="A172" s="1">
        <f t="shared" si="3"/>
        <v>43759</v>
      </c>
      <c r="B172" s="20">
        <v>3502.7472527472523</v>
      </c>
      <c r="C172" s="20">
        <f t="shared" si="4"/>
        <v>14983.72551361681</v>
      </c>
      <c r="D172" s="21" t="str">
        <f t="shared" si="0"/>
        <v>191021</v>
      </c>
      <c r="E172" s="22">
        <f t="shared" si="5"/>
        <v>2.1847012712328571</v>
      </c>
      <c r="F172" s="9">
        <f t="shared" si="6"/>
        <v>-3.7694136986301374E-3</v>
      </c>
      <c r="G172" s="14">
        <f t="shared" si="1"/>
        <v>100.41835619645475</v>
      </c>
      <c r="H172" s="24">
        <f t="shared" si="7"/>
        <v>3402.3119645475217</v>
      </c>
      <c r="I172" s="20">
        <f t="shared" si="2"/>
        <v>18386.037478164333</v>
      </c>
      <c r="J172" s="17">
        <f t="shared" si="8"/>
        <v>1.8386037478164332</v>
      </c>
    </row>
    <row r="173" spans="1:10" ht="12" customHeight="1" x14ac:dyDescent="0.3">
      <c r="A173" s="1">
        <f t="shared" si="3"/>
        <v>43760</v>
      </c>
      <c r="B173" s="20">
        <v>3571.4285714285711</v>
      </c>
      <c r="C173" s="20">
        <f t="shared" si="4"/>
        <v>15052.406832298129</v>
      </c>
      <c r="D173" s="21" t="str">
        <f t="shared" si="0"/>
        <v>191022</v>
      </c>
      <c r="E173" s="22">
        <f t="shared" si="5"/>
        <v>2.1809318575342269</v>
      </c>
      <c r="F173" s="9">
        <f t="shared" si="6"/>
        <v>-1.2564712328767124E-3</v>
      </c>
      <c r="G173" s="14">
        <f t="shared" si="1"/>
        <v>100.42251911146792</v>
      </c>
      <c r="H173" s="24">
        <f t="shared" si="7"/>
        <v>3443.9411146792054</v>
      </c>
      <c r="I173" s="20">
        <f t="shared" si="2"/>
        <v>18496.347946977334</v>
      </c>
      <c r="J173" s="17">
        <f t="shared" si="8"/>
        <v>1.8496347946977334</v>
      </c>
    </row>
    <row r="174" spans="1:10" ht="12" customHeight="1" x14ac:dyDescent="0.3">
      <c r="A174" s="1">
        <f t="shared" si="3"/>
        <v>43761</v>
      </c>
      <c r="B174" s="20">
        <v>3640.1098901098903</v>
      </c>
      <c r="C174" s="20">
        <f t="shared" si="4"/>
        <v>15121.088150979449</v>
      </c>
      <c r="D174" s="21" t="str">
        <f t="shared" si="0"/>
        <v>191023</v>
      </c>
      <c r="E174" s="22">
        <f t="shared" si="5"/>
        <v>2.17967538630135</v>
      </c>
      <c r="F174" s="9">
        <f t="shared" si="6"/>
        <v>-1.2564712328767124E-3</v>
      </c>
      <c r="G174" s="14">
        <f t="shared" si="1"/>
        <v>100.42331906231512</v>
      </c>
      <c r="H174" s="24">
        <f t="shared" si="7"/>
        <v>3451.9406231511593</v>
      </c>
      <c r="I174" s="20">
        <f t="shared" si="2"/>
        <v>18573.028774130609</v>
      </c>
      <c r="J174" s="17">
        <f t="shared" si="8"/>
        <v>1.8573028774130609</v>
      </c>
    </row>
    <row r="175" spans="1:10" ht="12" customHeight="1" x14ac:dyDescent="0.3">
      <c r="A175" s="1">
        <f t="shared" si="3"/>
        <v>43762</v>
      </c>
      <c r="B175" s="20">
        <v>3708.7912087912091</v>
      </c>
      <c r="C175" s="20">
        <f t="shared" si="4"/>
        <v>15189.769469660769</v>
      </c>
      <c r="D175" s="21" t="str">
        <f t="shared" si="0"/>
        <v>191024</v>
      </c>
      <c r="E175" s="22">
        <f t="shared" si="5"/>
        <v>2.1784189150684732</v>
      </c>
      <c r="F175" s="9">
        <f t="shared" si="6"/>
        <v>-1.2564712328767124E-3</v>
      </c>
      <c r="G175" s="14">
        <f t="shared" si="1"/>
        <v>100.4241126585579</v>
      </c>
      <c r="H175" s="24">
        <f t="shared" si="7"/>
        <v>3459.8765855790248</v>
      </c>
      <c r="I175" s="20">
        <f t="shared" si="2"/>
        <v>18649.646055239795</v>
      </c>
      <c r="J175" s="17">
        <f t="shared" si="8"/>
        <v>1.8649646055239795</v>
      </c>
    </row>
    <row r="176" spans="1:10" ht="12" customHeight="1" x14ac:dyDescent="0.3">
      <c r="A176" s="1">
        <f t="shared" si="3"/>
        <v>43763</v>
      </c>
      <c r="B176" s="20">
        <v>3777.4725274725274</v>
      </c>
      <c r="C176" s="20">
        <f t="shared" si="4"/>
        <v>15258.450788342087</v>
      </c>
      <c r="D176" s="21" t="str">
        <f t="shared" si="0"/>
        <v>191025</v>
      </c>
      <c r="E176" s="22">
        <f t="shared" si="5"/>
        <v>2.1771624438355963</v>
      </c>
      <c r="F176" s="9">
        <f t="shared" si="6"/>
        <v>-1.2564712328767124E-3</v>
      </c>
      <c r="G176" s="14">
        <f t="shared" si="1"/>
        <v>100.42489989857661</v>
      </c>
      <c r="H176" s="24">
        <f t="shared" si="7"/>
        <v>3467.7489857661212</v>
      </c>
      <c r="I176" s="20">
        <f t="shared" si="2"/>
        <v>18726.199774108209</v>
      </c>
      <c r="J176" s="17">
        <f t="shared" si="8"/>
        <v>1.8726199774108208</v>
      </c>
    </row>
    <row r="177" spans="1:10" ht="12" customHeight="1" x14ac:dyDescent="0.3">
      <c r="A177" s="1">
        <f t="shared" si="3"/>
        <v>43766</v>
      </c>
      <c r="B177" s="20">
        <v>3983.5164835164828</v>
      </c>
      <c r="C177" s="20">
        <f t="shared" si="4"/>
        <v>15464.494744386042</v>
      </c>
      <c r="D177" s="21" t="str">
        <f t="shared" si="0"/>
        <v>191028</v>
      </c>
      <c r="E177" s="22">
        <f t="shared" si="5"/>
        <v>2.1759059726027195</v>
      </c>
      <c r="F177" s="9">
        <f t="shared" si="6"/>
        <v>-3.7694136986301374E-3</v>
      </c>
      <c r="G177" s="14">
        <f t="shared" si="1"/>
        <v>100.42391363865737</v>
      </c>
      <c r="H177" s="24">
        <f t="shared" si="7"/>
        <v>3457.8863865736762</v>
      </c>
      <c r="I177" s="20">
        <f t="shared" si="2"/>
        <v>18922.381130959719</v>
      </c>
      <c r="J177" s="17">
        <f t="shared" si="8"/>
        <v>1.8922381130959718</v>
      </c>
    </row>
    <row r="178" spans="1:10" ht="12" customHeight="1" x14ac:dyDescent="0.3">
      <c r="A178" s="1">
        <f t="shared" si="3"/>
        <v>43767</v>
      </c>
      <c r="B178" s="20">
        <v>4052.197802197802</v>
      </c>
      <c r="C178" s="20">
        <f t="shared" si="4"/>
        <v>15533.176063067362</v>
      </c>
      <c r="D178" s="21" t="str">
        <f t="shared" si="0"/>
        <v>191029</v>
      </c>
      <c r="E178" s="22">
        <f t="shared" si="5"/>
        <v>2.1721365589040893</v>
      </c>
      <c r="F178" s="9">
        <f t="shared" si="6"/>
        <v>-1.2564712328767124E-3</v>
      </c>
      <c r="G178" s="14">
        <f t="shared" si="1"/>
        <v>100.42798526405822</v>
      </c>
      <c r="H178" s="24">
        <f t="shared" si="7"/>
        <v>3498.6026405822199</v>
      </c>
      <c r="I178" s="20">
        <f t="shared" si="2"/>
        <v>19031.778703649583</v>
      </c>
      <c r="J178" s="17">
        <f t="shared" si="8"/>
        <v>1.9031778703649582</v>
      </c>
    </row>
    <row r="179" spans="1:10" ht="12" customHeight="1" x14ac:dyDescent="0.3">
      <c r="A179" s="1">
        <f t="shared" si="3"/>
        <v>43768</v>
      </c>
      <c r="B179" s="20">
        <v>4120.8791208791208</v>
      </c>
      <c r="C179" s="20">
        <f t="shared" si="4"/>
        <v>15601.857381748679</v>
      </c>
      <c r="D179" s="21" t="str">
        <f t="shared" si="0"/>
        <v>191030</v>
      </c>
      <c r="E179" s="22">
        <f t="shared" si="5"/>
        <v>2.1708800876712124</v>
      </c>
      <c r="F179" s="9">
        <f t="shared" si="6"/>
        <v>-1.2564712328767124E-3</v>
      </c>
      <c r="G179" s="14">
        <f t="shared" si="1"/>
        <v>100.42874069870244</v>
      </c>
      <c r="H179" s="24">
        <f t="shared" si="7"/>
        <v>3506.1569870244111</v>
      </c>
      <c r="I179" s="20">
        <f t="shared" si="2"/>
        <v>19108.014368773089</v>
      </c>
      <c r="J179" s="17">
        <f t="shared" si="8"/>
        <v>1.9108014368773087</v>
      </c>
    </row>
    <row r="180" spans="1:10" ht="12" customHeight="1" x14ac:dyDescent="0.3">
      <c r="A180" s="1">
        <f t="shared" si="3"/>
        <v>43769</v>
      </c>
      <c r="B180" s="20">
        <v>4189.5604395604387</v>
      </c>
      <c r="C180" s="20">
        <f t="shared" si="4"/>
        <v>15670.538700429997</v>
      </c>
      <c r="D180" s="21" t="str">
        <f t="shared" si="0"/>
        <v>191031</v>
      </c>
      <c r="E180" s="22">
        <f t="shared" si="5"/>
        <v>2.1696236164383356</v>
      </c>
      <c r="F180" s="9">
        <f t="shared" si="6"/>
        <v>-1.2564712328767124E-3</v>
      </c>
      <c r="G180" s="14">
        <f t="shared" si="1"/>
        <v>100.4294897674293</v>
      </c>
      <c r="H180" s="24">
        <f t="shared" si="7"/>
        <v>3513.6476742930258</v>
      </c>
      <c r="I180" s="20">
        <f t="shared" si="2"/>
        <v>19184.186374723024</v>
      </c>
      <c r="J180" s="17">
        <f t="shared" si="8"/>
        <v>1.9184186374723022</v>
      </c>
    </row>
    <row r="181" spans="1:10" ht="12" customHeight="1" x14ac:dyDescent="0.3">
      <c r="A181" s="1">
        <f t="shared" si="3"/>
        <v>43770</v>
      </c>
      <c r="B181" s="20">
        <v>4258.2417582417584</v>
      </c>
      <c r="C181" s="20">
        <f t="shared" si="4"/>
        <v>15739.220019111317</v>
      </c>
      <c r="D181" s="21" t="str">
        <f t="shared" si="0"/>
        <v>191101</v>
      </c>
      <c r="E181" s="22">
        <f t="shared" si="5"/>
        <v>2.1683671452054587</v>
      </c>
      <c r="F181" s="9">
        <f t="shared" si="6"/>
        <v>-1.2564712328767124E-3</v>
      </c>
      <c r="G181" s="14">
        <f t="shared" si="1"/>
        <v>100.43023246862727</v>
      </c>
      <c r="H181" s="24">
        <f t="shared" si="7"/>
        <v>3521.0746862726692</v>
      </c>
      <c r="I181" s="20">
        <f t="shared" si="2"/>
        <v>19260.294705383985</v>
      </c>
      <c r="J181" s="17">
        <f t="shared" si="8"/>
        <v>1.9260294705383985</v>
      </c>
    </row>
    <row r="182" spans="1:10" ht="12" customHeight="1" x14ac:dyDescent="0.3">
      <c r="A182" s="1">
        <f t="shared" si="3"/>
        <v>43773</v>
      </c>
      <c r="B182" s="20">
        <v>4464.2857142857147</v>
      </c>
      <c r="C182" s="20">
        <f t="shared" si="4"/>
        <v>15945.263975155274</v>
      </c>
      <c r="D182" s="21" t="str">
        <f t="shared" si="0"/>
        <v>191104</v>
      </c>
      <c r="E182" s="22">
        <f t="shared" si="5"/>
        <v>2.1671106739725818</v>
      </c>
      <c r="F182" s="9">
        <f t="shared" si="6"/>
        <v>-3.7694136986301374E-3</v>
      </c>
      <c r="G182" s="14">
        <f t="shared" si="1"/>
        <v>100.42915937572722</v>
      </c>
      <c r="H182" s="24">
        <f t="shared" si="7"/>
        <v>3510.3437572722387</v>
      </c>
      <c r="I182" s="20">
        <f t="shared" si="2"/>
        <v>19455.607732427514</v>
      </c>
      <c r="J182" s="17">
        <f t="shared" si="8"/>
        <v>1.9455607732427513</v>
      </c>
    </row>
    <row r="183" spans="1:10" ht="12" customHeight="1" x14ac:dyDescent="0.3">
      <c r="A183" s="1">
        <f t="shared" si="3"/>
        <v>43774</v>
      </c>
      <c r="B183" s="20">
        <v>4532.9670329670325</v>
      </c>
      <c r="C183" s="20">
        <f t="shared" si="4"/>
        <v>16013.945293836592</v>
      </c>
      <c r="D183" s="21" t="str">
        <f t="shared" si="0"/>
        <v>191105</v>
      </c>
      <c r="E183" s="22">
        <f t="shared" si="5"/>
        <v>2.1633412602739517</v>
      </c>
      <c r="F183" s="9">
        <f t="shared" si="6"/>
        <v>-1.2564712328767124E-3</v>
      </c>
      <c r="G183" s="14">
        <f t="shared" si="1"/>
        <v>100.43313956594274</v>
      </c>
      <c r="H183" s="24">
        <f t="shared" si="7"/>
        <v>3550.1456594273859</v>
      </c>
      <c r="I183" s="20">
        <f t="shared" si="2"/>
        <v>19564.090953263978</v>
      </c>
      <c r="J183" s="17">
        <f t="shared" si="8"/>
        <v>1.9564090953263977</v>
      </c>
    </row>
    <row r="184" spans="1:10" ht="12" customHeight="1" x14ac:dyDescent="0.3">
      <c r="A184" s="1">
        <f t="shared" si="3"/>
        <v>43775</v>
      </c>
      <c r="B184" s="20">
        <v>4601.6483516483522</v>
      </c>
      <c r="C184" s="20">
        <f t="shared" si="4"/>
        <v>16082.626612517912</v>
      </c>
      <c r="D184" s="21" t="str">
        <f t="shared" si="0"/>
        <v>191106</v>
      </c>
      <c r="E184" s="22">
        <f t="shared" si="5"/>
        <v>2.1620847890410748</v>
      </c>
      <c r="F184" s="9">
        <f t="shared" si="6"/>
        <v>-1.2564712328767124E-3</v>
      </c>
      <c r="G184" s="14">
        <f t="shared" si="1"/>
        <v>100.43385040536593</v>
      </c>
      <c r="H184" s="24">
        <f t="shared" si="7"/>
        <v>3557.2540536593069</v>
      </c>
      <c r="I184" s="20">
        <f t="shared" si="2"/>
        <v>19639.880666177218</v>
      </c>
      <c r="J184" s="17">
        <f t="shared" si="8"/>
        <v>1.9639880666177219</v>
      </c>
    </row>
    <row r="185" spans="1:10" ht="12" customHeight="1" x14ac:dyDescent="0.3">
      <c r="A185" s="1">
        <f t="shared" si="3"/>
        <v>43776</v>
      </c>
      <c r="B185" s="20">
        <v>4670.3296703296701</v>
      </c>
      <c r="C185" s="20">
        <f t="shared" si="4"/>
        <v>16151.30793119923</v>
      </c>
      <c r="D185" s="21" t="str">
        <f t="shared" si="0"/>
        <v>191107</v>
      </c>
      <c r="E185" s="22">
        <f t="shared" si="5"/>
        <v>2.160828317808198</v>
      </c>
      <c r="F185" s="9">
        <f t="shared" si="6"/>
        <v>-1.2564712328767124E-3</v>
      </c>
      <c r="G185" s="14">
        <f t="shared" si="1"/>
        <v>100.43455486761633</v>
      </c>
      <c r="H185" s="24">
        <f t="shared" si="7"/>
        <v>3564.2986761632756</v>
      </c>
      <c r="I185" s="20">
        <f t="shared" si="2"/>
        <v>19715.606607362504</v>
      </c>
      <c r="J185" s="17">
        <f t="shared" si="8"/>
        <v>1.9715606607362504</v>
      </c>
    </row>
    <row r="186" spans="1:10" ht="12" customHeight="1" x14ac:dyDescent="0.3">
      <c r="A186" s="1">
        <f t="shared" si="3"/>
        <v>43777</v>
      </c>
      <c r="B186" s="20">
        <v>4739.0109890109889</v>
      </c>
      <c r="C186" s="20">
        <f t="shared" si="4"/>
        <v>16219.989249880549</v>
      </c>
      <c r="D186" s="21" t="str">
        <f t="shared" si="0"/>
        <v>191108</v>
      </c>
      <c r="E186" s="22">
        <f t="shared" si="5"/>
        <v>2.1595718465753211</v>
      </c>
      <c r="F186" s="9">
        <f t="shared" si="6"/>
        <v>-1.2564712328767124E-3</v>
      </c>
      <c r="G186" s="14">
        <f t="shared" si="1"/>
        <v>100.43525295109083</v>
      </c>
      <c r="H186" s="24">
        <f t="shared" si="7"/>
        <v>3571.2795109083117</v>
      </c>
      <c r="I186" s="20">
        <f t="shared" si="2"/>
        <v>19791.268760788862</v>
      </c>
      <c r="J186" s="17">
        <f t="shared" si="8"/>
        <v>1.9791268760788863</v>
      </c>
    </row>
    <row r="187" spans="1:10" ht="12" customHeight="1" x14ac:dyDescent="0.3">
      <c r="A187" s="1">
        <f t="shared" si="3"/>
        <v>43780</v>
      </c>
      <c r="B187" s="20">
        <v>4945.0549450549452</v>
      </c>
      <c r="C187" s="20">
        <f t="shared" si="4"/>
        <v>16426.033205924505</v>
      </c>
      <c r="D187" s="21" t="str">
        <f t="shared" si="0"/>
        <v>191111</v>
      </c>
      <c r="E187" s="22">
        <f t="shared" si="5"/>
        <v>2.1583153753424442</v>
      </c>
      <c r="F187" s="9">
        <f t="shared" si="6"/>
        <v>-3.7694136986301374E-3</v>
      </c>
      <c r="G187" s="14">
        <f t="shared" si="1"/>
        <v>100.43409285491977</v>
      </c>
      <c r="H187" s="24">
        <f t="shared" si="7"/>
        <v>3559.6785491976848</v>
      </c>
      <c r="I187" s="20">
        <f t="shared" si="2"/>
        <v>19985.711755122189</v>
      </c>
      <c r="J187" s="17">
        <f t="shared" si="8"/>
        <v>1.9985711755122191</v>
      </c>
    </row>
    <row r="188" spans="1:10" ht="12" customHeight="1" x14ac:dyDescent="0.3">
      <c r="A188" s="1">
        <f t="shared" si="3"/>
        <v>43781</v>
      </c>
      <c r="B188" s="20">
        <v>5013.7362637362639</v>
      </c>
      <c r="C188" s="20">
        <f t="shared" si="4"/>
        <v>16494.714524605824</v>
      </c>
      <c r="D188" s="21" t="str">
        <f t="shared" si="0"/>
        <v>191112</v>
      </c>
      <c r="E188" s="22">
        <f t="shared" si="5"/>
        <v>2.1545459616438141</v>
      </c>
      <c r="F188" s="9">
        <f t="shared" si="6"/>
        <v>-1.2564712328767124E-3</v>
      </c>
      <c r="G188" s="14">
        <f t="shared" si="1"/>
        <v>100.43798146520705</v>
      </c>
      <c r="H188" s="24">
        <f t="shared" si="7"/>
        <v>3598.5646520704508</v>
      </c>
      <c r="I188" s="20">
        <f t="shared" si="2"/>
        <v>20093.279176676275</v>
      </c>
      <c r="J188" s="17">
        <f t="shared" si="8"/>
        <v>2.0093279176676275</v>
      </c>
    </row>
    <row r="189" spans="1:10" ht="12" customHeight="1" x14ac:dyDescent="0.3">
      <c r="A189" s="1">
        <f t="shared" si="3"/>
        <v>43782</v>
      </c>
      <c r="B189" s="20">
        <v>5082.4175824175818</v>
      </c>
      <c r="C189" s="20">
        <f t="shared" si="4"/>
        <v>16563.395843287144</v>
      </c>
      <c r="D189" s="21" t="str">
        <f t="shared" si="0"/>
        <v>191113</v>
      </c>
      <c r="E189" s="22">
        <f t="shared" si="5"/>
        <v>2.1532894904109372</v>
      </c>
      <c r="F189" s="9">
        <f t="shared" si="6"/>
        <v>-1.2564712328767124E-3</v>
      </c>
      <c r="G189" s="14">
        <f t="shared" si="1"/>
        <v>100.43864763079543</v>
      </c>
      <c r="H189" s="24">
        <f t="shared" si="7"/>
        <v>3605.2263079542968</v>
      </c>
      <c r="I189" s="20">
        <f t="shared" si="2"/>
        <v>20168.622151241441</v>
      </c>
      <c r="J189" s="17">
        <f t="shared" si="8"/>
        <v>2.016862215124144</v>
      </c>
    </row>
    <row r="190" spans="1:10" ht="12" customHeight="1" x14ac:dyDescent="0.3">
      <c r="A190" s="1">
        <f t="shared" si="3"/>
        <v>43783</v>
      </c>
      <c r="B190" s="20">
        <v>5151.0989010989006</v>
      </c>
      <c r="C190" s="20">
        <f t="shared" si="4"/>
        <v>16632.077161968464</v>
      </c>
      <c r="D190" s="21" t="str">
        <f t="shared" si="0"/>
        <v>191114</v>
      </c>
      <c r="E190" s="22">
        <f t="shared" si="5"/>
        <v>2.1520330191780603</v>
      </c>
      <c r="F190" s="9">
        <f t="shared" si="6"/>
        <v>-1.2564712328767124E-3</v>
      </c>
      <c r="G190" s="14">
        <f t="shared" si="1"/>
        <v>100.43930740801369</v>
      </c>
      <c r="H190" s="24">
        <f t="shared" si="7"/>
        <v>3611.8240801368984</v>
      </c>
      <c r="I190" s="20">
        <f t="shared" si="2"/>
        <v>20243.901242105363</v>
      </c>
      <c r="J190" s="17">
        <f t="shared" si="8"/>
        <v>2.024390124210536</v>
      </c>
    </row>
    <row r="191" spans="1:10" ht="12" customHeight="1" x14ac:dyDescent="0.3">
      <c r="A191" s="1">
        <f t="shared" si="3"/>
        <v>43784</v>
      </c>
      <c r="B191" s="20">
        <v>5219.7802197802202</v>
      </c>
      <c r="C191" s="20">
        <f t="shared" si="4"/>
        <v>16700.758480649783</v>
      </c>
      <c r="D191" s="21" t="str">
        <f t="shared" si="0"/>
        <v>191115</v>
      </c>
      <c r="E191" s="22">
        <f t="shared" si="5"/>
        <v>2.1507765479451835</v>
      </c>
      <c r="F191" s="9">
        <f t="shared" si="6"/>
        <v>-1.2564712328767124E-3</v>
      </c>
      <c r="G191" s="14">
        <f t="shared" si="1"/>
        <v>100.43996079526687</v>
      </c>
      <c r="H191" s="24">
        <f t="shared" si="7"/>
        <v>3618.3579526687031</v>
      </c>
      <c r="I191" s="20">
        <f t="shared" si="2"/>
        <v>20319.116433318486</v>
      </c>
      <c r="J191" s="17">
        <f t="shared" si="8"/>
        <v>2.0319116433318487</v>
      </c>
    </row>
    <row r="192" spans="1:10" ht="12" customHeight="1" x14ac:dyDescent="0.3">
      <c r="A192" s="1">
        <f t="shared" si="3"/>
        <v>43787</v>
      </c>
      <c r="B192" s="20">
        <v>5425.8241758241757</v>
      </c>
      <c r="C192" s="20">
        <f t="shared" si="4"/>
        <v>16906.802436693739</v>
      </c>
      <c r="D192" s="21" t="str">
        <f t="shared" si="0"/>
        <v>191118</v>
      </c>
      <c r="E192" s="22">
        <f t="shared" si="5"/>
        <v>2.1495200767123066</v>
      </c>
      <c r="F192" s="9">
        <f t="shared" si="6"/>
        <v>-3.7694136986301374E-3</v>
      </c>
      <c r="G192" s="14">
        <f t="shared" si="1"/>
        <v>100.43871352632361</v>
      </c>
      <c r="H192" s="24">
        <f t="shared" si="7"/>
        <v>3605.885263236104</v>
      </c>
      <c r="I192" s="20">
        <f t="shared" si="2"/>
        <v>20512.687699929844</v>
      </c>
      <c r="J192" s="17">
        <f t="shared" si="8"/>
        <v>2.0512687699929844</v>
      </c>
    </row>
    <row r="193" spans="1:10" ht="12" customHeight="1" x14ac:dyDescent="0.3">
      <c r="A193" s="1">
        <f t="shared" si="3"/>
        <v>43788</v>
      </c>
      <c r="B193" s="20">
        <v>5494.5054945054953</v>
      </c>
      <c r="C193" s="20">
        <f t="shared" si="4"/>
        <v>16975.483755375059</v>
      </c>
      <c r="D193" s="21" t="str">
        <f t="shared" si="0"/>
        <v>191119</v>
      </c>
      <c r="E193" s="22">
        <f t="shared" si="5"/>
        <v>2.1457506630136765</v>
      </c>
      <c r="F193" s="9">
        <f t="shared" si="6"/>
        <v>-1.2564712328767124E-3</v>
      </c>
      <c r="G193" s="14">
        <f t="shared" si="1"/>
        <v>100.44251041277253</v>
      </c>
      <c r="H193" s="24">
        <f t="shared" si="7"/>
        <v>3643.8541277253476</v>
      </c>
      <c r="I193" s="20">
        <f t="shared" si="2"/>
        <v>20619.337883100405</v>
      </c>
      <c r="J193" s="17">
        <f t="shared" si="8"/>
        <v>2.0619337883100401</v>
      </c>
    </row>
    <row r="194" spans="1:10" ht="12" customHeight="1" x14ac:dyDescent="0.3">
      <c r="A194" s="1">
        <f t="shared" si="3"/>
        <v>43789</v>
      </c>
      <c r="B194" s="20">
        <v>5563.1868131868132</v>
      </c>
      <c r="C194" s="20">
        <f t="shared" si="4"/>
        <v>17044.165074056378</v>
      </c>
      <c r="D194" s="21" t="str">
        <f t="shared" si="0"/>
        <v>191120</v>
      </c>
      <c r="E194" s="22">
        <f t="shared" si="5"/>
        <v>2.1444941917807996</v>
      </c>
      <c r="F194" s="9">
        <f t="shared" si="6"/>
        <v>-1.2564712328767124E-3</v>
      </c>
      <c r="G194" s="14">
        <f t="shared" si="1"/>
        <v>100.44313182631848</v>
      </c>
      <c r="H194" s="24">
        <f t="shared" si="7"/>
        <v>3650.0682631847781</v>
      </c>
      <c r="I194" s="20">
        <f t="shared" si="2"/>
        <v>20694.233337241156</v>
      </c>
      <c r="J194" s="17">
        <f t="shared" si="8"/>
        <v>2.0694233337241155</v>
      </c>
    </row>
    <row r="195" spans="1:10" ht="12" customHeight="1" x14ac:dyDescent="0.3">
      <c r="A195" s="1">
        <f t="shared" si="3"/>
        <v>43790</v>
      </c>
      <c r="B195" s="20">
        <v>5631.8681318681311</v>
      </c>
      <c r="C195" s="20">
        <f t="shared" si="4"/>
        <v>17112.846392737694</v>
      </c>
      <c r="D195" s="21" t="str">
        <f t="shared" si="0"/>
        <v>191121</v>
      </c>
      <c r="E195" s="22">
        <f t="shared" si="5"/>
        <v>2.1432377205479227</v>
      </c>
      <c r="F195" s="9">
        <f t="shared" si="6"/>
        <v>-1.2564712328767124E-3</v>
      </c>
      <c r="G195" s="14">
        <f t="shared" si="1"/>
        <v>100.44374684035495</v>
      </c>
      <c r="H195" s="24">
        <f t="shared" si="7"/>
        <v>3656.2184035494738</v>
      </c>
      <c r="I195" s="20">
        <f t="shared" si="2"/>
        <v>20769.064796287166</v>
      </c>
      <c r="J195" s="17">
        <f t="shared" si="8"/>
        <v>2.0769064796287164</v>
      </c>
    </row>
    <row r="196" spans="1:10" ht="12" customHeight="1" x14ac:dyDescent="0.3">
      <c r="A196" s="1">
        <f t="shared" si="3"/>
        <v>43791</v>
      </c>
      <c r="B196" s="20">
        <v>5700.5494505494507</v>
      </c>
      <c r="C196" s="20">
        <f t="shared" si="4"/>
        <v>17181.527711419014</v>
      </c>
      <c r="D196" s="21" t="str">
        <f t="shared" si="0"/>
        <v>191122</v>
      </c>
      <c r="E196" s="22">
        <f t="shared" si="5"/>
        <v>2.1419812493150459</v>
      </c>
      <c r="F196" s="9">
        <f t="shared" si="6"/>
        <v>-1.2564712328767124E-3</v>
      </c>
      <c r="G196" s="14">
        <f t="shared" si="1"/>
        <v>100.44435545329533</v>
      </c>
      <c r="H196" s="24">
        <f t="shared" si="7"/>
        <v>3662.3045329532997</v>
      </c>
      <c r="I196" s="20">
        <f t="shared" si="2"/>
        <v>20843.832244372315</v>
      </c>
      <c r="J196" s="17">
        <f t="shared" si="8"/>
        <v>2.0843832244372318</v>
      </c>
    </row>
    <row r="197" spans="1:10" ht="12" customHeight="1" x14ac:dyDescent="0.3">
      <c r="A197" s="1">
        <f t="shared" si="3"/>
        <v>43794</v>
      </c>
      <c r="B197" s="20">
        <v>5906.5934065934071</v>
      </c>
      <c r="C197" s="20">
        <f t="shared" si="4"/>
        <v>17387.571667462969</v>
      </c>
      <c r="D197" s="21" t="str">
        <f t="shared" si="0"/>
        <v>191125</v>
      </c>
      <c r="E197" s="22">
        <f t="shared" si="5"/>
        <v>2.140724778082169</v>
      </c>
      <c r="F197" s="9">
        <f t="shared" si="6"/>
        <v>-3.7694136986301374E-3</v>
      </c>
      <c r="G197" s="14">
        <f t="shared" si="1"/>
        <v>100.44302084287044</v>
      </c>
      <c r="H197" s="24">
        <f t="shared" si="7"/>
        <v>3648.9584287043899</v>
      </c>
      <c r="I197" s="20">
        <f t="shared" si="2"/>
        <v>21036.53009616736</v>
      </c>
      <c r="J197" s="17">
        <f t="shared" si="8"/>
        <v>2.1036530096167358</v>
      </c>
    </row>
    <row r="198" spans="1:10" ht="12" customHeight="1" x14ac:dyDescent="0.3">
      <c r="A198" s="1">
        <f t="shared" si="3"/>
        <v>43795</v>
      </c>
      <c r="B198" s="20">
        <v>5975.2747252747249</v>
      </c>
      <c r="C198" s="20">
        <f t="shared" si="4"/>
        <v>17456.252986144289</v>
      </c>
      <c r="D198" s="21" t="str">
        <f t="shared" si="0"/>
        <v>191126</v>
      </c>
      <c r="E198" s="22">
        <f t="shared" si="5"/>
        <v>2.1369553643835388</v>
      </c>
      <c r="F198" s="9">
        <f t="shared" si="6"/>
        <v>-1.2564712328767124E-3</v>
      </c>
      <c r="G198" s="14">
        <f t="shared" si="1"/>
        <v>100.44672586240617</v>
      </c>
      <c r="H198" s="24">
        <f t="shared" si="7"/>
        <v>3686.0086240616856</v>
      </c>
      <c r="I198" s="20">
        <f t="shared" si="2"/>
        <v>21142.261610205976</v>
      </c>
      <c r="J198" s="17">
        <f t="shared" si="8"/>
        <v>2.1142261610205977</v>
      </c>
    </row>
    <row r="199" spans="1:10" ht="12" customHeight="1" x14ac:dyDescent="0.3">
      <c r="A199" s="1">
        <f t="shared" si="3"/>
        <v>43796</v>
      </c>
      <c r="B199" s="20">
        <v>6043.9560439560437</v>
      </c>
      <c r="C199" s="20">
        <f t="shared" si="4"/>
        <v>17524.934304825609</v>
      </c>
      <c r="D199" s="21" t="str">
        <f t="shared" si="0"/>
        <v>191127</v>
      </c>
      <c r="E199" s="22">
        <f t="shared" si="5"/>
        <v>2.135698893150662</v>
      </c>
      <c r="F199" s="9">
        <f t="shared" si="6"/>
        <v>-1.2564712328767124E-3</v>
      </c>
      <c r="G199" s="14">
        <f t="shared" si="1"/>
        <v>100.44730244610912</v>
      </c>
      <c r="H199" s="24">
        <f t="shared" si="7"/>
        <v>3691.7744610911996</v>
      </c>
      <c r="I199" s="20">
        <f t="shared" si="2"/>
        <v>21216.70876591681</v>
      </c>
      <c r="J199" s="17">
        <f t="shared" si="8"/>
        <v>2.121670876591681</v>
      </c>
    </row>
    <row r="200" spans="1:10" ht="12" customHeight="1" x14ac:dyDescent="0.3">
      <c r="A200" s="1">
        <f t="shared" si="3"/>
        <v>43797</v>
      </c>
      <c r="B200" s="20">
        <v>6112.6373626373615</v>
      </c>
      <c r="C200" s="20">
        <f t="shared" si="4"/>
        <v>17593.615623506928</v>
      </c>
      <c r="D200" s="21" t="str">
        <f t="shared" si="0"/>
        <v>191128</v>
      </c>
      <c r="E200" s="22">
        <f t="shared" si="5"/>
        <v>2.1344424219177851</v>
      </c>
      <c r="F200" s="9">
        <f t="shared" si="6"/>
        <v>-1.2564712328767124E-3</v>
      </c>
      <c r="G200" s="14">
        <f t="shared" si="1"/>
        <v>100.44787261922158</v>
      </c>
      <c r="H200" s="24">
        <f t="shared" si="7"/>
        <v>3697.476192215845</v>
      </c>
      <c r="I200" s="20">
        <f t="shared" si="2"/>
        <v>21291.091815722772</v>
      </c>
      <c r="J200" s="17">
        <f t="shared" si="8"/>
        <v>2.1291091815722774</v>
      </c>
    </row>
    <row r="201" spans="1:10" ht="12" customHeight="1" x14ac:dyDescent="0.3">
      <c r="A201" s="1">
        <f t="shared" si="3"/>
        <v>43798</v>
      </c>
      <c r="B201" s="20">
        <v>6181.3186813186821</v>
      </c>
      <c r="C201" s="20">
        <f t="shared" si="4"/>
        <v>17662.296942188248</v>
      </c>
      <c r="D201" s="21" t="str">
        <f t="shared" si="0"/>
        <v>191129</v>
      </c>
      <c r="E201" s="22">
        <f t="shared" si="5"/>
        <v>2.1331859506849082</v>
      </c>
      <c r="F201" s="9">
        <f t="shared" si="6"/>
        <v>-1.2564712328767124E-3</v>
      </c>
      <c r="G201" s="14">
        <f t="shared" si="1"/>
        <v>100.44843638016528</v>
      </c>
      <c r="H201" s="24">
        <f t="shared" si="7"/>
        <v>3703.1138016527625</v>
      </c>
      <c r="I201" s="20">
        <f t="shared" si="2"/>
        <v>21365.41074384101</v>
      </c>
      <c r="J201" s="17">
        <f t="shared" si="8"/>
        <v>2.1365410743841009</v>
      </c>
    </row>
    <row r="202" spans="1:10" ht="12" customHeight="1" x14ac:dyDescent="0.3">
      <c r="A202" s="1">
        <f t="shared" si="3"/>
        <v>43801</v>
      </c>
      <c r="B202" s="20">
        <v>6387.3626373626375</v>
      </c>
      <c r="C202" s="20">
        <f t="shared" si="4"/>
        <v>17868.340898232203</v>
      </c>
      <c r="D202" s="21" t="str">
        <f t="shared" si="0"/>
        <v>191202</v>
      </c>
      <c r="E202" s="22">
        <f t="shared" si="5"/>
        <v>2.1319294794520314</v>
      </c>
      <c r="F202" s="9">
        <f t="shared" si="6"/>
        <v>-3.7694136986301374E-3</v>
      </c>
      <c r="G202" s="14">
        <f t="shared" si="1"/>
        <v>100.44701426034393</v>
      </c>
      <c r="H202" s="24">
        <f t="shared" si="7"/>
        <v>3688.8926034393426</v>
      </c>
      <c r="I202" s="20">
        <f t="shared" si="2"/>
        <v>21557.233501671544</v>
      </c>
      <c r="J202" s="17">
        <f t="shared" si="8"/>
        <v>2.1557233501671544</v>
      </c>
    </row>
    <row r="203" spans="1:10" ht="12" customHeight="1" x14ac:dyDescent="0.3">
      <c r="A203" s="1">
        <f t="shared" si="3"/>
        <v>43802</v>
      </c>
      <c r="B203" s="20">
        <v>6456.0439560439563</v>
      </c>
      <c r="C203" s="20">
        <f t="shared" si="4"/>
        <v>17937.022216913523</v>
      </c>
      <c r="D203" s="21" t="str">
        <f t="shared" si="0"/>
        <v>191203</v>
      </c>
      <c r="E203" s="22">
        <f t="shared" si="5"/>
        <v>2.1281600657534012</v>
      </c>
      <c r="F203" s="9">
        <f t="shared" si="6"/>
        <v>-1.2564712328767124E-3</v>
      </c>
      <c r="G203" s="14">
        <f t="shared" si="1"/>
        <v>100.45062727072946</v>
      </c>
      <c r="H203" s="24">
        <f t="shared" si="7"/>
        <v>3725.0227072945563</v>
      </c>
      <c r="I203" s="20">
        <f t="shared" si="2"/>
        <v>21662.044924208079</v>
      </c>
      <c r="J203" s="17">
        <f t="shared" si="8"/>
        <v>2.1662044924208081</v>
      </c>
    </row>
    <row r="204" spans="1:10" ht="12" customHeight="1" x14ac:dyDescent="0.3">
      <c r="A204" s="1">
        <f t="shared" si="3"/>
        <v>43803</v>
      </c>
      <c r="B204" s="20">
        <v>6524.7252747252751</v>
      </c>
      <c r="C204" s="20">
        <f t="shared" si="4"/>
        <v>18005.703535594843</v>
      </c>
      <c r="D204" s="21" t="str">
        <f t="shared" si="0"/>
        <v>191204</v>
      </c>
      <c r="E204" s="22">
        <f t="shared" si="5"/>
        <v>2.1269035945205244</v>
      </c>
      <c r="F204" s="9">
        <f t="shared" si="6"/>
        <v>-1.2564712328767124E-3</v>
      </c>
      <c r="G204" s="14">
        <f t="shared" si="1"/>
        <v>100.45115894719758</v>
      </c>
      <c r="H204" s="24">
        <f t="shared" si="7"/>
        <v>3730.3394719758385</v>
      </c>
      <c r="I204" s="20">
        <f t="shared" si="2"/>
        <v>21736.043007570683</v>
      </c>
      <c r="J204" s="17">
        <f t="shared" si="8"/>
        <v>2.1736043007570682</v>
      </c>
    </row>
    <row r="205" spans="1:10" ht="12" customHeight="1" x14ac:dyDescent="0.3">
      <c r="A205" s="1">
        <f t="shared" si="3"/>
        <v>43804</v>
      </c>
      <c r="B205" s="20">
        <v>6593.4065934065929</v>
      </c>
      <c r="C205" s="20">
        <f t="shared" si="4"/>
        <v>18074.384854276163</v>
      </c>
      <c r="D205" s="21" t="str">
        <f t="shared" si="0"/>
        <v>191205</v>
      </c>
      <c r="E205" s="22">
        <f t="shared" si="5"/>
        <v>2.1256471232876475</v>
      </c>
      <c r="F205" s="9">
        <f t="shared" si="6"/>
        <v>-1.2564712328767124E-3</v>
      </c>
      <c r="G205" s="14">
        <f t="shared" si="1"/>
        <v>100.45168420205262</v>
      </c>
      <c r="H205" s="24">
        <f t="shared" si="7"/>
        <v>3735.5920205261837</v>
      </c>
      <c r="I205" s="20">
        <f t="shared" si="2"/>
        <v>21809.976874802345</v>
      </c>
      <c r="J205" s="17">
        <f t="shared" si="8"/>
        <v>2.1809976874802346</v>
      </c>
    </row>
    <row r="206" spans="1:10" ht="12" customHeight="1" x14ac:dyDescent="0.3">
      <c r="A206" s="1">
        <f t="shared" si="3"/>
        <v>43805</v>
      </c>
      <c r="B206" s="20">
        <v>6662.0879120879117</v>
      </c>
      <c r="C206" s="20">
        <f t="shared" si="4"/>
        <v>18143.066172957482</v>
      </c>
      <c r="D206" s="21" t="str">
        <f t="shared" si="0"/>
        <v>191206</v>
      </c>
      <c r="E206" s="22">
        <f t="shared" si="5"/>
        <v>2.1243906520547706</v>
      </c>
      <c r="F206" s="9">
        <f t="shared" si="6"/>
        <v>-1.2564712328767124E-3</v>
      </c>
      <c r="G206" s="14">
        <f t="shared" si="1"/>
        <v>100.4522030337247</v>
      </c>
      <c r="H206" s="24">
        <f t="shared" si="7"/>
        <v>3740.7803372470025</v>
      </c>
      <c r="I206" s="20">
        <f t="shared" si="2"/>
        <v>21883.846510204487</v>
      </c>
      <c r="J206" s="17">
        <f t="shared" si="8"/>
        <v>2.1883846510204488</v>
      </c>
    </row>
    <row r="207" spans="1:10" ht="12" customHeight="1" x14ac:dyDescent="0.3">
      <c r="A207" s="1">
        <f t="shared" si="3"/>
        <v>43808</v>
      </c>
      <c r="B207" s="20">
        <v>6868.1318681318689</v>
      </c>
      <c r="C207" s="20">
        <f t="shared" si="4"/>
        <v>18349.110129001441</v>
      </c>
      <c r="D207" s="21" t="str">
        <f t="shared" si="0"/>
        <v>191209</v>
      </c>
      <c r="E207" s="22">
        <f t="shared" si="5"/>
        <v>2.1231341808218938</v>
      </c>
      <c r="F207" s="9">
        <f t="shared" si="6"/>
        <v>-3.7694136986301374E-3</v>
      </c>
      <c r="G207" s="14">
        <f t="shared" si="1"/>
        <v>100.45069323738932</v>
      </c>
      <c r="H207" s="24">
        <f t="shared" si="7"/>
        <v>3725.6823738931644</v>
      </c>
      <c r="I207" s="20">
        <f t="shared" si="2"/>
        <v>22074.792502894605</v>
      </c>
      <c r="J207" s="17">
        <f t="shared" si="8"/>
        <v>2.2074792502894605</v>
      </c>
    </row>
    <row r="208" spans="1:10" ht="12" customHeight="1" x14ac:dyDescent="0.3">
      <c r="A208" s="1">
        <f t="shared" si="3"/>
        <v>43809</v>
      </c>
      <c r="B208" s="20">
        <v>6936.8131868131868</v>
      </c>
      <c r="C208" s="20">
        <f t="shared" si="4"/>
        <v>18417.791447682757</v>
      </c>
      <c r="D208" s="21" t="str">
        <f t="shared" si="0"/>
        <v>191210</v>
      </c>
      <c r="E208" s="22">
        <f t="shared" si="5"/>
        <v>2.1193647671232636</v>
      </c>
      <c r="F208" s="9">
        <f t="shared" si="6"/>
        <v>-1.2564712328767124E-3</v>
      </c>
      <c r="G208" s="14">
        <f t="shared" si="1"/>
        <v>100.45421409722802</v>
      </c>
      <c r="H208" s="24">
        <f t="shared" si="7"/>
        <v>3760.89097228018</v>
      </c>
      <c r="I208" s="20">
        <f t="shared" si="2"/>
        <v>22178.682419962937</v>
      </c>
      <c r="J208" s="17">
        <f t="shared" si="8"/>
        <v>2.2178682419962938</v>
      </c>
    </row>
    <row r="209" spans="1:10" ht="12" customHeight="1" x14ac:dyDescent="0.3">
      <c r="A209" s="1">
        <f t="shared" si="3"/>
        <v>43810</v>
      </c>
      <c r="B209" s="20">
        <v>7005.4945054945047</v>
      </c>
      <c r="C209" s="20">
        <f t="shared" si="4"/>
        <v>18486.472766364073</v>
      </c>
      <c r="D209" s="21" t="str">
        <f t="shared" si="0"/>
        <v>191211</v>
      </c>
      <c r="E209" s="22">
        <f t="shared" si="5"/>
        <v>2.1181082958903867</v>
      </c>
      <c r="F209" s="9">
        <f t="shared" si="6"/>
        <v>-1.2564712328767124E-3</v>
      </c>
      <c r="G209" s="14">
        <f t="shared" si="1"/>
        <v>100.45470078947918</v>
      </c>
      <c r="H209" s="24">
        <f t="shared" si="7"/>
        <v>3765.7578947917618</v>
      </c>
      <c r="I209" s="20">
        <f t="shared" si="2"/>
        <v>22252.230661155834</v>
      </c>
      <c r="J209" s="17">
        <f t="shared" si="8"/>
        <v>2.2252230661155834</v>
      </c>
    </row>
    <row r="210" spans="1:10" ht="12" customHeight="1" x14ac:dyDescent="0.3">
      <c r="A210" s="1">
        <f t="shared" si="3"/>
        <v>43811</v>
      </c>
      <c r="B210" s="20">
        <v>7074.1758241758243</v>
      </c>
      <c r="C210" s="20">
        <f t="shared" si="4"/>
        <v>18555.154085045393</v>
      </c>
      <c r="D210" s="21" t="str">
        <f t="shared" si="0"/>
        <v>191212</v>
      </c>
      <c r="E210" s="22">
        <f t="shared" si="5"/>
        <v>2.1168518246575099</v>
      </c>
      <c r="F210" s="9">
        <f t="shared" si="6"/>
        <v>-1.2564712328767124E-3</v>
      </c>
      <c r="G210" s="14">
        <f t="shared" si="1"/>
        <v>100.45518104915342</v>
      </c>
      <c r="H210" s="24">
        <f t="shared" si="7"/>
        <v>3770.5604915342406</v>
      </c>
      <c r="I210" s="20">
        <f t="shared" si="2"/>
        <v>22325.714576579634</v>
      </c>
      <c r="J210" s="17">
        <f t="shared" si="8"/>
        <v>2.2325714576579636</v>
      </c>
    </row>
    <row r="211" spans="1:10" ht="12" customHeight="1" x14ac:dyDescent="0.3">
      <c r="A211" s="1">
        <f t="shared" si="3"/>
        <v>43812</v>
      </c>
      <c r="B211" s="20">
        <v>7142.8571428571422</v>
      </c>
      <c r="C211" s="20">
        <f t="shared" si="4"/>
        <v>18623.835403726713</v>
      </c>
      <c r="D211" s="21" t="str">
        <f t="shared" si="0"/>
        <v>191213</v>
      </c>
      <c r="E211" s="22">
        <f t="shared" si="5"/>
        <v>2.115595353424633</v>
      </c>
      <c r="F211" s="9">
        <f t="shared" si="6"/>
        <v>-1.2564712328767124E-3</v>
      </c>
      <c r="G211" s="14">
        <f t="shared" si="1"/>
        <v>100.4556548746892</v>
      </c>
      <c r="H211" s="24">
        <f t="shared" si="7"/>
        <v>3775.2987468920196</v>
      </c>
      <c r="I211" s="20">
        <f t="shared" si="2"/>
        <v>22399.134150618731</v>
      </c>
      <c r="J211" s="17">
        <f t="shared" si="8"/>
        <v>2.2399134150618729</v>
      </c>
    </row>
    <row r="212" spans="1:10" ht="12" customHeight="1" x14ac:dyDescent="0.3">
      <c r="A212" s="1">
        <f t="shared" si="3"/>
        <v>43815</v>
      </c>
      <c r="B212" s="20">
        <v>7348.9010989010994</v>
      </c>
      <c r="C212" s="20">
        <f t="shared" si="4"/>
        <v>18829.879359770668</v>
      </c>
      <c r="D212" s="21" t="str">
        <f t="shared" si="0"/>
        <v>191216</v>
      </c>
      <c r="E212" s="22">
        <f t="shared" si="5"/>
        <v>2.1143388821917561</v>
      </c>
      <c r="F212" s="9">
        <f t="shared" si="6"/>
        <v>-3.7694136986301374E-3</v>
      </c>
      <c r="G212" s="14">
        <f t="shared" si="1"/>
        <v>100.4540572355223</v>
      </c>
      <c r="H212" s="24">
        <f t="shared" si="7"/>
        <v>3759.3223552229915</v>
      </c>
      <c r="I212" s="20">
        <f t="shared" si="2"/>
        <v>22589.201714993658</v>
      </c>
      <c r="J212" s="17">
        <f t="shared" si="8"/>
        <v>2.2589201714993656</v>
      </c>
    </row>
    <row r="213" spans="1:10" ht="12" customHeight="1" x14ac:dyDescent="0.3">
      <c r="A213" s="1">
        <f t="shared" si="3"/>
        <v>43816</v>
      </c>
      <c r="B213" s="20">
        <v>7417.5824175824182</v>
      </c>
      <c r="C213" s="20">
        <f t="shared" si="4"/>
        <v>18898.560678451988</v>
      </c>
      <c r="D213" s="21" t="str">
        <f t="shared" si="0"/>
        <v>191217</v>
      </c>
      <c r="E213" s="22">
        <f t="shared" si="5"/>
        <v>2.110569468493126</v>
      </c>
      <c r="F213" s="9">
        <f t="shared" si="6"/>
        <v>-1.2564712328767124E-3</v>
      </c>
      <c r="G213" s="14">
        <f t="shared" si="1"/>
        <v>100.45748580426037</v>
      </c>
      <c r="H213" s="24">
        <f t="shared" si="7"/>
        <v>3793.6080426037224</v>
      </c>
      <c r="I213" s="20">
        <f t="shared" si="2"/>
        <v>22692.16872105571</v>
      </c>
      <c r="J213" s="17">
        <f t="shared" si="8"/>
        <v>2.269216872105571</v>
      </c>
    </row>
    <row r="214" spans="1:10" ht="12" customHeight="1" x14ac:dyDescent="0.3">
      <c r="A214" s="1">
        <f t="shared" si="3"/>
        <v>43817</v>
      </c>
      <c r="B214" s="20">
        <v>7486.2637362637361</v>
      </c>
      <c r="C214" s="20">
        <f t="shared" si="4"/>
        <v>18967.241997133307</v>
      </c>
      <c r="D214" s="21" t="str">
        <f t="shared" si="0"/>
        <v>191218</v>
      </c>
      <c r="E214" s="22">
        <f t="shared" si="5"/>
        <v>2.1093129972602491</v>
      </c>
      <c r="F214" s="9">
        <f t="shared" si="6"/>
        <v>-1.2564712328767124E-3</v>
      </c>
      <c r="G214" s="14">
        <f t="shared" si="1"/>
        <v>100.45792743572389</v>
      </c>
      <c r="H214" s="24">
        <f t="shared" si="7"/>
        <v>3798.0243572388877</v>
      </c>
      <c r="I214" s="20">
        <f t="shared" si="2"/>
        <v>22765.266354372194</v>
      </c>
      <c r="J214" s="17">
        <f t="shared" si="8"/>
        <v>2.2765266354372193</v>
      </c>
    </row>
    <row r="215" spans="1:10" ht="12" customHeight="1" x14ac:dyDescent="0.3">
      <c r="A215" s="1">
        <f t="shared" si="3"/>
        <v>43818</v>
      </c>
      <c r="B215" s="20">
        <v>7554.9450549450548</v>
      </c>
      <c r="C215" s="20">
        <f t="shared" si="4"/>
        <v>19035.923315814627</v>
      </c>
      <c r="D215" s="21" t="str">
        <f t="shared" si="0"/>
        <v>191219</v>
      </c>
      <c r="E215" s="22">
        <f t="shared" si="5"/>
        <v>2.1080565260273723</v>
      </c>
      <c r="F215" s="9">
        <f t="shared" si="6"/>
        <v>-1.2564712328767124E-3</v>
      </c>
      <c r="G215" s="14">
        <f t="shared" si="1"/>
        <v>100.45836262370536</v>
      </c>
      <c r="H215" s="24">
        <f t="shared" si="7"/>
        <v>3802.376237053551</v>
      </c>
      <c r="I215" s="20">
        <f t="shared" si="2"/>
        <v>22838.299552868179</v>
      </c>
      <c r="J215" s="17">
        <f t="shared" si="8"/>
        <v>2.283829955286818</v>
      </c>
    </row>
    <row r="216" spans="1:10" ht="12" customHeight="1" x14ac:dyDescent="0.3">
      <c r="A216" s="1">
        <f t="shared" si="3"/>
        <v>43819</v>
      </c>
      <c r="B216" s="20">
        <v>7623.6263736263745</v>
      </c>
      <c r="C216" s="20">
        <f t="shared" si="4"/>
        <v>19104.604634495947</v>
      </c>
      <c r="D216" s="21" t="str">
        <f t="shared" si="0"/>
        <v>191220</v>
      </c>
      <c r="E216" s="22">
        <f t="shared" si="5"/>
        <v>2.1068000547944954</v>
      </c>
      <c r="F216" s="9">
        <f t="shared" si="6"/>
        <v>-1.2564712328767124E-3</v>
      </c>
      <c r="G216" s="14">
        <f t="shared" si="1"/>
        <v>100.45879136665174</v>
      </c>
      <c r="H216" s="24">
        <f t="shared" si="7"/>
        <v>3806.6636665173801</v>
      </c>
      <c r="I216" s="20">
        <f t="shared" si="2"/>
        <v>22911.268301013326</v>
      </c>
      <c r="J216" s="17">
        <f t="shared" si="8"/>
        <v>2.2911268301013328</v>
      </c>
    </row>
    <row r="217" spans="1:10" ht="12" customHeight="1" x14ac:dyDescent="0.3">
      <c r="A217" s="1">
        <f t="shared" si="3"/>
        <v>43822</v>
      </c>
      <c r="B217" s="20">
        <v>7829.6703296703299</v>
      </c>
      <c r="C217" s="20">
        <f t="shared" si="4"/>
        <v>19310.648590539902</v>
      </c>
      <c r="D217" s="21" t="str">
        <f t="shared" si="0"/>
        <v>191223</v>
      </c>
      <c r="E217" s="22">
        <f t="shared" si="5"/>
        <v>2.1055435835616185</v>
      </c>
      <c r="F217" s="9">
        <f t="shared" si="6"/>
        <v>-3.7694136986301374E-3</v>
      </c>
      <c r="G217" s="14">
        <f t="shared" si="1"/>
        <v>100.45710571913851</v>
      </c>
      <c r="H217" s="24">
        <f t="shared" si="7"/>
        <v>3789.8071913851081</v>
      </c>
      <c r="I217" s="20">
        <f t="shared" si="2"/>
        <v>23100.455781925011</v>
      </c>
      <c r="J217" s="17">
        <f t="shared" si="8"/>
        <v>2.3100455781925011</v>
      </c>
    </row>
    <row r="218" spans="1:10" ht="12" customHeight="1" x14ac:dyDescent="0.3">
      <c r="A218" s="1">
        <f t="shared" si="3"/>
        <v>43823</v>
      </c>
      <c r="B218" s="20">
        <v>7898.3516483516478</v>
      </c>
      <c r="C218" s="20">
        <f t="shared" si="4"/>
        <v>19379.329909221218</v>
      </c>
      <c r="D218" s="21" t="str">
        <f t="shared" si="0"/>
        <v>191224</v>
      </c>
      <c r="E218" s="22">
        <f t="shared" si="5"/>
        <v>2.1017741698629884</v>
      </c>
      <c r="F218" s="9">
        <f t="shared" si="6"/>
        <v>-1.2564712328767124E-3</v>
      </c>
      <c r="G218" s="14">
        <f t="shared" si="1"/>
        <v>100.46044185706766</v>
      </c>
      <c r="H218" s="24">
        <f t="shared" si="7"/>
        <v>3823.1685706766425</v>
      </c>
      <c r="I218" s="20">
        <f t="shared" si="2"/>
        <v>23202.498479897862</v>
      </c>
      <c r="J218" s="17">
        <f t="shared" si="8"/>
        <v>2.3202498479897864</v>
      </c>
    </row>
    <row r="219" spans="1:10" ht="12" customHeight="1" x14ac:dyDescent="0.3">
      <c r="A219" s="1">
        <f t="shared" si="3"/>
        <v>43824</v>
      </c>
      <c r="B219" s="20">
        <v>7967.0329670329656</v>
      </c>
      <c r="C219" s="20">
        <f t="shared" si="4"/>
        <v>19448.011227902534</v>
      </c>
      <c r="D219" s="21" t="str">
        <f t="shared" si="0"/>
        <v>191225</v>
      </c>
      <c r="E219" s="22">
        <f t="shared" si="5"/>
        <v>2.1005176986301115</v>
      </c>
      <c r="F219" s="9">
        <f t="shared" si="6"/>
        <v>-1.2564712328767124E-3</v>
      </c>
      <c r="G219" s="14">
        <f t="shared" si="1"/>
        <v>100.46083835158505</v>
      </c>
      <c r="H219" s="24">
        <f t="shared" si="7"/>
        <v>3827.1335158505335</v>
      </c>
      <c r="I219" s="20">
        <f t="shared" si="2"/>
        <v>23275.144743753066</v>
      </c>
      <c r="J219" s="17">
        <f t="shared" si="8"/>
        <v>2.3275144743753069</v>
      </c>
    </row>
    <row r="220" spans="1:10" ht="12" customHeight="1" x14ac:dyDescent="0.3">
      <c r="A220" s="1">
        <f t="shared" si="3"/>
        <v>43825</v>
      </c>
      <c r="B220" s="20">
        <v>8035.7142857142862</v>
      </c>
      <c r="C220" s="20">
        <f t="shared" si="4"/>
        <v>19516.692546583854</v>
      </c>
      <c r="D220" s="21" t="str">
        <f t="shared" si="0"/>
        <v>191226</v>
      </c>
      <c r="E220" s="22">
        <f t="shared" si="5"/>
        <v>2.0992612273972346</v>
      </c>
      <c r="F220" s="9">
        <f t="shared" si="6"/>
        <v>-1.2564712328767124E-3</v>
      </c>
      <c r="G220" s="14">
        <f t="shared" si="1"/>
        <v>100.46122839177447</v>
      </c>
      <c r="H220" s="24">
        <f t="shared" si="7"/>
        <v>3831.0339177446904</v>
      </c>
      <c r="I220" s="20">
        <f t="shared" si="2"/>
        <v>23347.726464328545</v>
      </c>
      <c r="J220" s="17">
        <f t="shared" si="8"/>
        <v>2.3347726464328544</v>
      </c>
    </row>
    <row r="221" spans="1:10" ht="12" customHeight="1" x14ac:dyDescent="0.3">
      <c r="A221" s="1">
        <f t="shared" si="3"/>
        <v>43826</v>
      </c>
      <c r="B221" s="20">
        <v>8104.3956043956041</v>
      </c>
      <c r="C221" s="20">
        <f t="shared" si="4"/>
        <v>19585.373865265174</v>
      </c>
      <c r="D221" s="21" t="str">
        <f t="shared" si="0"/>
        <v>191227</v>
      </c>
      <c r="E221" s="22">
        <f t="shared" si="5"/>
        <v>2.0980047561643578</v>
      </c>
      <c r="F221" s="9">
        <f t="shared" si="6"/>
        <v>-1.2564712328767124E-3</v>
      </c>
      <c r="G221" s="14">
        <f t="shared" si="1"/>
        <v>100.46161197609123</v>
      </c>
      <c r="H221" s="24">
        <f t="shared" si="7"/>
        <v>3834.8697609123406</v>
      </c>
      <c r="I221" s="20">
        <f t="shared" si="2"/>
        <v>23420.243626177515</v>
      </c>
      <c r="J221" s="17">
        <f t="shared" si="8"/>
        <v>2.3420243626177517</v>
      </c>
    </row>
    <row r="222" spans="1:10" ht="12" customHeight="1" x14ac:dyDescent="0.3">
      <c r="A222" s="1">
        <f t="shared" si="3"/>
        <v>43829</v>
      </c>
      <c r="B222" s="20">
        <v>8310.4395604395595</v>
      </c>
      <c r="C222" s="20">
        <f t="shared" si="4"/>
        <v>19791.417821309129</v>
      </c>
      <c r="D222" s="21" t="str">
        <f t="shared" si="0"/>
        <v>191230</v>
      </c>
      <c r="E222" s="22">
        <f t="shared" si="5"/>
        <v>2.0967482849314809</v>
      </c>
      <c r="F222" s="9">
        <f t="shared" si="6"/>
        <v>-3.7694136986301374E-3</v>
      </c>
      <c r="G222" s="14">
        <f t="shared" si="1"/>
        <v>100.45983815552245</v>
      </c>
      <c r="H222" s="24">
        <f t="shared" si="7"/>
        <v>3817.1315552244778</v>
      </c>
      <c r="I222" s="20">
        <f t="shared" si="2"/>
        <v>23608.549376533607</v>
      </c>
      <c r="J222" s="17">
        <f t="shared" si="8"/>
        <v>2.3608549376533605</v>
      </c>
    </row>
    <row r="223" spans="1:10" ht="12" customHeight="1" x14ac:dyDescent="0.3">
      <c r="A223" s="1">
        <f t="shared" si="3"/>
        <v>43830</v>
      </c>
      <c r="B223" s="20">
        <v>8379.1208791208774</v>
      </c>
      <c r="C223" s="20">
        <f t="shared" si="4"/>
        <v>19860.099139990445</v>
      </c>
      <c r="D223" s="21" t="str">
        <f t="shared" si="0"/>
        <v>191231</v>
      </c>
      <c r="E223" s="22">
        <f t="shared" si="5"/>
        <v>2.0929788712328508</v>
      </c>
      <c r="F223" s="9">
        <f t="shared" si="6"/>
        <v>-1.2564712328767124E-3</v>
      </c>
      <c r="G223" s="14">
        <f t="shared" si="1"/>
        <v>100.46308172378215</v>
      </c>
      <c r="H223" s="24">
        <f t="shared" si="7"/>
        <v>3849.5672378215318</v>
      </c>
      <c r="I223" s="20">
        <f t="shared" si="2"/>
        <v>23709.666377811976</v>
      </c>
      <c r="J223" s="17">
        <f t="shared" si="8"/>
        <v>2.3709666377811978</v>
      </c>
    </row>
    <row r="224" spans="1:10" ht="12" customHeight="1" x14ac:dyDescent="0.3">
      <c r="A224" s="1">
        <f t="shared" si="3"/>
        <v>43831</v>
      </c>
      <c r="B224" s="20">
        <v>8447.8021978021989</v>
      </c>
      <c r="C224" s="20">
        <f t="shared" si="4"/>
        <v>19928.780458671768</v>
      </c>
      <c r="D224" s="21" t="str">
        <f t="shared" si="0"/>
        <v>200101</v>
      </c>
      <c r="E224" s="22">
        <f t="shared" si="5"/>
        <v>2.0917223999999739</v>
      </c>
      <c r="F224" s="9">
        <f t="shared" si="6"/>
        <v>-1.2564712328767124E-3</v>
      </c>
      <c r="G224" s="14">
        <f t="shared" si="1"/>
        <v>100.46343300560905</v>
      </c>
      <c r="H224" s="24">
        <f t="shared" si="7"/>
        <v>3853.0800560904768</v>
      </c>
      <c r="I224" s="20">
        <f t="shared" si="2"/>
        <v>23781.860514762244</v>
      </c>
      <c r="J224" s="17">
        <f t="shared" si="8"/>
        <v>2.3781860514762245</v>
      </c>
    </row>
    <row r="225" spans="1:10" ht="12" customHeight="1" x14ac:dyDescent="0.3">
      <c r="A225" s="1">
        <f t="shared" si="3"/>
        <v>43832</v>
      </c>
      <c r="B225" s="20">
        <v>8516.4835164835167</v>
      </c>
      <c r="C225" s="20">
        <f t="shared" si="4"/>
        <v>19997.461777353084</v>
      </c>
      <c r="D225" s="21" t="str">
        <f t="shared" si="0"/>
        <v>200102</v>
      </c>
      <c r="E225" s="22">
        <f t="shared" si="5"/>
        <v>2.090465928767097</v>
      </c>
      <c r="F225" s="9">
        <f t="shared" si="6"/>
        <v>-1.2564712328767124E-3</v>
      </c>
      <c r="G225" s="14">
        <f t="shared" si="1"/>
        <v>100.46377782232108</v>
      </c>
      <c r="H225" s="24">
        <f t="shared" si="7"/>
        <v>3856.5282232107734</v>
      </c>
      <c r="I225" s="20">
        <f t="shared" si="2"/>
        <v>23853.990000563859</v>
      </c>
      <c r="J225" s="17">
        <f t="shared" si="8"/>
        <v>2.3853990000563861</v>
      </c>
    </row>
    <row r="226" spans="1:10" ht="12" customHeight="1" x14ac:dyDescent="0.3">
      <c r="A226" s="1">
        <f t="shared" si="3"/>
        <v>43833</v>
      </c>
      <c r="B226" s="20">
        <v>8585.1648351648364</v>
      </c>
      <c r="C226" s="20">
        <f t="shared" si="4"/>
        <v>20066.143096034404</v>
      </c>
      <c r="D226" s="21" t="str">
        <f t="shared" si="0"/>
        <v>200103</v>
      </c>
      <c r="E226" s="22">
        <f t="shared" si="5"/>
        <v>2.0892094575342202</v>
      </c>
      <c r="F226" s="9">
        <f t="shared" si="6"/>
        <v>-1.2564712328767124E-3</v>
      </c>
      <c r="G226" s="14">
        <f t="shared" si="1"/>
        <v>100.46411617238218</v>
      </c>
      <c r="H226" s="24">
        <f t="shared" si="7"/>
        <v>3859.9117238217673</v>
      </c>
      <c r="I226" s="20">
        <f t="shared" si="2"/>
        <v>23926.05481985617</v>
      </c>
      <c r="J226" s="17">
        <f t="shared" si="8"/>
        <v>2.3926054819856173</v>
      </c>
    </row>
    <row r="227" spans="1:10" ht="12" customHeight="1" x14ac:dyDescent="0.3">
      <c r="A227" s="1">
        <f t="shared" si="3"/>
        <v>43836</v>
      </c>
      <c r="B227" s="20">
        <v>8791.2087912087918</v>
      </c>
      <c r="C227" s="20">
        <f t="shared" si="4"/>
        <v>20272.18705207836</v>
      </c>
      <c r="D227" s="21" t="str">
        <f t="shared" si="0"/>
        <v>200106</v>
      </c>
      <c r="E227" s="22">
        <f t="shared" si="5"/>
        <v>2.0879529863013433</v>
      </c>
      <c r="F227" s="9">
        <f t="shared" si="6"/>
        <v>-3.7694136986301374E-3</v>
      </c>
      <c r="G227" s="14">
        <f t="shared" si="1"/>
        <v>100.46225401485667</v>
      </c>
      <c r="H227" s="24">
        <f t="shared" si="7"/>
        <v>3841.2901485666848</v>
      </c>
      <c r="I227" s="20">
        <f t="shared" si="2"/>
        <v>24113.477200645044</v>
      </c>
      <c r="J227" s="17">
        <f t="shared" si="8"/>
        <v>2.4113477200645042</v>
      </c>
    </row>
    <row r="228" spans="1:10" ht="12" customHeight="1" x14ac:dyDescent="0.3">
      <c r="A228" s="1">
        <f t="shared" si="3"/>
        <v>43837</v>
      </c>
      <c r="B228" s="20">
        <v>8859.8901098901097</v>
      </c>
      <c r="C228" s="20">
        <f t="shared" si="4"/>
        <v>20340.868370759679</v>
      </c>
      <c r="D228" s="21" t="str">
        <f t="shared" si="0"/>
        <v>200107</v>
      </c>
      <c r="E228" s="22">
        <f t="shared" si="5"/>
        <v>2.0841835726027131</v>
      </c>
      <c r="F228" s="9">
        <f t="shared" si="6"/>
        <v>-1.2564712328767124E-3</v>
      </c>
      <c r="G228" s="14">
        <f t="shared" si="1"/>
        <v>100.4654048754369</v>
      </c>
      <c r="H228" s="24">
        <f t="shared" si="7"/>
        <v>3872.7987543690292</v>
      </c>
      <c r="I228" s="20">
        <f t="shared" si="2"/>
        <v>24213.667125128708</v>
      </c>
      <c r="J228" s="17">
        <f t="shared" si="8"/>
        <v>2.4213667125128708</v>
      </c>
    </row>
    <row r="229" spans="1:10" ht="12" customHeight="1" x14ac:dyDescent="0.3">
      <c r="A229" s="1">
        <f t="shared" si="3"/>
        <v>43838</v>
      </c>
      <c r="B229" s="20">
        <v>8928.5714285714294</v>
      </c>
      <c r="C229" s="20">
        <f t="shared" si="4"/>
        <v>20409.549689440999</v>
      </c>
      <c r="D229" s="21" t="str">
        <f t="shared" si="0"/>
        <v>200108</v>
      </c>
      <c r="E229" s="22">
        <f t="shared" si="5"/>
        <v>2.0829271013698363</v>
      </c>
      <c r="F229" s="9">
        <f t="shared" si="6"/>
        <v>-1.2564712328767124E-3</v>
      </c>
      <c r="G229" s="14">
        <f t="shared" si="1"/>
        <v>100.46571086924374</v>
      </c>
      <c r="H229" s="24">
        <f t="shared" si="7"/>
        <v>3875.8586924373612</v>
      </c>
      <c r="I229" s="20">
        <f t="shared" si="2"/>
        <v>24285.408381878362</v>
      </c>
      <c r="J229" s="17">
        <f t="shared" si="8"/>
        <v>2.4285408381878364</v>
      </c>
    </row>
    <row r="230" spans="1:10" ht="12" customHeight="1" x14ac:dyDescent="0.3">
      <c r="A230" s="1">
        <f t="shared" si="3"/>
        <v>43839</v>
      </c>
      <c r="B230" s="20">
        <v>8997.2527472527472</v>
      </c>
      <c r="C230" s="20">
        <f t="shared" si="4"/>
        <v>20478.231008122319</v>
      </c>
      <c r="D230" s="21" t="str">
        <f t="shared" si="0"/>
        <v>200109</v>
      </c>
      <c r="E230" s="22">
        <f t="shared" si="5"/>
        <v>2.0816706301369594</v>
      </c>
      <c r="F230" s="9">
        <f t="shared" si="6"/>
        <v>-1.2564712328767124E-3</v>
      </c>
      <c r="G230" s="14">
        <f t="shared" si="1"/>
        <v>100.46601038720837</v>
      </c>
      <c r="H230" s="24">
        <f t="shared" si="7"/>
        <v>3878.8538720837096</v>
      </c>
      <c r="I230" s="20">
        <f t="shared" si="2"/>
        <v>24357.084880206028</v>
      </c>
      <c r="J230" s="17">
        <f t="shared" si="8"/>
        <v>2.4357084880206026</v>
      </c>
    </row>
    <row r="231" spans="1:10" ht="12" customHeight="1" x14ac:dyDescent="0.3">
      <c r="A231" s="1">
        <f t="shared" si="3"/>
        <v>43840</v>
      </c>
      <c r="B231" s="20">
        <v>9065.9340659340651</v>
      </c>
      <c r="C231" s="20">
        <f t="shared" si="4"/>
        <v>20546.912326803635</v>
      </c>
      <c r="D231" s="21" t="str">
        <f t="shared" si="0"/>
        <v>200110</v>
      </c>
      <c r="E231" s="22">
        <f t="shared" si="5"/>
        <v>2.0804141589040825</v>
      </c>
      <c r="F231" s="9">
        <f t="shared" si="6"/>
        <v>-1.2564712328767124E-3</v>
      </c>
      <c r="G231" s="14">
        <f t="shared" si="1"/>
        <v>100.46630342780321</v>
      </c>
      <c r="H231" s="24">
        <f t="shared" si="7"/>
        <v>3881.7842780321143</v>
      </c>
      <c r="I231" s="20">
        <f t="shared" si="2"/>
        <v>24428.69660483575</v>
      </c>
      <c r="J231" s="17">
        <f t="shared" si="8"/>
        <v>2.4428696604835749</v>
      </c>
    </row>
    <row r="232" spans="1:10" ht="12" customHeight="1" x14ac:dyDescent="0.3">
      <c r="A232" s="1">
        <f t="shared" si="3"/>
        <v>43843</v>
      </c>
      <c r="B232" s="20">
        <v>9271.9780219780223</v>
      </c>
      <c r="C232" s="20">
        <f t="shared" si="4"/>
        <v>20752.95628284759</v>
      </c>
      <c r="D232" s="21" t="str">
        <f t="shared" si="0"/>
        <v>200113</v>
      </c>
      <c r="E232" s="22">
        <f t="shared" si="5"/>
        <v>2.0791576876712057</v>
      </c>
      <c r="F232" s="9">
        <f t="shared" si="6"/>
        <v>-3.7694136986301374E-3</v>
      </c>
      <c r="G232" s="14">
        <f t="shared" si="1"/>
        <v>100.46435277023079</v>
      </c>
      <c r="H232" s="24">
        <f t="shared" si="7"/>
        <v>3862.2777023078925</v>
      </c>
      <c r="I232" s="20">
        <f t="shared" si="2"/>
        <v>24615.233985155483</v>
      </c>
      <c r="J232" s="17">
        <f t="shared" si="8"/>
        <v>2.4615233985155482</v>
      </c>
    </row>
    <row r="233" spans="1:10" ht="12" customHeight="1" x14ac:dyDescent="0.3">
      <c r="A233" s="1">
        <f t="shared" si="3"/>
        <v>43844</v>
      </c>
      <c r="B233" s="20">
        <v>9340.6593406593402</v>
      </c>
      <c r="C233" s="20">
        <f t="shared" si="4"/>
        <v>20821.637601528906</v>
      </c>
      <c r="D233" s="21" t="str">
        <f t="shared" si="0"/>
        <v>200114</v>
      </c>
      <c r="E233" s="22">
        <f t="shared" si="5"/>
        <v>2.0753882739725755</v>
      </c>
      <c r="F233" s="9">
        <f t="shared" si="6"/>
        <v>-1.2564712328767124E-3</v>
      </c>
      <c r="G233" s="14">
        <f t="shared" si="1"/>
        <v>100.46741078597421</v>
      </c>
      <c r="H233" s="24">
        <f t="shared" si="7"/>
        <v>3892.8578597420938</v>
      </c>
      <c r="I233" s="20">
        <f t="shared" si="2"/>
        <v>24714.495461270999</v>
      </c>
      <c r="J233" s="17">
        <f t="shared" si="8"/>
        <v>2.4714495461271002</v>
      </c>
    </row>
    <row r="234" spans="1:10" ht="12" customHeight="1" x14ac:dyDescent="0.3">
      <c r="A234" s="1">
        <f t="shared" si="3"/>
        <v>43845</v>
      </c>
      <c r="B234" s="20">
        <v>9409.3406593406598</v>
      </c>
      <c r="C234" s="20">
        <f t="shared" si="4"/>
        <v>20890.318920210226</v>
      </c>
      <c r="D234" s="21" t="str">
        <f t="shared" si="0"/>
        <v>200115</v>
      </c>
      <c r="E234" s="22">
        <f t="shared" si="5"/>
        <v>2.0741318027396987</v>
      </c>
      <c r="F234" s="9">
        <f t="shared" si="6"/>
        <v>-1.2564712328767124E-3</v>
      </c>
      <c r="G234" s="14">
        <f t="shared" si="1"/>
        <v>100.46767141684808</v>
      </c>
      <c r="H234" s="24">
        <f t="shared" si="7"/>
        <v>3895.4641684807707</v>
      </c>
      <c r="I234" s="20">
        <f t="shared" si="2"/>
        <v>24785.783088690998</v>
      </c>
      <c r="J234" s="17">
        <f t="shared" si="8"/>
        <v>2.4785783088690998</v>
      </c>
    </row>
    <row r="235" spans="1:10" ht="12" customHeight="1" x14ac:dyDescent="0.3">
      <c r="A235" s="1">
        <f t="shared" si="3"/>
        <v>43846</v>
      </c>
      <c r="B235" s="20">
        <v>9478.0219780219777</v>
      </c>
      <c r="C235" s="20">
        <f t="shared" si="4"/>
        <v>20959.000238891545</v>
      </c>
      <c r="D235" s="21" t="str">
        <f t="shared" si="0"/>
        <v>200116</v>
      </c>
      <c r="E235" s="22">
        <f t="shared" si="5"/>
        <v>2.0728753315068218</v>
      </c>
      <c r="F235" s="9">
        <f t="shared" si="6"/>
        <v>-1.2564712328767124E-3</v>
      </c>
      <c r="G235" s="14">
        <f t="shared" si="1"/>
        <v>100.46792556121193</v>
      </c>
      <c r="H235" s="24">
        <f t="shared" si="7"/>
        <v>3898.0056121192774</v>
      </c>
      <c r="I235" s="20">
        <f t="shared" si="2"/>
        <v>24857.005851010821</v>
      </c>
      <c r="J235" s="17">
        <f t="shared" si="8"/>
        <v>2.4857005851010823</v>
      </c>
    </row>
    <row r="236" spans="1:10" ht="12" customHeight="1" x14ac:dyDescent="0.3">
      <c r="A236" s="1">
        <f t="shared" si="3"/>
        <v>43847</v>
      </c>
      <c r="B236" s="20">
        <v>9546.7032967032956</v>
      </c>
      <c r="C236" s="20">
        <f t="shared" si="4"/>
        <v>21027.681557572861</v>
      </c>
      <c r="D236" s="21" t="str">
        <f t="shared" si="0"/>
        <v>200117</v>
      </c>
      <c r="E236" s="22">
        <f t="shared" si="5"/>
        <v>2.0716188602739449</v>
      </c>
      <c r="F236" s="9">
        <f t="shared" si="6"/>
        <v>-1.2564712328767124E-3</v>
      </c>
      <c r="G236" s="14">
        <f t="shared" si="1"/>
        <v>100.46817321754666</v>
      </c>
      <c r="H236" s="24">
        <f t="shared" si="7"/>
        <v>3900.4821754666355</v>
      </c>
      <c r="I236" s="20">
        <f t="shared" si="2"/>
        <v>24928.163733039495</v>
      </c>
      <c r="J236" s="17">
        <f t="shared" si="8"/>
        <v>2.4928163733039495</v>
      </c>
    </row>
    <row r="237" spans="1:10" ht="12" customHeight="1" x14ac:dyDescent="0.3">
      <c r="A237" s="1">
        <f t="shared" si="3"/>
        <v>43850</v>
      </c>
      <c r="B237" s="20">
        <v>9752.7472527472528</v>
      </c>
      <c r="C237" s="20">
        <f t="shared" si="4"/>
        <v>21233.725513616817</v>
      </c>
      <c r="D237" s="21" t="str">
        <f t="shared" si="0"/>
        <v>200120</v>
      </c>
      <c r="E237" s="22">
        <f t="shared" si="5"/>
        <v>2.0703623890410681</v>
      </c>
      <c r="F237" s="9">
        <f t="shared" si="6"/>
        <v>-3.7694136986301374E-3</v>
      </c>
      <c r="G237" s="14">
        <f t="shared" si="1"/>
        <v>100.46613389765058</v>
      </c>
      <c r="H237" s="24">
        <f t="shared" si="7"/>
        <v>3880.0889765057887</v>
      </c>
      <c r="I237" s="20">
        <f t="shared" si="2"/>
        <v>25113.814490122604</v>
      </c>
      <c r="J237" s="17">
        <f t="shared" si="8"/>
        <v>2.5113814490122603</v>
      </c>
    </row>
    <row r="238" spans="1:10" ht="12" customHeight="1" x14ac:dyDescent="0.3">
      <c r="A238" s="1">
        <f t="shared" si="3"/>
        <v>43851</v>
      </c>
      <c r="B238" s="20">
        <v>9821.4285714285706</v>
      </c>
      <c r="C238" s="20">
        <f t="shared" si="4"/>
        <v>21302.406832298133</v>
      </c>
      <c r="D238" s="21" t="str">
        <f t="shared" si="0"/>
        <v>200121</v>
      </c>
      <c r="E238" s="22">
        <f t="shared" si="5"/>
        <v>2.0665929753424379</v>
      </c>
      <c r="F238" s="9">
        <f t="shared" si="6"/>
        <v>-1.2564712328767124E-3</v>
      </c>
      <c r="G238" s="14">
        <f t="shared" si="1"/>
        <v>100.46909893225525</v>
      </c>
      <c r="H238" s="24">
        <f t="shared" si="7"/>
        <v>3909.739322552497</v>
      </c>
      <c r="I238" s="20">
        <f t="shared" si="2"/>
        <v>25212.14615485063</v>
      </c>
      <c r="J238" s="17">
        <f t="shared" si="8"/>
        <v>2.521214615485063</v>
      </c>
    </row>
    <row r="239" spans="1:10" ht="12" customHeight="1" x14ac:dyDescent="0.3">
      <c r="A239" s="1">
        <f t="shared" si="3"/>
        <v>43852</v>
      </c>
      <c r="B239" s="20">
        <v>9890.1098901098903</v>
      </c>
      <c r="C239" s="20">
        <f t="shared" si="4"/>
        <v>21371.088150979453</v>
      </c>
      <c r="D239" s="21" t="str">
        <f t="shared" si="0"/>
        <v>200122</v>
      </c>
      <c r="E239" s="22">
        <f t="shared" si="5"/>
        <v>2.065336504109561</v>
      </c>
      <c r="F239" s="9">
        <f t="shared" si="6"/>
        <v>-1.2564712328767124E-3</v>
      </c>
      <c r="G239" s="14">
        <f t="shared" si="1"/>
        <v>100.46931412570066</v>
      </c>
      <c r="H239" s="24">
        <f t="shared" si="7"/>
        <v>3911.89125700663</v>
      </c>
      <c r="I239" s="20">
        <f t="shared" si="2"/>
        <v>25282.979407986084</v>
      </c>
      <c r="J239" s="17">
        <f t="shared" si="8"/>
        <v>2.5282979407986081</v>
      </c>
    </row>
    <row r="240" spans="1:10" ht="12" customHeight="1" x14ac:dyDescent="0.3">
      <c r="A240" s="1">
        <f t="shared" si="3"/>
        <v>43853</v>
      </c>
      <c r="B240" s="20">
        <v>9958.7912087912082</v>
      </c>
      <c r="C240" s="20">
        <f t="shared" si="4"/>
        <v>21439.769469660772</v>
      </c>
      <c r="D240" s="21" t="str">
        <f t="shared" si="0"/>
        <v>200123</v>
      </c>
      <c r="E240" s="22">
        <f t="shared" si="5"/>
        <v>2.0640800328766842</v>
      </c>
      <c r="F240" s="9">
        <f t="shared" si="6"/>
        <v>-1.2564712328767124E-3</v>
      </c>
      <c r="G240" s="14">
        <f t="shared" si="1"/>
        <v>100.46952282202807</v>
      </c>
      <c r="H240" s="24">
        <f t="shared" si="7"/>
        <v>3913.9782202806832</v>
      </c>
      <c r="I240" s="20">
        <f t="shared" si="2"/>
        <v>25353.747689941454</v>
      </c>
      <c r="J240" s="17">
        <f t="shared" si="8"/>
        <v>2.5353747689941453</v>
      </c>
    </row>
    <row r="241" spans="1:10" ht="12" customHeight="1" x14ac:dyDescent="0.3">
      <c r="A241" s="1">
        <f t="shared" si="3"/>
        <v>43854</v>
      </c>
      <c r="B241" s="20">
        <v>10027.472527472528</v>
      </c>
      <c r="C241" s="20">
        <f t="shared" si="4"/>
        <v>21508.450788342092</v>
      </c>
      <c r="D241" s="21" t="str">
        <f t="shared" si="0"/>
        <v>200124</v>
      </c>
      <c r="E241" s="22">
        <f t="shared" si="5"/>
        <v>2.0628235616438073</v>
      </c>
      <c r="F241" s="9">
        <f t="shared" si="6"/>
        <v>-1.2564712328767124E-3</v>
      </c>
      <c r="G241" s="14">
        <f t="shared" si="1"/>
        <v>100.46972501972691</v>
      </c>
      <c r="H241" s="24">
        <f t="shared" si="7"/>
        <v>3916.0001972690848</v>
      </c>
      <c r="I241" s="20">
        <f t="shared" si="2"/>
        <v>25424.450985611176</v>
      </c>
      <c r="J241" s="17">
        <f t="shared" si="8"/>
        <v>2.5424450985611178</v>
      </c>
    </row>
    <row r="242" spans="1:10" ht="12" customHeight="1" x14ac:dyDescent="0.3">
      <c r="A242" s="1">
        <f t="shared" si="3"/>
        <v>43857</v>
      </c>
      <c r="B242" s="20">
        <v>10233.516483516483</v>
      </c>
      <c r="C242" s="20">
        <f t="shared" si="4"/>
        <v>21714.494744386047</v>
      </c>
      <c r="D242" s="21" t="str">
        <f t="shared" si="0"/>
        <v>200127</v>
      </c>
      <c r="E242" s="22">
        <f t="shared" si="5"/>
        <v>2.0615670904109304</v>
      </c>
      <c r="F242" s="9">
        <f t="shared" si="6"/>
        <v>-3.7694136986301374E-3</v>
      </c>
      <c r="G242" s="14">
        <f t="shared" si="1"/>
        <v>100.4675968760467</v>
      </c>
      <c r="H242" s="24">
        <f t="shared" si="7"/>
        <v>3894.7187604669866</v>
      </c>
      <c r="I242" s="20">
        <f t="shared" si="2"/>
        <v>25609.213504853033</v>
      </c>
      <c r="J242" s="17">
        <f t="shared" si="8"/>
        <v>2.5609213504853034</v>
      </c>
    </row>
    <row r="243" spans="1:10" ht="12" customHeight="1" x14ac:dyDescent="0.3">
      <c r="A243" s="1">
        <f t="shared" si="3"/>
        <v>43858</v>
      </c>
      <c r="B243" s="20">
        <v>10302.197802197801</v>
      </c>
      <c r="C243" s="20">
        <f t="shared" si="4"/>
        <v>21783.176063067367</v>
      </c>
      <c r="D243" s="21" t="str">
        <f t="shared" si="0"/>
        <v>200128</v>
      </c>
      <c r="E243" s="22">
        <f t="shared" si="5"/>
        <v>2.0577976767123003</v>
      </c>
      <c r="F243" s="9">
        <f t="shared" si="6"/>
        <v>-1.2564712328767124E-3</v>
      </c>
      <c r="G243" s="14">
        <f t="shared" si="1"/>
        <v>100.47046879406838</v>
      </c>
      <c r="H243" s="24">
        <f t="shared" si="7"/>
        <v>3923.4379406838111</v>
      </c>
      <c r="I243" s="20">
        <f t="shared" si="2"/>
        <v>25706.61400375118</v>
      </c>
      <c r="J243" s="17">
        <f t="shared" si="8"/>
        <v>2.5706614003751178</v>
      </c>
    </row>
    <row r="244" spans="1:10" ht="12" customHeight="1" x14ac:dyDescent="0.3">
      <c r="A244" s="1">
        <f t="shared" si="3"/>
        <v>43859</v>
      </c>
      <c r="B244" s="20">
        <v>10370.879120879123</v>
      </c>
      <c r="C244" s="20">
        <f t="shared" si="4"/>
        <v>21851.85738174869</v>
      </c>
      <c r="D244" s="21" t="str">
        <f t="shared" si="0"/>
        <v>200129</v>
      </c>
      <c r="E244" s="22">
        <f t="shared" si="5"/>
        <v>2.0565412054794234</v>
      </c>
      <c r="F244" s="9">
        <f t="shared" si="6"/>
        <v>-1.2564712328767124E-3</v>
      </c>
      <c r="G244" s="14">
        <f t="shared" si="1"/>
        <v>100.470638476009</v>
      </c>
      <c r="H244" s="24">
        <f t="shared" si="7"/>
        <v>3925.1347600900031</v>
      </c>
      <c r="I244" s="20">
        <f t="shared" si="2"/>
        <v>25776.992141838695</v>
      </c>
      <c r="J244" s="17">
        <f t="shared" si="8"/>
        <v>2.5776992141838697</v>
      </c>
    </row>
    <row r="245" spans="1:10" ht="12" customHeight="1" x14ac:dyDescent="0.3">
      <c r="A245" s="1">
        <f t="shared" si="3"/>
        <v>43860</v>
      </c>
      <c r="B245" s="20">
        <v>10439.56043956044</v>
      </c>
      <c r="C245" s="20">
        <f t="shared" si="4"/>
        <v>21920.538700430006</v>
      </c>
      <c r="D245" s="21" t="str">
        <f t="shared" si="0"/>
        <v>200130</v>
      </c>
      <c r="E245" s="22">
        <f t="shared" si="5"/>
        <v>2.0552847342465466</v>
      </c>
      <c r="F245" s="9">
        <f t="shared" si="6"/>
        <v>-1.2564712328767124E-3</v>
      </c>
      <c r="G245" s="14">
        <f t="shared" si="1"/>
        <v>100.47080165028352</v>
      </c>
      <c r="H245" s="24">
        <f t="shared" si="7"/>
        <v>3926.766502835193</v>
      </c>
      <c r="I245" s="20">
        <f t="shared" si="2"/>
        <v>25847.305203265198</v>
      </c>
      <c r="J245" s="17">
        <f t="shared" si="8"/>
        <v>2.5847305203265196</v>
      </c>
    </row>
    <row r="246" spans="1:10" ht="12" customHeight="1" x14ac:dyDescent="0.3">
      <c r="A246" s="1">
        <f t="shared" si="3"/>
        <v>43861</v>
      </c>
      <c r="B246" s="20">
        <v>10508.241758241758</v>
      </c>
      <c r="C246" s="20">
        <f t="shared" si="4"/>
        <v>21989.220019111322</v>
      </c>
      <c r="D246" s="21" t="str">
        <f t="shared" si="0"/>
        <v>200131</v>
      </c>
      <c r="E246" s="22">
        <f t="shared" si="5"/>
        <v>2.0540282630136697</v>
      </c>
      <c r="F246" s="9">
        <f t="shared" si="6"/>
        <v>-1.2564712328767124E-3</v>
      </c>
      <c r="G246" s="14">
        <f t="shared" si="1"/>
        <v>100.47095831538996</v>
      </c>
      <c r="H246" s="24">
        <f t="shared" si="7"/>
        <v>3928.333153899644</v>
      </c>
      <c r="I246" s="20">
        <f t="shared" si="2"/>
        <v>25917.553173010965</v>
      </c>
      <c r="J246" s="17">
        <f t="shared" si="8"/>
        <v>2.5917553173010965</v>
      </c>
    </row>
    <row r="247" spans="1:10" ht="12" customHeight="1" x14ac:dyDescent="0.3">
      <c r="A247" s="1">
        <f t="shared" si="3"/>
        <v>43864</v>
      </c>
      <c r="B247" s="20">
        <v>10714.285714285714</v>
      </c>
      <c r="C247" s="20">
        <f t="shared" si="4"/>
        <v>22195.263975155278</v>
      </c>
      <c r="D247" s="21" t="str">
        <f t="shared" si="0"/>
        <v>200203</v>
      </c>
      <c r="E247" s="22">
        <f t="shared" si="5"/>
        <v>2.0527717917807928</v>
      </c>
      <c r="F247" s="9">
        <f t="shared" si="6"/>
        <v>-3.7694136986301374E-3</v>
      </c>
      <c r="G247" s="14">
        <f t="shared" si="1"/>
        <v>100.46874118728401</v>
      </c>
      <c r="H247" s="24">
        <f t="shared" si="7"/>
        <v>3906.1618728401018</v>
      </c>
      <c r="I247" s="20">
        <f t="shared" si="2"/>
        <v>26101.425847995379</v>
      </c>
      <c r="J247" s="17">
        <f t="shared" si="8"/>
        <v>2.6101425847995379</v>
      </c>
    </row>
    <row r="248" spans="1:10" ht="12" customHeight="1" x14ac:dyDescent="0.3">
      <c r="A248" s="1">
        <f t="shared" si="3"/>
        <v>43865</v>
      </c>
      <c r="B248" s="20">
        <v>10782.967032967035</v>
      </c>
      <c r="C248" s="20">
        <f t="shared" si="4"/>
        <v>22263.945293836601</v>
      </c>
      <c r="D248" s="21" t="str">
        <f t="shared" si="0"/>
        <v>200204</v>
      </c>
      <c r="E248" s="22">
        <f t="shared" si="5"/>
        <v>2.0490023780821627</v>
      </c>
      <c r="F248" s="9">
        <f t="shared" si="6"/>
        <v>-1.2564712328767124E-3</v>
      </c>
      <c r="G248" s="14">
        <f t="shared" si="1"/>
        <v>100.47151985413862</v>
      </c>
      <c r="H248" s="24">
        <f t="shared" si="7"/>
        <v>3933.9485413862008</v>
      </c>
      <c r="I248" s="20">
        <f t="shared" si="2"/>
        <v>26197.893835222803</v>
      </c>
      <c r="J248" s="17">
        <f t="shared" si="8"/>
        <v>2.6197893835222805</v>
      </c>
    </row>
    <row r="249" spans="1:10" ht="12" customHeight="1" x14ac:dyDescent="0.3">
      <c r="A249" s="1">
        <f t="shared" si="3"/>
        <v>43866</v>
      </c>
      <c r="B249" s="20">
        <v>10851.648351648351</v>
      </c>
      <c r="C249" s="20">
        <f t="shared" si="4"/>
        <v>22332.626612517917</v>
      </c>
      <c r="D249" s="21" t="str">
        <f t="shared" si="0"/>
        <v>200205</v>
      </c>
      <c r="E249" s="22">
        <f t="shared" si="5"/>
        <v>2.0477459068492858</v>
      </c>
      <c r="F249" s="9">
        <f t="shared" si="6"/>
        <v>-1.2564712328767124E-3</v>
      </c>
      <c r="G249" s="14">
        <f t="shared" si="1"/>
        <v>100.47164395091814</v>
      </c>
      <c r="H249" s="24">
        <f t="shared" si="7"/>
        <v>3935.1895091813558</v>
      </c>
      <c r="I249" s="20">
        <f t="shared" si="2"/>
        <v>26267.816121699274</v>
      </c>
      <c r="J249" s="17">
        <f t="shared" si="8"/>
        <v>2.6267816121699274</v>
      </c>
    </row>
    <row r="250" spans="1:10" ht="12" customHeight="1" x14ac:dyDescent="0.3">
      <c r="A250" s="1">
        <f t="shared" si="3"/>
        <v>43867</v>
      </c>
      <c r="B250" s="20">
        <v>10920.329670329671</v>
      </c>
      <c r="C250" s="20">
        <f t="shared" si="4"/>
        <v>22401.307931199237</v>
      </c>
      <c r="D250" s="21" t="str">
        <f t="shared" si="0"/>
        <v>200206</v>
      </c>
      <c r="E250" s="22">
        <f t="shared" si="5"/>
        <v>2.0464894356164089</v>
      </c>
      <c r="F250" s="9">
        <f t="shared" si="6"/>
        <v>-1.2564712328767124E-3</v>
      </c>
      <c r="G250" s="14">
        <f t="shared" si="1"/>
        <v>100.47176152954366</v>
      </c>
      <c r="H250" s="24">
        <f t="shared" si="7"/>
        <v>3936.3652954365593</v>
      </c>
      <c r="I250" s="20">
        <f t="shared" si="2"/>
        <v>26337.673226635798</v>
      </c>
      <c r="J250" s="17">
        <f t="shared" si="8"/>
        <v>2.63376732266358</v>
      </c>
    </row>
    <row r="251" spans="1:10" ht="12" customHeight="1" x14ac:dyDescent="0.3">
      <c r="A251" s="1">
        <f t="shared" si="3"/>
        <v>43868</v>
      </c>
      <c r="B251" s="20">
        <v>10989.010989010991</v>
      </c>
      <c r="C251" s="20">
        <f t="shared" si="4"/>
        <v>22469.989249880557</v>
      </c>
      <c r="D251" s="21" t="str">
        <f t="shared" si="0"/>
        <v>200207</v>
      </c>
      <c r="E251" s="22">
        <f t="shared" si="5"/>
        <v>2.0452329643835321</v>
      </c>
      <c r="F251" s="9">
        <f t="shared" si="6"/>
        <v>-1.2564712328767124E-3</v>
      </c>
      <c r="G251" s="14">
        <f t="shared" si="1"/>
        <v>100.47187258852176</v>
      </c>
      <c r="H251" s="24">
        <f t="shared" si="7"/>
        <v>3937.4758852176228</v>
      </c>
      <c r="I251" s="20">
        <f t="shared" si="2"/>
        <v>26407.46513509818</v>
      </c>
      <c r="J251" s="17">
        <f t="shared" si="8"/>
        <v>2.6407465135098183</v>
      </c>
    </row>
    <row r="252" spans="1:10" ht="12" customHeight="1" x14ac:dyDescent="0.3">
      <c r="A252" s="1">
        <f t="shared" si="3"/>
        <v>43871</v>
      </c>
      <c r="B252" s="20">
        <v>11195.054945054946</v>
      </c>
      <c r="C252" s="20">
        <f t="shared" si="4"/>
        <v>22676.033205924512</v>
      </c>
      <c r="D252" s="21" t="str">
        <f t="shared" si="0"/>
        <v>200210</v>
      </c>
      <c r="E252" s="22">
        <f t="shared" si="5"/>
        <v>2.0439764931506552</v>
      </c>
      <c r="F252" s="9">
        <f t="shared" si="6"/>
        <v>-3.7694136986301374E-3</v>
      </c>
      <c r="G252" s="14">
        <f t="shared" si="1"/>
        <v>100.46956631616992</v>
      </c>
      <c r="H252" s="24">
        <f t="shared" si="7"/>
        <v>3914.4131616991731</v>
      </c>
      <c r="I252" s="20">
        <f t="shared" si="2"/>
        <v>26590.446367623685</v>
      </c>
      <c r="J252" s="17">
        <f t="shared" si="8"/>
        <v>2.6590446367623684</v>
      </c>
    </row>
    <row r="253" spans="1:10" ht="12" customHeight="1" x14ac:dyDescent="0.3">
      <c r="A253" s="1">
        <f t="shared" si="3"/>
        <v>43872</v>
      </c>
      <c r="B253" s="20">
        <v>11263.736263736262</v>
      </c>
      <c r="C253" s="20">
        <f t="shared" si="4"/>
        <v>22744.714524605828</v>
      </c>
      <c r="D253" s="21" t="str">
        <f t="shared" si="0"/>
        <v>200211</v>
      </c>
      <c r="E253" s="22">
        <f t="shared" si="5"/>
        <v>2.0402070794520251</v>
      </c>
      <c r="F253" s="9">
        <f t="shared" si="6"/>
        <v>-1.2564712328767124E-3</v>
      </c>
      <c r="G253" s="14">
        <f t="shared" si="1"/>
        <v>100.47225159813595</v>
      </c>
      <c r="H253" s="24">
        <f t="shared" si="7"/>
        <v>3941.2659813595501</v>
      </c>
      <c r="I253" s="20">
        <f t="shared" si="2"/>
        <v>26685.980505965377</v>
      </c>
      <c r="J253" s="17">
        <f t="shared" si="8"/>
        <v>2.6685980505965379</v>
      </c>
    </row>
    <row r="254" spans="1:10" ht="12" customHeight="1" x14ac:dyDescent="0.3">
      <c r="A254" s="1">
        <f t="shared" si="3"/>
        <v>43873</v>
      </c>
      <c r="B254" s="20">
        <v>11332.417582417582</v>
      </c>
      <c r="C254" s="20">
        <f t="shared" si="4"/>
        <v>22813.395843287148</v>
      </c>
      <c r="D254" s="21" t="str">
        <f t="shared" si="0"/>
        <v>200212</v>
      </c>
      <c r="E254" s="22">
        <f t="shared" si="5"/>
        <v>2.0389506082191482</v>
      </c>
      <c r="F254" s="9">
        <f t="shared" si="6"/>
        <v>-1.2564712328767124E-3</v>
      </c>
      <c r="G254" s="14">
        <f t="shared" si="1"/>
        <v>100.47233003651972</v>
      </c>
      <c r="H254" s="24">
        <f t="shared" si="7"/>
        <v>3942.0503651972185</v>
      </c>
      <c r="I254" s="20">
        <f t="shared" si="2"/>
        <v>26755.446208484365</v>
      </c>
      <c r="J254" s="17">
        <f t="shared" si="8"/>
        <v>2.6755446208484366</v>
      </c>
    </row>
    <row r="255" spans="1:10" ht="12" customHeight="1" x14ac:dyDescent="0.3">
      <c r="A255" s="1">
        <f t="shared" si="3"/>
        <v>43874</v>
      </c>
      <c r="B255" s="20">
        <v>11401.098901098901</v>
      </c>
      <c r="C255" s="20">
        <f t="shared" si="4"/>
        <v>22882.077161968467</v>
      </c>
      <c r="D255" s="21" t="str">
        <f t="shared" si="0"/>
        <v>200213</v>
      </c>
      <c r="E255" s="22">
        <f t="shared" si="5"/>
        <v>2.0376941369862713</v>
      </c>
      <c r="F255" s="9">
        <f t="shared" si="6"/>
        <v>-1.2564712328767124E-3</v>
      </c>
      <c r="G255" s="14">
        <f t="shared" si="1"/>
        <v>100.47240194632182</v>
      </c>
      <c r="H255" s="24">
        <f t="shared" si="7"/>
        <v>3942.7694632182411</v>
      </c>
      <c r="I255" s="20">
        <f t="shared" si="2"/>
        <v>26824.846625186707</v>
      </c>
      <c r="J255" s="17">
        <f t="shared" si="8"/>
        <v>2.6824846625186707</v>
      </c>
    </row>
    <row r="256" spans="1:10" ht="12" customHeight="1" x14ac:dyDescent="0.3">
      <c r="A256" s="1">
        <f t="shared" si="3"/>
        <v>43875</v>
      </c>
      <c r="B256" s="20">
        <v>11469.780219780218</v>
      </c>
      <c r="C256" s="20">
        <f t="shared" si="4"/>
        <v>22950.758480649783</v>
      </c>
      <c r="D256" s="21" t="str">
        <f t="shared" si="0"/>
        <v>200214</v>
      </c>
      <c r="E256" s="22">
        <f t="shared" si="5"/>
        <v>2.0364376657533945</v>
      </c>
      <c r="F256" s="9">
        <f t="shared" si="6"/>
        <v>-1.2564712328767124E-3</v>
      </c>
      <c r="G256" s="14">
        <f t="shared" si="1"/>
        <v>100.47246732605748</v>
      </c>
      <c r="H256" s="24">
        <f t="shared" si="7"/>
        <v>3943.4232605748321</v>
      </c>
      <c r="I256" s="20">
        <f t="shared" si="2"/>
        <v>26894.181741224616</v>
      </c>
      <c r="J256" s="17">
        <f t="shared" si="8"/>
        <v>2.6894181741224616</v>
      </c>
    </row>
    <row r="257" spans="1:12" ht="12" customHeight="1" x14ac:dyDescent="0.3">
      <c r="A257" s="1">
        <f t="shared" si="3"/>
        <v>43878</v>
      </c>
      <c r="B257" s="20">
        <v>11675.824175824177</v>
      </c>
      <c r="C257" s="20">
        <f t="shared" si="4"/>
        <v>23156.802436693742</v>
      </c>
      <c r="D257" s="21" t="str">
        <f t="shared" si="0"/>
        <v>200217</v>
      </c>
      <c r="E257" s="22">
        <f t="shared" si="5"/>
        <v>2.0351811945205176</v>
      </c>
      <c r="F257" s="9">
        <f t="shared" si="6"/>
        <v>-3.7694136986301374E-3</v>
      </c>
      <c r="G257" s="14">
        <f t="shared" si="1"/>
        <v>100.47007175046379</v>
      </c>
      <c r="H257" s="24">
        <f t="shared" si="7"/>
        <v>3919.4675046378793</v>
      </c>
      <c r="I257" s="20">
        <f t="shared" si="2"/>
        <v>27076.269941331622</v>
      </c>
      <c r="J257" s="17">
        <f t="shared" si="8"/>
        <v>2.7076269941331623</v>
      </c>
    </row>
    <row r="258" spans="1:12" ht="12" customHeight="1" x14ac:dyDescent="0.3">
      <c r="A258" s="1">
        <f t="shared" si="3"/>
        <v>43879</v>
      </c>
      <c r="B258" s="20">
        <v>11744.505494505494</v>
      </c>
      <c r="C258" s="20">
        <f t="shared" si="4"/>
        <v>23225.483755375062</v>
      </c>
      <c r="D258" s="21" t="str">
        <f t="shared" si="0"/>
        <v>200218</v>
      </c>
      <c r="E258" s="22">
        <f t="shared" si="5"/>
        <v>2.0314117808218874</v>
      </c>
      <c r="F258" s="9">
        <f t="shared" si="6"/>
        <v>-1.2564712328767124E-3</v>
      </c>
      <c r="G258" s="14">
        <f t="shared" si="1"/>
        <v>100.47266351468474</v>
      </c>
      <c r="H258" s="24">
        <f t="shared" si="7"/>
        <v>3945.3851468473999</v>
      </c>
      <c r="I258" s="20">
        <f t="shared" si="2"/>
        <v>27170.868902222461</v>
      </c>
      <c r="J258" s="17">
        <f t="shared" si="8"/>
        <v>2.7170868902222463</v>
      </c>
    </row>
    <row r="259" spans="1:12" ht="12" customHeight="1" x14ac:dyDescent="0.3">
      <c r="A259" s="1">
        <f t="shared" si="3"/>
        <v>43880</v>
      </c>
      <c r="B259" s="20">
        <v>11813.186813186814</v>
      </c>
      <c r="C259" s="20">
        <f t="shared" si="4"/>
        <v>23294.165074056382</v>
      </c>
      <c r="D259" s="21" t="str">
        <f t="shared" si="0"/>
        <v>200219</v>
      </c>
      <c r="E259" s="22">
        <f t="shared" si="5"/>
        <v>2.0301553095890106</v>
      </c>
      <c r="F259" s="9">
        <f t="shared" si="6"/>
        <v>-1.2564712328767124E-3</v>
      </c>
      <c r="G259" s="14">
        <f t="shared" si="1"/>
        <v>100.47269622186066</v>
      </c>
      <c r="H259" s="24">
        <f t="shared" si="7"/>
        <v>3945.7122186065872</v>
      </c>
      <c r="I259" s="20">
        <f t="shared" si="2"/>
        <v>27239.877292662968</v>
      </c>
      <c r="J259" s="17">
        <f t="shared" si="8"/>
        <v>2.7239877292662968</v>
      </c>
      <c r="K259" s="14"/>
      <c r="L259" s="14"/>
    </row>
    <row r="260" spans="1:12" ht="12" customHeight="1" x14ac:dyDescent="0.3">
      <c r="A260" s="1">
        <f t="shared" si="3"/>
        <v>43881</v>
      </c>
      <c r="B260" s="20">
        <v>11881.868131868132</v>
      </c>
      <c r="C260" s="20">
        <f t="shared" si="4"/>
        <v>23362.846392737702</v>
      </c>
      <c r="D260" s="21" t="str">
        <f t="shared" si="0"/>
        <v>200220</v>
      </c>
      <c r="E260" s="22">
        <f t="shared" si="5"/>
        <v>2.0288988383561337</v>
      </c>
      <c r="F260" s="9">
        <f t="shared" si="6"/>
        <v>-1.2564712328767124E-3</v>
      </c>
      <c r="G260" s="14">
        <f t="shared" si="1"/>
        <v>100.47272239008777</v>
      </c>
      <c r="H260" s="24">
        <f t="shared" si="7"/>
        <v>3945.9739008776751</v>
      </c>
      <c r="I260" s="20">
        <f t="shared" si="2"/>
        <v>27308.820293615376</v>
      </c>
      <c r="J260" s="17">
        <f t="shared" si="8"/>
        <v>2.7308820293615375</v>
      </c>
    </row>
    <row r="261" spans="1:12" ht="12" customHeight="1" x14ac:dyDescent="0.3">
      <c r="A261" s="1">
        <f t="shared" si="3"/>
        <v>43882</v>
      </c>
      <c r="B261" s="20">
        <v>11950.54945054945</v>
      </c>
      <c r="C261" s="20">
        <f t="shared" si="4"/>
        <v>23431.527711419018</v>
      </c>
      <c r="D261" s="21" t="str">
        <f t="shared" si="0"/>
        <v>200221</v>
      </c>
      <c r="E261" s="22">
        <f t="shared" si="5"/>
        <v>2.0276423671232569</v>
      </c>
      <c r="F261" s="9">
        <f t="shared" si="6"/>
        <v>-1.2564712328767124E-3</v>
      </c>
      <c r="G261" s="14">
        <f t="shared" si="1"/>
        <v>100.47274201788998</v>
      </c>
      <c r="H261" s="24">
        <f t="shared" si="7"/>
        <v>3946.1701788998485</v>
      </c>
      <c r="I261" s="20">
        <f t="shared" si="2"/>
        <v>27377.697890318865</v>
      </c>
      <c r="J261" s="17">
        <f t="shared" si="8"/>
        <v>2.7377697890318862</v>
      </c>
    </row>
    <row r="262" spans="1:12" ht="12" customHeight="1" x14ac:dyDescent="0.3">
      <c r="A262" s="1">
        <f t="shared" si="3"/>
        <v>43885</v>
      </c>
      <c r="B262" s="20">
        <v>12156.593406593405</v>
      </c>
      <c r="C262" s="20">
        <f t="shared" si="4"/>
        <v>23637.571667462973</v>
      </c>
      <c r="D262" s="21" t="str">
        <f t="shared" si="0"/>
        <v>200224</v>
      </c>
      <c r="E262" s="22">
        <f t="shared" si="5"/>
        <v>2.02638589589038</v>
      </c>
      <c r="F262" s="9">
        <f t="shared" si="6"/>
        <v>-3.7694136986301374E-3</v>
      </c>
      <c r="G262" s="14">
        <f t="shared" si="1"/>
        <v>100.47025698088517</v>
      </c>
      <c r="H262" s="24">
        <f t="shared" si="7"/>
        <v>3921.3198088516779</v>
      </c>
      <c r="I262" s="20">
        <f t="shared" si="2"/>
        <v>27558.891476314649</v>
      </c>
      <c r="J262" s="17">
        <f t="shared" si="8"/>
        <v>2.7558891476314651</v>
      </c>
    </row>
    <row r="263" spans="1:12" ht="12" customHeight="1" x14ac:dyDescent="0.3">
      <c r="A263" s="1">
        <f t="shared" si="3"/>
        <v>43886</v>
      </c>
      <c r="B263" s="20">
        <v>12225.274725274723</v>
      </c>
      <c r="C263" s="20">
        <f t="shared" si="4"/>
        <v>23706.252986144289</v>
      </c>
      <c r="D263" s="21" t="str">
        <f t="shared" si="0"/>
        <v>200225</v>
      </c>
      <c r="E263" s="22">
        <f t="shared" si="5"/>
        <v>2.0226164821917498</v>
      </c>
      <c r="F263" s="9">
        <f t="shared" si="6"/>
        <v>-1.2564712328767124E-3</v>
      </c>
      <c r="G263" s="14">
        <f t="shared" si="1"/>
        <v>100.47275509537191</v>
      </c>
      <c r="H263" s="24">
        <f t="shared" si="7"/>
        <v>3946.3009537190887</v>
      </c>
      <c r="I263" s="20">
        <f t="shared" si="2"/>
        <v>27652.553939863377</v>
      </c>
      <c r="J263" s="17">
        <f t="shared" si="8"/>
        <v>2.7652553939863376</v>
      </c>
    </row>
    <row r="264" spans="1:12" ht="12" customHeight="1" x14ac:dyDescent="0.3">
      <c r="A264" s="1">
        <f t="shared" si="3"/>
        <v>43887</v>
      </c>
      <c r="B264" s="20">
        <v>12293.956043956043</v>
      </c>
      <c r="C264" s="20">
        <f t="shared" si="4"/>
        <v>23774.934304825609</v>
      </c>
      <c r="D264" s="21" t="str">
        <f t="shared" si="0"/>
        <v>200226</v>
      </c>
      <c r="E264" s="22">
        <f t="shared" si="5"/>
        <v>2.021360010958873</v>
      </c>
      <c r="F264" s="9">
        <f t="shared" si="6"/>
        <v>-1.2564712328767124E-3</v>
      </c>
      <c r="G264" s="14">
        <f t="shared" si="1"/>
        <v>100.47274199895196</v>
      </c>
      <c r="H264" s="24">
        <f t="shared" si="7"/>
        <v>3946.1699895196034</v>
      </c>
      <c r="I264" s="20">
        <f t="shared" si="2"/>
        <v>27721.104294345212</v>
      </c>
      <c r="J264" s="17">
        <f t="shared" si="8"/>
        <v>2.7721104294345214</v>
      </c>
    </row>
    <row r="265" spans="1:12" ht="12" customHeight="1" x14ac:dyDescent="0.3">
      <c r="A265" s="1">
        <f t="shared" si="3"/>
        <v>43888</v>
      </c>
      <c r="B265" s="20">
        <v>12362.637362637364</v>
      </c>
      <c r="C265" s="20">
        <f t="shared" si="4"/>
        <v>23843.615623506928</v>
      </c>
      <c r="D265" s="21" t="str">
        <f t="shared" si="0"/>
        <v>200227</v>
      </c>
      <c r="E265" s="22">
        <f t="shared" si="5"/>
        <v>2.0201035397259961</v>
      </c>
      <c r="F265" s="9">
        <f t="shared" si="6"/>
        <v>-1.2564712328767124E-3</v>
      </c>
      <c r="G265" s="14">
        <f t="shared" si="1"/>
        <v>100.47272235327675</v>
      </c>
      <c r="H265" s="24">
        <f t="shared" si="7"/>
        <v>3945.9735327675107</v>
      </c>
      <c r="I265" s="20">
        <f t="shared" si="2"/>
        <v>27789.58915627444</v>
      </c>
      <c r="J265" s="17">
        <f t="shared" si="8"/>
        <v>2.7789589156274443</v>
      </c>
    </row>
    <row r="266" spans="1:12" ht="12" customHeight="1" x14ac:dyDescent="0.3">
      <c r="A266" s="1">
        <f t="shared" si="3"/>
        <v>43889</v>
      </c>
      <c r="B266" s="20">
        <v>12431.31868131868</v>
      </c>
      <c r="C266" s="20">
        <f t="shared" si="4"/>
        <v>23912.296942188244</v>
      </c>
      <c r="D266" s="21" t="str">
        <f t="shared" si="0"/>
        <v>200228</v>
      </c>
      <c r="E266" s="22">
        <f t="shared" si="5"/>
        <v>2.0188470684931192</v>
      </c>
      <c r="F266" s="9">
        <f t="shared" si="6"/>
        <v>-1.2564712328767124E-3</v>
      </c>
      <c r="G266" s="14">
        <f t="shared" si="1"/>
        <v>100.47269615687885</v>
      </c>
      <c r="H266" s="24">
        <f t="shared" si="7"/>
        <v>3945.7115687885394</v>
      </c>
      <c r="I266" s="20">
        <f t="shared" si="2"/>
        <v>27858.008510976782</v>
      </c>
      <c r="J266" s="17">
        <f t="shared" si="8"/>
        <v>2.7858008510976782</v>
      </c>
    </row>
    <row r="267" spans="1:12" ht="12" customHeight="1" x14ac:dyDescent="0.3">
      <c r="A267" s="1">
        <f t="shared" si="3"/>
        <v>43892</v>
      </c>
      <c r="B267" s="20">
        <v>135.86956521739131</v>
      </c>
      <c r="C267" s="20">
        <f t="shared" si="4"/>
        <v>24116.847826086956</v>
      </c>
      <c r="D267" s="21" t="str">
        <f t="shared" si="0"/>
        <v>200302</v>
      </c>
      <c r="E267" s="22">
        <f t="shared" si="5"/>
        <v>2.0175905972602424</v>
      </c>
      <c r="F267" s="9">
        <f t="shared" si="6"/>
        <v>-3.7694136986301374E-3</v>
      </c>
      <c r="G267" s="14">
        <f t="shared" si="1"/>
        <v>100.47252399205648</v>
      </c>
      <c r="H267" s="24">
        <f t="shared" si="7"/>
        <v>3943.989920564803</v>
      </c>
      <c r="I267" s="20">
        <f t="shared" si="2"/>
        <v>28060.83774665176</v>
      </c>
      <c r="J267" s="17">
        <f t="shared" si="8"/>
        <v>2.8060837746651761</v>
      </c>
    </row>
    <row r="268" spans="1:12" ht="12" customHeight="1" x14ac:dyDescent="0.3">
      <c r="A268" s="1">
        <f t="shared" si="3"/>
        <v>43893</v>
      </c>
      <c r="B268" s="20">
        <v>203.80434782608697</v>
      </c>
      <c r="C268" s="20">
        <f t="shared" si="4"/>
        <v>24184.782608695652</v>
      </c>
      <c r="D268" s="21" t="str">
        <f t="shared" si="0"/>
        <v>200303</v>
      </c>
      <c r="E268" s="22">
        <f t="shared" si="5"/>
        <v>2.0138211835616122</v>
      </c>
      <c r="F268" s="9">
        <f t="shared" si="6"/>
        <v>-1.2564712328767124E-3</v>
      </c>
      <c r="G268" s="14">
        <f t="shared" si="1"/>
        <v>100.47487905215748</v>
      </c>
      <c r="H268" s="24">
        <f t="shared" si="7"/>
        <v>3967.5405215747619</v>
      </c>
      <c r="I268" s="20">
        <f t="shared" si="2"/>
        <v>28152.323130270415</v>
      </c>
      <c r="J268" s="17">
        <f t="shared" si="8"/>
        <v>2.8152323130270416</v>
      </c>
    </row>
    <row r="269" spans="1:12" ht="12" customHeight="1" x14ac:dyDescent="0.3">
      <c r="A269" s="1">
        <f t="shared" si="3"/>
        <v>43894</v>
      </c>
      <c r="B269" s="20">
        <v>271.73913043478262</v>
      </c>
      <c r="C269" s="20">
        <f t="shared" si="4"/>
        <v>24252.717391304348</v>
      </c>
      <c r="D269" s="21" t="str">
        <f t="shared" si="0"/>
        <v>200304</v>
      </c>
      <c r="E269" s="22">
        <f t="shared" si="5"/>
        <v>2.0125647123287354</v>
      </c>
      <c r="F269" s="9">
        <f t="shared" si="6"/>
        <v>-1.2564712328767124E-3</v>
      </c>
      <c r="G269" s="14">
        <f t="shared" si="1"/>
        <v>100.47475693029961</v>
      </c>
      <c r="H269" s="24">
        <f t="shared" si="7"/>
        <v>3966.3193029960553</v>
      </c>
      <c r="I269" s="20">
        <f t="shared" si="2"/>
        <v>28219.036694300405</v>
      </c>
      <c r="J269" s="17">
        <f t="shared" si="8"/>
        <v>2.8219036694300406</v>
      </c>
    </row>
    <row r="270" spans="1:12" ht="12" customHeight="1" x14ac:dyDescent="0.3">
      <c r="A270" s="1">
        <f t="shared" si="3"/>
        <v>43895</v>
      </c>
      <c r="B270" s="20">
        <v>339.67391304347825</v>
      </c>
      <c r="C270" s="20">
        <f t="shared" si="4"/>
        <v>24320.652173913044</v>
      </c>
      <c r="D270" s="21" t="str">
        <f t="shared" si="0"/>
        <v>200305</v>
      </c>
      <c r="E270" s="22">
        <f t="shared" si="5"/>
        <v>2.0113082410958585</v>
      </c>
      <c r="F270" s="9">
        <f t="shared" si="6"/>
        <v>-1.2564712328767124E-3</v>
      </c>
      <c r="G270" s="14">
        <f t="shared" si="1"/>
        <v>100.47462833322254</v>
      </c>
      <c r="H270" s="24">
        <f t="shared" si="7"/>
        <v>3965.0333322254028</v>
      </c>
      <c r="I270" s="20">
        <f t="shared" si="2"/>
        <v>28285.685506138449</v>
      </c>
      <c r="J270" s="17">
        <f t="shared" si="8"/>
        <v>2.8285685506138449</v>
      </c>
    </row>
    <row r="271" spans="1:12" ht="12" customHeight="1" x14ac:dyDescent="0.3">
      <c r="A271" s="1">
        <f t="shared" si="3"/>
        <v>43896</v>
      </c>
      <c r="B271" s="20">
        <v>407.60869565217394</v>
      </c>
      <c r="C271" s="20">
        <f t="shared" si="4"/>
        <v>24388.58695652174</v>
      </c>
      <c r="D271" s="21" t="str">
        <f t="shared" si="0"/>
        <v>200306</v>
      </c>
      <c r="E271" s="22">
        <f t="shared" si="5"/>
        <v>2.0100517698629816</v>
      </c>
      <c r="F271" s="9">
        <f t="shared" si="6"/>
        <v>-1.2564712328767124E-3</v>
      </c>
      <c r="G271" s="14">
        <f t="shared" si="1"/>
        <v>100.47449325948131</v>
      </c>
      <c r="H271" s="24">
        <f t="shared" si="7"/>
        <v>3963.682594813065</v>
      </c>
      <c r="I271" s="20">
        <f t="shared" si="2"/>
        <v>28352.269551334804</v>
      </c>
      <c r="J271" s="17">
        <f t="shared" si="8"/>
        <v>2.8352269551334803</v>
      </c>
    </row>
    <row r="272" spans="1:12" ht="12" customHeight="1" x14ac:dyDescent="0.3">
      <c r="A272" s="1">
        <f t="shared" si="3"/>
        <v>43899</v>
      </c>
      <c r="B272" s="20">
        <v>611.41304347826087</v>
      </c>
      <c r="C272" s="20">
        <f t="shared" si="4"/>
        <v>24592.391304347828</v>
      </c>
      <c r="D272" s="21" t="str">
        <f t="shared" si="0"/>
        <v>200309</v>
      </c>
      <c r="E272" s="22">
        <f t="shared" si="5"/>
        <v>2.0087952986301048</v>
      </c>
      <c r="F272" s="9">
        <f t="shared" si="6"/>
        <v>-3.7694136986301374E-3</v>
      </c>
      <c r="G272" s="14">
        <f t="shared" si="1"/>
        <v>100.47162581098142</v>
      </c>
      <c r="H272" s="24">
        <f t="shared" si="7"/>
        <v>3935.0081098142196</v>
      </c>
      <c r="I272" s="20">
        <f t="shared" si="2"/>
        <v>28527.399414162046</v>
      </c>
      <c r="J272" s="17">
        <f t="shared" si="8"/>
        <v>2.8527399414162047</v>
      </c>
    </row>
    <row r="273" spans="1:10" ht="12" customHeight="1" x14ac:dyDescent="0.3">
      <c r="A273" s="1">
        <f t="shared" si="3"/>
        <v>43900</v>
      </c>
      <c r="B273" s="20">
        <v>679.3478260869565</v>
      </c>
      <c r="C273" s="20">
        <f t="shared" si="4"/>
        <v>24660.326086956524</v>
      </c>
      <c r="D273" s="21" t="str">
        <f t="shared" si="0"/>
        <v>200310</v>
      </c>
      <c r="E273" s="22">
        <f t="shared" si="5"/>
        <v>2.0050258849314746</v>
      </c>
      <c r="F273" s="9">
        <f t="shared" si="6"/>
        <v>-1.2564712328767124E-3</v>
      </c>
      <c r="G273" s="14">
        <f t="shared" si="1"/>
        <v>100.47388816901989</v>
      </c>
      <c r="H273" s="24">
        <f t="shared" si="7"/>
        <v>3957.6316901988666</v>
      </c>
      <c r="I273" s="20">
        <f t="shared" si="2"/>
        <v>28617.957777155389</v>
      </c>
      <c r="J273" s="17">
        <f t="shared" si="8"/>
        <v>2.8617957777155389</v>
      </c>
    </row>
    <row r="274" spans="1:10" ht="12" customHeight="1" x14ac:dyDescent="0.3">
      <c r="A274" s="1">
        <f t="shared" si="3"/>
        <v>43901</v>
      </c>
      <c r="B274" s="20">
        <v>747.28260869565213</v>
      </c>
      <c r="C274" s="20">
        <f t="shared" si="4"/>
        <v>24728.26086956522</v>
      </c>
      <c r="D274" s="21" t="str">
        <f t="shared" si="0"/>
        <v>200311</v>
      </c>
      <c r="E274" s="22">
        <f t="shared" si="5"/>
        <v>2.0037694136985977</v>
      </c>
      <c r="F274" s="9">
        <f t="shared" si="6"/>
        <v>-1.2564712328767124E-3</v>
      </c>
      <c r="G274" s="14">
        <f t="shared" si="1"/>
        <v>100.47372069032741</v>
      </c>
      <c r="H274" s="24">
        <f t="shared" si="7"/>
        <v>3955.9569032741142</v>
      </c>
      <c r="I274" s="20">
        <f t="shared" si="2"/>
        <v>28684.217772839333</v>
      </c>
      <c r="J274" s="17">
        <f t="shared" si="8"/>
        <v>2.8684217772839333</v>
      </c>
    </row>
    <row r="275" spans="1:10" ht="12" customHeight="1" x14ac:dyDescent="0.3">
      <c r="A275" s="1">
        <f t="shared" si="3"/>
        <v>43902</v>
      </c>
      <c r="B275" s="20">
        <v>815.21739130434787</v>
      </c>
      <c r="C275" s="20">
        <f t="shared" si="4"/>
        <v>24796.195652173916</v>
      </c>
      <c r="D275" s="21" t="str">
        <f t="shared" si="0"/>
        <v>200312</v>
      </c>
      <c r="E275" s="22">
        <f t="shared" si="5"/>
        <v>2.0025129424657209</v>
      </c>
      <c r="F275" s="9">
        <f t="shared" si="6"/>
        <v>-1.2564712328767124E-3</v>
      </c>
      <c r="G275" s="14">
        <f t="shared" si="1"/>
        <v>100.4735467263272</v>
      </c>
      <c r="H275" s="24">
        <f t="shared" si="7"/>
        <v>3954.2172632719994</v>
      </c>
      <c r="I275" s="20">
        <f t="shared" si="2"/>
        <v>28750.412915445915</v>
      </c>
      <c r="J275" s="17">
        <f t="shared" si="8"/>
        <v>2.8750412915445915</v>
      </c>
    </row>
    <row r="276" spans="1:10" ht="12" customHeight="1" x14ac:dyDescent="0.3">
      <c r="A276" s="1">
        <f t="shared" si="3"/>
        <v>43903</v>
      </c>
      <c r="B276" s="20">
        <v>883.15217391304338</v>
      </c>
      <c r="C276" s="20">
        <f t="shared" si="4"/>
        <v>24864.130434782612</v>
      </c>
      <c r="D276" s="21" t="str">
        <f t="shared" si="0"/>
        <v>200313</v>
      </c>
      <c r="E276" s="22">
        <f t="shared" si="5"/>
        <v>2.001256471232844</v>
      </c>
      <c r="F276" s="9">
        <f t="shared" si="6"/>
        <v>-1.2564712328767124E-3</v>
      </c>
      <c r="G276" s="14">
        <f t="shared" si="1"/>
        <v>100.47336627558295</v>
      </c>
      <c r="H276" s="24">
        <f t="shared" si="7"/>
        <v>3952.4127558294708</v>
      </c>
      <c r="I276" s="20">
        <f t="shared" si="2"/>
        <v>28816.543190612083</v>
      </c>
      <c r="J276" s="17">
        <f t="shared" si="8"/>
        <v>2.8816543190612083</v>
      </c>
    </row>
    <row r="277" spans="1:10" ht="12" customHeight="1" x14ac:dyDescent="0.3">
      <c r="A277" s="1">
        <f t="shared" si="3"/>
        <v>43906</v>
      </c>
      <c r="B277" s="20">
        <v>1086.9565217391305</v>
      </c>
      <c r="C277" s="20">
        <f t="shared" si="4"/>
        <v>25067.9347826087</v>
      </c>
      <c r="D277" s="21" t="str">
        <f t="shared" si="0"/>
        <v>200316</v>
      </c>
      <c r="E277" s="22">
        <f t="shared" si="5"/>
        <v>1.9999999999999674</v>
      </c>
      <c r="F277" s="9">
        <f t="shared" si="6"/>
        <v>-3.7694136986301374E-3</v>
      </c>
      <c r="G277" s="14">
        <f t="shared" si="1"/>
        <v>100.47041004877497</v>
      </c>
      <c r="H277" s="24">
        <f t="shared" si="7"/>
        <v>3922.8504877496562</v>
      </c>
      <c r="I277" s="20">
        <f t="shared" si="2"/>
        <v>28990.785270358356</v>
      </c>
      <c r="J277" s="17">
        <f t="shared" si="8"/>
        <v>2.8990785270358357</v>
      </c>
    </row>
    <row r="278" spans="1:10" ht="12" customHeight="1" x14ac:dyDescent="0.3">
      <c r="A278" s="1">
        <f t="shared" si="3"/>
        <v>43907</v>
      </c>
      <c r="B278" s="20">
        <v>1154.891304347826</v>
      </c>
      <c r="C278" s="20">
        <f t="shared" si="4"/>
        <v>25135.869565217396</v>
      </c>
      <c r="D278" s="21" t="str">
        <f t="shared" si="0"/>
        <v>200317</v>
      </c>
      <c r="E278" s="22">
        <f t="shared" si="5"/>
        <v>1.9962305863013372</v>
      </c>
      <c r="F278" s="9">
        <f t="shared" si="6"/>
        <v>-1.2564712328767124E-3</v>
      </c>
      <c r="G278" s="14">
        <f t="shared" si="1"/>
        <v>100.47257957648306</v>
      </c>
      <c r="H278" s="24">
        <f t="shared" si="7"/>
        <v>3944.5457648305646</v>
      </c>
      <c r="I278" s="20">
        <f t="shared" si="2"/>
        <v>29080.415330047959</v>
      </c>
      <c r="J278" s="17">
        <f t="shared" si="8"/>
        <v>2.9080415330047957</v>
      </c>
    </row>
    <row r="279" spans="1:10" ht="12" customHeight="1" x14ac:dyDescent="0.3">
      <c r="A279" s="1">
        <f t="shared" si="3"/>
        <v>43908</v>
      </c>
      <c r="B279" s="20">
        <v>1222.8260869565217</v>
      </c>
      <c r="C279" s="20">
        <f t="shared" si="4"/>
        <v>25203.804347826092</v>
      </c>
      <c r="D279" s="21" t="str">
        <f t="shared" si="0"/>
        <v>200318</v>
      </c>
      <c r="E279" s="22">
        <f t="shared" si="5"/>
        <v>1.9949741150684606</v>
      </c>
      <c r="F279" s="9">
        <f t="shared" si="6"/>
        <v>-1.2564712328767124E-3</v>
      </c>
      <c r="G279" s="14">
        <f t="shared" si="1"/>
        <v>100.47236667051747</v>
      </c>
      <c r="H279" s="24">
        <f t="shared" si="7"/>
        <v>3942.4167051747359</v>
      </c>
      <c r="I279" s="20">
        <f t="shared" si="2"/>
        <v>29146.221053000827</v>
      </c>
      <c r="J279" s="17">
        <f t="shared" si="8"/>
        <v>2.9146221053000825</v>
      </c>
    </row>
    <row r="280" spans="1:10" ht="12" customHeight="1" x14ac:dyDescent="0.3">
      <c r="A280" s="1">
        <f t="shared" si="3"/>
        <v>43909</v>
      </c>
      <c r="B280" s="20">
        <v>1290.7608695652173</v>
      </c>
      <c r="C280" s="20">
        <f t="shared" si="4"/>
        <v>25271.739130434788</v>
      </c>
      <c r="D280" s="21" t="str">
        <f t="shared" si="0"/>
        <v>200319</v>
      </c>
      <c r="E280" s="22">
        <f t="shared" si="5"/>
        <v>1.9937176438355839</v>
      </c>
      <c r="F280" s="9">
        <f t="shared" si="6"/>
        <v>-1.2564712328767124E-3</v>
      </c>
      <c r="G280" s="14">
        <f t="shared" si="1"/>
        <v>100.47214726921608</v>
      </c>
      <c r="H280" s="24">
        <f t="shared" si="7"/>
        <v>3940.2226921608021</v>
      </c>
      <c r="I280" s="20">
        <f t="shared" si="2"/>
        <v>29211.961822595589</v>
      </c>
      <c r="J280" s="17">
        <f t="shared" si="8"/>
        <v>2.9211961822595591</v>
      </c>
    </row>
    <row r="281" spans="1:10" ht="12" customHeight="1" x14ac:dyDescent="0.3">
      <c r="A281" s="1">
        <f t="shared" si="3"/>
        <v>43910</v>
      </c>
      <c r="B281" s="20">
        <v>1358.695652173913</v>
      </c>
      <c r="C281" s="20">
        <f t="shared" si="4"/>
        <v>25339.673913043483</v>
      </c>
      <c r="D281" s="21" t="str">
        <f t="shared" si="0"/>
        <v>200320</v>
      </c>
      <c r="E281" s="22">
        <f t="shared" si="5"/>
        <v>1.9924611726027073</v>
      </c>
      <c r="F281" s="9">
        <f t="shared" si="6"/>
        <v>-1.2564712328767124E-3</v>
      </c>
      <c r="G281" s="14">
        <f t="shared" si="1"/>
        <v>100.47192137115117</v>
      </c>
      <c r="H281" s="24">
        <f t="shared" si="7"/>
        <v>3937.9637115116848</v>
      </c>
      <c r="I281" s="20">
        <f t="shared" si="2"/>
        <v>29277.637624555169</v>
      </c>
      <c r="J281" s="17">
        <f t="shared" si="8"/>
        <v>2.9277637624555171</v>
      </c>
    </row>
    <row r="282" spans="1:10" ht="12" customHeight="1" x14ac:dyDescent="0.3">
      <c r="A282" s="1">
        <f t="shared" si="3"/>
        <v>43913</v>
      </c>
      <c r="B282" s="20">
        <v>1562.5</v>
      </c>
      <c r="C282" s="20">
        <f t="shared" si="4"/>
        <v>25543.478260869571</v>
      </c>
      <c r="D282" s="21" t="str">
        <f t="shared" si="0"/>
        <v>200323</v>
      </c>
      <c r="E282" s="22">
        <f t="shared" si="5"/>
        <v>1.9912047013698306</v>
      </c>
      <c r="F282" s="9">
        <f t="shared" si="6"/>
        <v>-3.7694136986301374E-3</v>
      </c>
      <c r="G282" s="14">
        <f t="shared" si="1"/>
        <v>100.46887621277199</v>
      </c>
      <c r="H282" s="24">
        <f t="shared" si="7"/>
        <v>3907.5121277198832</v>
      </c>
      <c r="I282" s="20">
        <f t="shared" si="2"/>
        <v>29450.990388589453</v>
      </c>
      <c r="J282" s="17">
        <f t="shared" si="8"/>
        <v>2.9450990388589453</v>
      </c>
    </row>
    <row r="283" spans="1:10" ht="12" customHeight="1" x14ac:dyDescent="0.3">
      <c r="A283" s="1">
        <f t="shared" si="3"/>
        <v>43914</v>
      </c>
      <c r="B283" s="20">
        <v>1630.4347826086957</v>
      </c>
      <c r="C283" s="20">
        <f t="shared" si="4"/>
        <v>25611.413043478267</v>
      </c>
      <c r="D283" s="21" t="str">
        <f t="shared" si="0"/>
        <v>200324</v>
      </c>
      <c r="E283" s="22">
        <f t="shared" si="5"/>
        <v>1.9874352876712005</v>
      </c>
      <c r="F283" s="9">
        <f t="shared" si="6"/>
        <v>-1.2564712328767124E-3</v>
      </c>
      <c r="G283" s="14">
        <f t="shared" si="1"/>
        <v>100.47095278274685</v>
      </c>
      <c r="H283" s="24">
        <f t="shared" si="7"/>
        <v>3928.2778274684915</v>
      </c>
      <c r="I283" s="20">
        <f t="shared" si="2"/>
        <v>29539.690870946761</v>
      </c>
      <c r="J283" s="17">
        <f t="shared" si="8"/>
        <v>2.9539690870946758</v>
      </c>
    </row>
    <row r="284" spans="1:10" ht="12" customHeight="1" x14ac:dyDescent="0.3">
      <c r="A284" s="1">
        <f t="shared" si="3"/>
        <v>43915</v>
      </c>
      <c r="B284" s="20">
        <v>1698.3695652173913</v>
      </c>
      <c r="C284" s="20">
        <f t="shared" si="4"/>
        <v>25679.347826086963</v>
      </c>
      <c r="D284" s="21" t="str">
        <f t="shared" si="0"/>
        <v>200325</v>
      </c>
      <c r="E284" s="22">
        <f t="shared" si="5"/>
        <v>1.9861788164383238</v>
      </c>
      <c r="F284" s="9">
        <f t="shared" si="6"/>
        <v>-1.2564712328767124E-3</v>
      </c>
      <c r="G284" s="14">
        <f t="shared" si="1"/>
        <v>100.47069437949298</v>
      </c>
      <c r="H284" s="24">
        <f t="shared" si="7"/>
        <v>3925.6937949298276</v>
      </c>
      <c r="I284" s="20">
        <f t="shared" si="2"/>
        <v>29605.04162101679</v>
      </c>
      <c r="J284" s="17">
        <f t="shared" si="8"/>
        <v>2.960504162101679</v>
      </c>
    </row>
    <row r="285" spans="1:10" ht="12" customHeight="1" x14ac:dyDescent="0.3">
      <c r="A285" s="1">
        <f t="shared" si="3"/>
        <v>43916</v>
      </c>
      <c r="B285" s="20">
        <v>1766.3043478260868</v>
      </c>
      <c r="C285" s="20">
        <f t="shared" si="4"/>
        <v>25747.282608695659</v>
      </c>
      <c r="D285" s="21" t="str">
        <f t="shared" si="0"/>
        <v>200326</v>
      </c>
      <c r="E285" s="22">
        <f t="shared" si="5"/>
        <v>1.9849223452054472</v>
      </c>
      <c r="F285" s="9">
        <f t="shared" si="6"/>
        <v>-1.2564712328767124E-3</v>
      </c>
      <c r="G285" s="14">
        <f t="shared" si="1"/>
        <v>100.47042947093571</v>
      </c>
      <c r="H285" s="24">
        <f t="shared" si="7"/>
        <v>3923.0447093571288</v>
      </c>
      <c r="I285" s="20">
        <f t="shared" si="2"/>
        <v>29670.327318052787</v>
      </c>
      <c r="J285" s="17">
        <f t="shared" si="8"/>
        <v>2.9670327318052787</v>
      </c>
    </row>
    <row r="286" spans="1:10" ht="12" customHeight="1" x14ac:dyDescent="0.3">
      <c r="A286" s="1">
        <f t="shared" si="3"/>
        <v>43917</v>
      </c>
      <c r="B286" s="20">
        <v>1834.2391304347827</v>
      </c>
      <c r="C286" s="20">
        <f t="shared" si="4"/>
        <v>25815.217391304355</v>
      </c>
      <c r="D286" s="21" t="str">
        <f t="shared" si="0"/>
        <v>200327</v>
      </c>
      <c r="E286" s="22">
        <f t="shared" si="5"/>
        <v>1.9836658739725705</v>
      </c>
      <c r="F286" s="9">
        <f t="shared" si="6"/>
        <v>-1.2564712328767124E-3</v>
      </c>
      <c r="G286" s="14">
        <f t="shared" si="1"/>
        <v>100.47015805565604</v>
      </c>
      <c r="H286" s="24">
        <f t="shared" si="7"/>
        <v>3920.3305565604296</v>
      </c>
      <c r="I286" s="20">
        <f t="shared" si="2"/>
        <v>29735.547947864783</v>
      </c>
      <c r="J286" s="17">
        <f t="shared" si="8"/>
        <v>2.9735547947864784</v>
      </c>
    </row>
    <row r="287" spans="1:10" ht="12" customHeight="1" x14ac:dyDescent="0.3">
      <c r="A287" s="1">
        <f t="shared" si="3"/>
        <v>43920</v>
      </c>
      <c r="B287" s="20">
        <v>2038.0434782608697</v>
      </c>
      <c r="C287" s="20">
        <f t="shared" si="4"/>
        <v>26019.021739130443</v>
      </c>
      <c r="D287" s="21" t="str">
        <f t="shared" si="0"/>
        <v>200330</v>
      </c>
      <c r="E287" s="22">
        <f t="shared" si="5"/>
        <v>1.9824094027396939</v>
      </c>
      <c r="F287" s="9">
        <f t="shared" si="6"/>
        <v>-3.7694136986301374E-3</v>
      </c>
      <c r="G287" s="14">
        <f t="shared" si="1"/>
        <v>100.46702381327101</v>
      </c>
      <c r="H287" s="24">
        <f t="shared" si="7"/>
        <v>3888.9881327101252</v>
      </c>
      <c r="I287" s="20">
        <f t="shared" si="2"/>
        <v>29908.009871840568</v>
      </c>
      <c r="J287" s="17">
        <f t="shared" si="8"/>
        <v>2.9908009871840568</v>
      </c>
    </row>
    <row r="288" spans="1:10" ht="12" customHeight="1" x14ac:dyDescent="0.3">
      <c r="A288" s="1">
        <f t="shared" si="3"/>
        <v>43921</v>
      </c>
      <c r="B288" s="20">
        <v>2105.978260869565</v>
      </c>
      <c r="C288" s="20">
        <f t="shared" si="4"/>
        <v>26086.956521739139</v>
      </c>
      <c r="D288" s="21" t="str">
        <f t="shared" si="0"/>
        <v>200331</v>
      </c>
      <c r="E288" s="22">
        <f t="shared" si="5"/>
        <v>1.9786399890410638</v>
      </c>
      <c r="F288" s="9">
        <f t="shared" si="6"/>
        <v>-1.2564712328767124E-3</v>
      </c>
      <c r="G288" s="14">
        <f t="shared" si="1"/>
        <v>100.46900729897708</v>
      </c>
      <c r="H288" s="24">
        <f t="shared" si="7"/>
        <v>3908.8229897707552</v>
      </c>
      <c r="I288" s="20">
        <f t="shared" si="2"/>
        <v>29995.779511509892</v>
      </c>
      <c r="J288" s="17">
        <f t="shared" si="8"/>
        <v>2.9995779511509895</v>
      </c>
    </row>
    <row r="289" spans="1:10" ht="12" customHeight="1" x14ac:dyDescent="0.3">
      <c r="A289" s="1">
        <f t="shared" si="3"/>
        <v>43922</v>
      </c>
      <c r="B289" s="20">
        <v>2173.913043478261</v>
      </c>
      <c r="C289" s="20">
        <f t="shared" si="4"/>
        <v>26154.891304347835</v>
      </c>
      <c r="D289" s="21" t="str">
        <f t="shared" si="0"/>
        <v>200401</v>
      </c>
      <c r="E289" s="22">
        <f t="shared" si="5"/>
        <v>1.9773835178081871</v>
      </c>
      <c r="F289" s="9">
        <f t="shared" si="6"/>
        <v>-1.2564712328767124E-3</v>
      </c>
      <c r="G289" s="14">
        <f t="shared" si="1"/>
        <v>100.46870332884399</v>
      </c>
      <c r="H289" s="24">
        <f t="shared" si="7"/>
        <v>3905.783288439864</v>
      </c>
      <c r="I289" s="20">
        <f t="shared" si="2"/>
        <v>30060.674592787698</v>
      </c>
      <c r="J289" s="17">
        <f t="shared" si="8"/>
        <v>3.0060674592787699</v>
      </c>
    </row>
    <row r="290" spans="1:10" ht="12" customHeight="1" x14ac:dyDescent="0.3">
      <c r="A290" s="1">
        <f t="shared" si="3"/>
        <v>43923</v>
      </c>
      <c r="B290" s="20">
        <v>2241.8478260869565</v>
      </c>
      <c r="C290" s="20">
        <f t="shared" si="4"/>
        <v>26222.826086956531</v>
      </c>
      <c r="D290" s="21" t="str">
        <f t="shared" si="0"/>
        <v>200402</v>
      </c>
      <c r="E290" s="22">
        <f t="shared" si="5"/>
        <v>1.9761270465753105</v>
      </c>
      <c r="F290" s="9">
        <f t="shared" si="6"/>
        <v>-1.2564712328767124E-3</v>
      </c>
      <c r="G290" s="14">
        <f t="shared" si="1"/>
        <v>100.46839284350071</v>
      </c>
      <c r="H290" s="24">
        <f t="shared" si="7"/>
        <v>3902.6784350070898</v>
      </c>
      <c r="I290" s="20">
        <f t="shared" si="2"/>
        <v>30125.504521963619</v>
      </c>
      <c r="J290" s="17">
        <f t="shared" si="8"/>
        <v>3.0125504521963617</v>
      </c>
    </row>
    <row r="291" spans="1:10" ht="12" customHeight="1" x14ac:dyDescent="0.3">
      <c r="A291" s="1">
        <f t="shared" si="3"/>
        <v>43924</v>
      </c>
      <c r="B291" s="20">
        <v>2309.782608695652</v>
      </c>
      <c r="C291" s="20">
        <f t="shared" si="4"/>
        <v>26290.760869565227</v>
      </c>
      <c r="D291" s="21" t="str">
        <f t="shared" si="0"/>
        <v>200403</v>
      </c>
      <c r="E291" s="22">
        <f t="shared" si="5"/>
        <v>1.9748705753424338</v>
      </c>
      <c r="F291" s="9">
        <f t="shared" si="6"/>
        <v>-1.2564712328767124E-3</v>
      </c>
      <c r="G291" s="14">
        <f t="shared" si="1"/>
        <v>100.46807584153689</v>
      </c>
      <c r="H291" s="24">
        <f t="shared" si="7"/>
        <v>3899.5084153688713</v>
      </c>
      <c r="I291" s="20">
        <f t="shared" si="2"/>
        <v>30190.269284934097</v>
      </c>
      <c r="J291" s="17">
        <f t="shared" si="8"/>
        <v>3.0190269284934095</v>
      </c>
    </row>
    <row r="292" spans="1:10" ht="12" customHeight="1" x14ac:dyDescent="0.3">
      <c r="A292" s="1">
        <f t="shared" si="3"/>
        <v>43927</v>
      </c>
      <c r="B292" s="20">
        <v>2513.5869565217395</v>
      </c>
      <c r="C292" s="20">
        <f t="shared" si="4"/>
        <v>26494.565217391315</v>
      </c>
      <c r="D292" s="21" t="str">
        <f t="shared" si="0"/>
        <v>200406</v>
      </c>
      <c r="E292" s="22">
        <f t="shared" si="5"/>
        <v>1.9736141041095572</v>
      </c>
      <c r="F292" s="9">
        <f t="shared" si="6"/>
        <v>-3.7694136986301374E-3</v>
      </c>
      <c r="G292" s="14">
        <f t="shared" si="1"/>
        <v>100.46485236354225</v>
      </c>
      <c r="H292" s="24">
        <f t="shared" si="7"/>
        <v>3867.2736354224926</v>
      </c>
      <c r="I292" s="20">
        <f t="shared" si="2"/>
        <v>30361.838852813809</v>
      </c>
      <c r="J292" s="17">
        <f t="shared" si="8"/>
        <v>3.0361838852813809</v>
      </c>
    </row>
    <row r="293" spans="1:10" ht="12" customHeight="1" x14ac:dyDescent="0.3">
      <c r="A293" s="1">
        <f t="shared" si="3"/>
        <v>43928</v>
      </c>
      <c r="B293" s="20">
        <v>2581.5217391304345</v>
      </c>
      <c r="C293" s="20">
        <f t="shared" si="4"/>
        <v>26562.500000000011</v>
      </c>
      <c r="D293" s="21" t="str">
        <f t="shared" si="0"/>
        <v>200407</v>
      </c>
      <c r="E293" s="22">
        <f t="shared" si="5"/>
        <v>1.969844690410927</v>
      </c>
      <c r="F293" s="9">
        <f t="shared" si="6"/>
        <v>-1.2564712328767124E-3</v>
      </c>
      <c r="G293" s="14">
        <f t="shared" si="1"/>
        <v>100.46674263931365</v>
      </c>
      <c r="H293" s="24">
        <f t="shared" si="7"/>
        <v>3886.176393136509</v>
      </c>
      <c r="I293" s="20">
        <f t="shared" si="2"/>
        <v>30448.67639313652</v>
      </c>
      <c r="J293" s="17">
        <f t="shared" si="8"/>
        <v>3.0448676393136522</v>
      </c>
    </row>
    <row r="294" spans="1:10" ht="12" customHeight="1" x14ac:dyDescent="0.3">
      <c r="A294" s="1">
        <f t="shared" si="3"/>
        <v>43929</v>
      </c>
      <c r="B294" s="20">
        <v>2649.45652173913</v>
      </c>
      <c r="C294" s="20">
        <f t="shared" si="4"/>
        <v>26630.434782608707</v>
      </c>
      <c r="D294" s="21" t="str">
        <f t="shared" si="0"/>
        <v>200408</v>
      </c>
      <c r="E294" s="22">
        <f t="shared" si="5"/>
        <v>1.9685882191780504</v>
      </c>
      <c r="F294" s="9">
        <f t="shared" si="6"/>
        <v>-1.2564712328767124E-3</v>
      </c>
      <c r="G294" s="14">
        <f t="shared" si="1"/>
        <v>100.46639303313614</v>
      </c>
      <c r="H294" s="24">
        <f t="shared" si="7"/>
        <v>3882.6803313614278</v>
      </c>
      <c r="I294" s="20">
        <f t="shared" si="2"/>
        <v>30513.115113970136</v>
      </c>
      <c r="J294" s="17">
        <f t="shared" si="8"/>
        <v>3.0513115113970137</v>
      </c>
    </row>
    <row r="295" spans="1:10" ht="12" customHeight="1" x14ac:dyDescent="0.3">
      <c r="A295" s="1">
        <f t="shared" si="3"/>
        <v>43930</v>
      </c>
      <c r="B295" s="20">
        <v>2717.391304347826</v>
      </c>
      <c r="C295" s="20">
        <f t="shared" si="4"/>
        <v>26698.369565217403</v>
      </c>
      <c r="D295" s="21" t="str">
        <f t="shared" si="0"/>
        <v>200409</v>
      </c>
      <c r="E295" s="22">
        <f t="shared" si="5"/>
        <v>1.9673317479451737</v>
      </c>
      <c r="F295" s="9">
        <f t="shared" si="6"/>
        <v>-1.2564712328767124E-3</v>
      </c>
      <c r="G295" s="14">
        <f t="shared" si="1"/>
        <v>100.46603690190246</v>
      </c>
      <c r="H295" s="24">
        <f t="shared" si="7"/>
        <v>3879.119019024557</v>
      </c>
      <c r="I295" s="20">
        <f t="shared" si="2"/>
        <v>30577.488584241961</v>
      </c>
      <c r="J295" s="17">
        <f t="shared" si="8"/>
        <v>3.0577488584241959</v>
      </c>
    </row>
    <row r="296" spans="1:10" ht="12" customHeight="1" x14ac:dyDescent="0.3">
      <c r="A296" s="1">
        <f t="shared" si="3"/>
        <v>43931</v>
      </c>
      <c r="B296" s="20">
        <v>2785.3260869565215</v>
      </c>
      <c r="C296" s="20">
        <f t="shared" si="4"/>
        <v>26766.304347826099</v>
      </c>
      <c r="D296" s="21" t="str">
        <f t="shared" si="0"/>
        <v>200410</v>
      </c>
      <c r="E296" s="22">
        <f t="shared" si="5"/>
        <v>1.9660752767122971</v>
      </c>
      <c r="F296" s="9">
        <f t="shared" si="6"/>
        <v>-1.2564712328767124E-3</v>
      </c>
      <c r="G296" s="14">
        <f t="shared" si="1"/>
        <v>100.46567424421094</v>
      </c>
      <c r="H296" s="24">
        <f t="shared" si="7"/>
        <v>3875.4924421094474</v>
      </c>
      <c r="I296" s="20">
        <f t="shared" si="2"/>
        <v>30641.796789935546</v>
      </c>
      <c r="J296" s="17">
        <f t="shared" si="8"/>
        <v>3.0641796789935545</v>
      </c>
    </row>
    <row r="297" spans="1:10" ht="12" customHeight="1" x14ac:dyDescent="0.3">
      <c r="A297" s="1">
        <f t="shared" si="3"/>
        <v>43934</v>
      </c>
      <c r="B297" s="20">
        <v>2989.1304347826085</v>
      </c>
      <c r="C297" s="20">
        <f t="shared" si="4"/>
        <v>26970.108695652187</v>
      </c>
      <c r="D297" s="21" t="str">
        <f t="shared" si="0"/>
        <v>200413</v>
      </c>
      <c r="E297" s="22">
        <f t="shared" si="5"/>
        <v>1.9648188054794204</v>
      </c>
      <c r="F297" s="9">
        <f t="shared" si="6"/>
        <v>-3.7694136986301374E-3</v>
      </c>
      <c r="G297" s="14">
        <f t="shared" si="1"/>
        <v>100.46236137983641</v>
      </c>
      <c r="H297" s="24">
        <f t="shared" si="7"/>
        <v>3842.3637983640901</v>
      </c>
      <c r="I297" s="20">
        <f t="shared" si="2"/>
        <v>30812.472494016278</v>
      </c>
      <c r="J297" s="17">
        <f t="shared" si="8"/>
        <v>3.0812472494016276</v>
      </c>
    </row>
    <row r="298" spans="1:10" ht="12" customHeight="1" x14ac:dyDescent="0.3">
      <c r="A298" s="1">
        <f t="shared" si="3"/>
        <v>43935</v>
      </c>
      <c r="B298" s="20">
        <v>3057.0652173913045</v>
      </c>
      <c r="C298" s="20">
        <f t="shared" si="4"/>
        <v>27038.043478260883</v>
      </c>
      <c r="D298" s="21" t="str">
        <f t="shared" si="0"/>
        <v>200414</v>
      </c>
      <c r="E298" s="22">
        <f t="shared" si="5"/>
        <v>1.9610493917807903</v>
      </c>
      <c r="F298" s="9">
        <f t="shared" si="6"/>
        <v>-1.2564712328767124E-3</v>
      </c>
      <c r="G298" s="14">
        <f t="shared" si="1"/>
        <v>100.46415832087912</v>
      </c>
      <c r="H298" s="24">
        <f t="shared" si="7"/>
        <v>3860.3332087912177</v>
      </c>
      <c r="I298" s="20">
        <f t="shared" si="2"/>
        <v>30898.376687052099</v>
      </c>
      <c r="J298" s="17">
        <f t="shared" si="8"/>
        <v>3.08983766870521</v>
      </c>
    </row>
    <row r="299" spans="1:10" ht="12" customHeight="1" x14ac:dyDescent="0.3">
      <c r="A299" s="1">
        <f t="shared" si="3"/>
        <v>43936</v>
      </c>
      <c r="B299" s="20">
        <v>3125</v>
      </c>
      <c r="C299" s="20">
        <f t="shared" si="4"/>
        <v>27105.978260869579</v>
      </c>
      <c r="D299" s="21" t="str">
        <f t="shared" si="0"/>
        <v>200415</v>
      </c>
      <c r="E299" s="22">
        <f t="shared" si="5"/>
        <v>1.9597929205479137</v>
      </c>
      <c r="F299" s="9">
        <f t="shared" si="6"/>
        <v>-1.2564712328767124E-3</v>
      </c>
      <c r="G299" s="14">
        <f t="shared" si="1"/>
        <v>100.46376300991864</v>
      </c>
      <c r="H299" s="24">
        <f t="shared" si="7"/>
        <v>3856.3800991863668</v>
      </c>
      <c r="I299" s="20">
        <f t="shared" si="2"/>
        <v>30962.358360055947</v>
      </c>
      <c r="J299" s="17">
        <f t="shared" si="8"/>
        <v>3.0962358360055946</v>
      </c>
    </row>
    <row r="300" spans="1:10" ht="12" customHeight="1" x14ac:dyDescent="0.3">
      <c r="A300" s="1">
        <f t="shared" si="3"/>
        <v>43937</v>
      </c>
      <c r="B300" s="20">
        <v>3192.9347826086964</v>
      </c>
      <c r="C300" s="20">
        <f t="shared" si="4"/>
        <v>27173.913043478275</v>
      </c>
      <c r="D300" s="21" t="str">
        <f t="shared" si="0"/>
        <v>200416</v>
      </c>
      <c r="E300" s="22">
        <f t="shared" si="5"/>
        <v>1.958536449315037</v>
      </c>
      <c r="F300" s="9">
        <f t="shared" si="6"/>
        <v>-1.2564712328767124E-3</v>
      </c>
      <c r="G300" s="14">
        <f t="shared" si="1"/>
        <v>100.46336116411705</v>
      </c>
      <c r="H300" s="24">
        <f t="shared" si="7"/>
        <v>3852.3616411704611</v>
      </c>
      <c r="I300" s="20">
        <f t="shared" si="2"/>
        <v>31026.274684648735</v>
      </c>
      <c r="J300" s="17">
        <f t="shared" si="8"/>
        <v>3.1026274684648736</v>
      </c>
    </row>
    <row r="301" spans="1:10" ht="12" customHeight="1" x14ac:dyDescent="0.3">
      <c r="A301" s="1">
        <f t="shared" si="3"/>
        <v>43938</v>
      </c>
      <c r="B301" s="20">
        <v>3260.8695652173915</v>
      </c>
      <c r="C301" s="20">
        <f t="shared" si="4"/>
        <v>27241.847826086971</v>
      </c>
      <c r="D301" s="21" t="str">
        <f t="shared" si="0"/>
        <v>200417</v>
      </c>
      <c r="E301" s="22">
        <f t="shared" si="5"/>
        <v>1.9572799780821604</v>
      </c>
      <c r="F301" s="9">
        <f t="shared" si="6"/>
        <v>-1.2564712328767124E-3</v>
      </c>
      <c r="G301" s="14">
        <f t="shared" si="1"/>
        <v>100.46295278208154</v>
      </c>
      <c r="H301" s="24">
        <f t="shared" si="7"/>
        <v>3848.27782081544</v>
      </c>
      <c r="I301" s="20">
        <f t="shared" si="2"/>
        <v>31090.125646902412</v>
      </c>
      <c r="J301" s="17">
        <f t="shared" si="8"/>
        <v>3.1090125646902411</v>
      </c>
    </row>
    <row r="302" spans="1:10" ht="12" customHeight="1" x14ac:dyDescent="0.3">
      <c r="A302" s="1">
        <f t="shared" si="3"/>
        <v>43941</v>
      </c>
      <c r="B302" s="20">
        <v>3464.6739130434785</v>
      </c>
      <c r="C302" s="20">
        <f t="shared" si="4"/>
        <v>27445.652173913059</v>
      </c>
      <c r="D302" s="21" t="str">
        <f t="shared" si="0"/>
        <v>200420</v>
      </c>
      <c r="E302" s="22">
        <f t="shared" si="5"/>
        <v>1.9560235068492837</v>
      </c>
      <c r="F302" s="9">
        <f t="shared" si="6"/>
        <v>-3.7694136986301374E-3</v>
      </c>
      <c r="G302" s="14">
        <f t="shared" si="1"/>
        <v>100.4595503813927</v>
      </c>
      <c r="H302" s="24">
        <f t="shared" si="7"/>
        <v>3814.2538139270246</v>
      </c>
      <c r="I302" s="20">
        <f t="shared" si="2"/>
        <v>31259.905987840084</v>
      </c>
      <c r="J302" s="17">
        <f t="shared" si="8"/>
        <v>3.1259905987840084</v>
      </c>
    </row>
    <row r="303" spans="1:10" ht="12" customHeight="1" x14ac:dyDescent="0.3">
      <c r="A303" s="1">
        <f t="shared" si="3"/>
        <v>43942</v>
      </c>
      <c r="B303" s="20">
        <v>3532.6086956521735</v>
      </c>
      <c r="C303" s="20">
        <f t="shared" si="4"/>
        <v>27513.586956521754</v>
      </c>
      <c r="D303" s="21" t="str">
        <f t="shared" si="0"/>
        <v>200421</v>
      </c>
      <c r="E303" s="22">
        <f t="shared" si="5"/>
        <v>1.9522540931506536</v>
      </c>
      <c r="F303" s="9">
        <f t="shared" si="6"/>
        <v>-1.2564712328767124E-3</v>
      </c>
      <c r="G303" s="14">
        <f t="shared" si="1"/>
        <v>100.46125386378704</v>
      </c>
      <c r="H303" s="24">
        <f t="shared" si="7"/>
        <v>3831.2886378703579</v>
      </c>
      <c r="I303" s="20">
        <f t="shared" si="2"/>
        <v>31344.875594392113</v>
      </c>
      <c r="J303" s="17">
        <f t="shared" si="8"/>
        <v>3.1344875594392114</v>
      </c>
    </row>
    <row r="304" spans="1:10" ht="12" customHeight="1" x14ac:dyDescent="0.3">
      <c r="A304" s="1">
        <f t="shared" si="3"/>
        <v>43943</v>
      </c>
      <c r="B304" s="20">
        <v>3600.54347826087</v>
      </c>
      <c r="C304" s="20">
        <f t="shared" si="4"/>
        <v>27581.52173913045</v>
      </c>
      <c r="D304" s="21" t="str">
        <f t="shared" si="0"/>
        <v>200422</v>
      </c>
      <c r="E304" s="22">
        <f t="shared" si="5"/>
        <v>1.9509976219177769</v>
      </c>
      <c r="F304" s="9">
        <f t="shared" si="6"/>
        <v>-1.2564712328767124E-3</v>
      </c>
      <c r="G304" s="14">
        <f t="shared" si="1"/>
        <v>100.46081277973293</v>
      </c>
      <c r="H304" s="24">
        <f t="shared" si="7"/>
        <v>3826.8777973293309</v>
      </c>
      <c r="I304" s="20">
        <f t="shared" si="2"/>
        <v>31408.399536459779</v>
      </c>
      <c r="J304" s="17">
        <f t="shared" si="8"/>
        <v>3.1408399536459783</v>
      </c>
    </row>
    <row r="305" spans="1:10" ht="12" customHeight="1" x14ac:dyDescent="0.3">
      <c r="A305" s="1">
        <f t="shared" si="3"/>
        <v>43944</v>
      </c>
      <c r="B305" s="20">
        <v>3668.4782608695655</v>
      </c>
      <c r="C305" s="20">
        <f t="shared" si="4"/>
        <v>27649.456521739146</v>
      </c>
      <c r="D305" s="21" t="str">
        <f t="shared" si="0"/>
        <v>200423</v>
      </c>
      <c r="E305" s="22">
        <f t="shared" si="5"/>
        <v>1.9497411506849003</v>
      </c>
      <c r="F305" s="9">
        <f t="shared" si="6"/>
        <v>-1.2564712328767124E-3</v>
      </c>
      <c r="G305" s="14">
        <f t="shared" si="1"/>
        <v>100.46036515111413</v>
      </c>
      <c r="H305" s="24">
        <f t="shared" si="7"/>
        <v>3822.4015111413228</v>
      </c>
      <c r="I305" s="20">
        <f t="shared" si="2"/>
        <v>31471.858032880467</v>
      </c>
      <c r="J305" s="17">
        <f t="shared" si="8"/>
        <v>3.1471858032880466</v>
      </c>
    </row>
    <row r="306" spans="1:10" ht="12" customHeight="1" x14ac:dyDescent="0.3">
      <c r="A306" s="1">
        <f t="shared" si="3"/>
        <v>43945</v>
      </c>
      <c r="B306" s="20">
        <v>3736.4130434782605</v>
      </c>
      <c r="C306" s="20">
        <f t="shared" si="4"/>
        <v>27717.391304347842</v>
      </c>
      <c r="D306" s="21" t="str">
        <f t="shared" si="0"/>
        <v>200424</v>
      </c>
      <c r="E306" s="22">
        <f t="shared" si="5"/>
        <v>1.9484846794520236</v>
      </c>
      <c r="F306" s="9">
        <f t="shared" si="6"/>
        <v>-1.2564712328767124E-3</v>
      </c>
      <c r="G306" s="14">
        <f t="shared" si="1"/>
        <v>100.4599109765465</v>
      </c>
      <c r="H306" s="24">
        <f t="shared" si="7"/>
        <v>3817.8597654649593</v>
      </c>
      <c r="I306" s="20">
        <f t="shared" si="2"/>
        <v>31535.251069812803</v>
      </c>
      <c r="J306" s="17">
        <f t="shared" si="8"/>
        <v>3.15352510698128</v>
      </c>
    </row>
    <row r="307" spans="1:10" ht="12" customHeight="1" x14ac:dyDescent="0.3">
      <c r="A307" s="1">
        <f t="shared" si="3"/>
        <v>43948</v>
      </c>
      <c r="B307" s="20">
        <v>3940.217391304348</v>
      </c>
      <c r="C307" s="20">
        <f t="shared" si="4"/>
        <v>27921.19565217393</v>
      </c>
      <c r="D307" s="21" t="str">
        <f t="shared" si="0"/>
        <v>200427</v>
      </c>
      <c r="E307" s="22">
        <f t="shared" si="5"/>
        <v>1.947228208219147</v>
      </c>
      <c r="F307" s="9">
        <f t="shared" si="6"/>
        <v>-3.7694136986301374E-3</v>
      </c>
      <c r="G307" s="14">
        <f t="shared" si="1"/>
        <v>100.45641889044741</v>
      </c>
      <c r="H307" s="24">
        <f t="shared" si="7"/>
        <v>3782.9389044740938</v>
      </c>
      <c r="I307" s="20">
        <f t="shared" si="2"/>
        <v>31704.134556648023</v>
      </c>
      <c r="J307" s="17">
        <f t="shared" si="8"/>
        <v>3.1704134556648023</v>
      </c>
    </row>
    <row r="308" spans="1:10" ht="12" customHeight="1" x14ac:dyDescent="0.3">
      <c r="A308" s="1">
        <f t="shared" si="3"/>
        <v>43949</v>
      </c>
      <c r="B308" s="20">
        <v>4008.152173913043</v>
      </c>
      <c r="C308" s="20">
        <f t="shared" si="4"/>
        <v>27989.130434782626</v>
      </c>
      <c r="D308" s="21" t="str">
        <f t="shared" si="0"/>
        <v>200428</v>
      </c>
      <c r="E308" s="22">
        <f t="shared" si="5"/>
        <v>1.9434587945205168</v>
      </c>
      <c r="F308" s="9">
        <f t="shared" si="6"/>
        <v>-1.2564712328767124E-3</v>
      </c>
      <c r="G308" s="14">
        <f t="shared" si="1"/>
        <v>100.45802879114989</v>
      </c>
      <c r="H308" s="24">
        <f t="shared" si="7"/>
        <v>3799.0379114988568</v>
      </c>
      <c r="I308" s="20">
        <f t="shared" si="2"/>
        <v>31788.168346281484</v>
      </c>
      <c r="J308" s="17">
        <f t="shared" si="8"/>
        <v>3.1788168346281482</v>
      </c>
    </row>
    <row r="309" spans="1:10" ht="12" customHeight="1" x14ac:dyDescent="0.3">
      <c r="A309" s="1">
        <f t="shared" si="3"/>
        <v>43950</v>
      </c>
      <c r="B309" s="20">
        <v>4076.0869565217395</v>
      </c>
      <c r="C309" s="20">
        <f t="shared" si="4"/>
        <v>28057.065217391322</v>
      </c>
      <c r="D309" s="21" t="str">
        <f t="shared" si="0"/>
        <v>200429</v>
      </c>
      <c r="E309" s="22">
        <f t="shared" si="5"/>
        <v>1.9422023232876402</v>
      </c>
      <c r="F309" s="9">
        <f t="shared" si="6"/>
        <v>-1.2564712328767124E-3</v>
      </c>
      <c r="G309" s="14">
        <f t="shared" si="1"/>
        <v>100.45754186612078</v>
      </c>
      <c r="H309" s="24">
        <f t="shared" si="7"/>
        <v>3794.1686612077774</v>
      </c>
      <c r="I309" s="20">
        <f t="shared" si="2"/>
        <v>31851.233878599101</v>
      </c>
      <c r="J309" s="17">
        <f t="shared" si="8"/>
        <v>3.1851233878599103</v>
      </c>
    </row>
    <row r="310" spans="1:10" ht="12" customHeight="1" x14ac:dyDescent="0.3">
      <c r="A310" s="1">
        <f t="shared" si="3"/>
        <v>43951</v>
      </c>
      <c r="B310" s="20">
        <v>4144.021739130435</v>
      </c>
      <c r="C310" s="20">
        <f t="shared" si="4"/>
        <v>28125.000000000018</v>
      </c>
      <c r="D310" s="21" t="str">
        <f t="shared" si="0"/>
        <v>200430</v>
      </c>
      <c r="E310" s="22">
        <f t="shared" si="5"/>
        <v>1.9409458520547636</v>
      </c>
      <c r="F310" s="9">
        <f t="shared" si="6"/>
        <v>-1.2564712328767124E-3</v>
      </c>
      <c r="G310" s="14">
        <f t="shared" si="1"/>
        <v>100.45704838686467</v>
      </c>
      <c r="H310" s="24">
        <f t="shared" si="7"/>
        <v>3789.2338686467042</v>
      </c>
      <c r="I310" s="20">
        <f t="shared" si="2"/>
        <v>31914.233868646723</v>
      </c>
      <c r="J310" s="17">
        <f t="shared" si="8"/>
        <v>3.1914233868646722</v>
      </c>
    </row>
    <row r="311" spans="1:10" ht="12" customHeight="1" x14ac:dyDescent="0.3">
      <c r="A311" s="1">
        <f t="shared" si="3"/>
        <v>43952</v>
      </c>
      <c r="B311" s="20">
        <v>4211.95652173913</v>
      </c>
      <c r="C311" s="20">
        <f t="shared" si="4"/>
        <v>28192.934782608714</v>
      </c>
      <c r="D311" s="21" t="str">
        <f t="shared" si="0"/>
        <v>200501</v>
      </c>
      <c r="E311" s="22">
        <f t="shared" si="5"/>
        <v>1.9396893808218869</v>
      </c>
      <c r="F311" s="9">
        <f t="shared" si="6"/>
        <v>-1.2564712328767124E-3</v>
      </c>
      <c r="G311" s="14">
        <f t="shared" si="1"/>
        <v>100.45654835200628</v>
      </c>
      <c r="H311" s="24">
        <f t="shared" si="7"/>
        <v>3784.2335200627986</v>
      </c>
      <c r="I311" s="20">
        <f t="shared" si="2"/>
        <v>31977.168302671511</v>
      </c>
      <c r="J311" s="17">
        <f t="shared" si="8"/>
        <v>3.1977168302671513</v>
      </c>
    </row>
    <row r="312" spans="1:10" ht="12" customHeight="1" x14ac:dyDescent="0.3">
      <c r="A312" s="1">
        <f t="shared" si="3"/>
        <v>43955</v>
      </c>
      <c r="B312" s="20">
        <v>4415.760869565217</v>
      </c>
      <c r="C312" s="20">
        <f t="shared" si="4"/>
        <v>28396.739130434802</v>
      </c>
      <c r="D312" s="21" t="str">
        <f t="shared" si="0"/>
        <v>200504</v>
      </c>
      <c r="E312" s="22">
        <f t="shared" si="5"/>
        <v>1.9384329095890103</v>
      </c>
      <c r="F312" s="9">
        <f t="shared" si="6"/>
        <v>-3.7694136986301374E-3</v>
      </c>
      <c r="G312" s="14">
        <f t="shared" si="1"/>
        <v>100.45296643224187</v>
      </c>
      <c r="H312" s="24">
        <f t="shared" si="7"/>
        <v>3748.4143224186537</v>
      </c>
      <c r="I312" s="20">
        <f t="shared" si="2"/>
        <v>32145.153452853454</v>
      </c>
      <c r="J312" s="17">
        <f t="shared" si="8"/>
        <v>3.2145153452853452</v>
      </c>
    </row>
    <row r="313" spans="1:10" ht="12" customHeight="1" x14ac:dyDescent="0.3">
      <c r="A313" s="1">
        <f t="shared" si="3"/>
        <v>43956</v>
      </c>
      <c r="B313" s="20">
        <v>4483.695652173913</v>
      </c>
      <c r="C313" s="20">
        <f t="shared" si="4"/>
        <v>28464.673913043498</v>
      </c>
      <c r="D313" s="21" t="str">
        <f t="shared" si="0"/>
        <v>200505</v>
      </c>
      <c r="E313" s="22">
        <f t="shared" si="5"/>
        <v>1.9346634958903801</v>
      </c>
      <c r="F313" s="9">
        <f t="shared" si="6"/>
        <v>-1.2564712328767124E-3</v>
      </c>
      <c r="G313" s="14">
        <f t="shared" si="1"/>
        <v>100.45448262908785</v>
      </c>
      <c r="H313" s="24">
        <f t="shared" si="7"/>
        <v>3763.57629087849</v>
      </c>
      <c r="I313" s="20">
        <f t="shared" si="2"/>
        <v>32228.250203921987</v>
      </c>
      <c r="J313" s="17">
        <f t="shared" si="8"/>
        <v>3.2228250203921989</v>
      </c>
    </row>
    <row r="314" spans="1:10" ht="12" customHeight="1" x14ac:dyDescent="0.3">
      <c r="A314" s="1">
        <f t="shared" si="3"/>
        <v>43957</v>
      </c>
      <c r="B314" s="20">
        <v>4551.630434782609</v>
      </c>
      <c r="C314" s="20">
        <f t="shared" si="4"/>
        <v>28532.608695652194</v>
      </c>
      <c r="D314" s="21" t="str">
        <f t="shared" si="0"/>
        <v>200506</v>
      </c>
      <c r="E314" s="22">
        <f t="shared" si="5"/>
        <v>1.9334070246575035</v>
      </c>
      <c r="F314" s="9">
        <f t="shared" si="6"/>
        <v>-1.2564712328767124E-3</v>
      </c>
      <c r="G314" s="14">
        <f t="shared" si="1"/>
        <v>100.45394979563255</v>
      </c>
      <c r="H314" s="24">
        <f t="shared" si="7"/>
        <v>3758.2479563255333</v>
      </c>
      <c r="I314" s="20">
        <f t="shared" si="2"/>
        <v>32290.856651977727</v>
      </c>
      <c r="J314" s="17">
        <f t="shared" si="8"/>
        <v>3.2290856651977728</v>
      </c>
    </row>
    <row r="315" spans="1:10" ht="12" customHeight="1" x14ac:dyDescent="0.3">
      <c r="A315" s="1">
        <f t="shared" si="3"/>
        <v>43958</v>
      </c>
      <c r="B315" s="20">
        <v>4619.565217391304</v>
      </c>
      <c r="C315" s="20">
        <f t="shared" si="4"/>
        <v>28600.54347826089</v>
      </c>
      <c r="D315" s="21" t="str">
        <f t="shared" si="0"/>
        <v>200507</v>
      </c>
      <c r="E315" s="22">
        <f t="shared" si="5"/>
        <v>1.9321505534246268</v>
      </c>
      <c r="F315" s="9">
        <f t="shared" si="6"/>
        <v>-1.2564712328767124E-3</v>
      </c>
      <c r="G315" s="14">
        <f t="shared" si="1"/>
        <v>100.45341039834958</v>
      </c>
      <c r="H315" s="24">
        <f t="shared" si="7"/>
        <v>3752.8539834957542</v>
      </c>
      <c r="I315" s="20">
        <f t="shared" si="2"/>
        <v>32353.397461756645</v>
      </c>
      <c r="J315" s="17">
        <f t="shared" si="8"/>
        <v>3.2353397461756646</v>
      </c>
    </row>
    <row r="316" spans="1:10" ht="12" customHeight="1" x14ac:dyDescent="0.3">
      <c r="A316" s="1">
        <f t="shared" si="3"/>
        <v>43959</v>
      </c>
      <c r="B316" s="20">
        <v>4687.5</v>
      </c>
      <c r="C316" s="20">
        <f t="shared" si="4"/>
        <v>28668.478260869586</v>
      </c>
      <c r="D316" s="21" t="str">
        <f t="shared" si="0"/>
        <v>200508</v>
      </c>
      <c r="E316" s="22">
        <f t="shared" si="5"/>
        <v>1.9308940821917502</v>
      </c>
      <c r="F316" s="9">
        <f t="shared" si="6"/>
        <v>-1.2564712328767124E-3</v>
      </c>
      <c r="G316" s="14">
        <f t="shared" si="1"/>
        <v>100.45286443587243</v>
      </c>
      <c r="H316" s="24">
        <f t="shared" si="7"/>
        <v>3747.3943587242788</v>
      </c>
      <c r="I316" s="20">
        <f t="shared" si="2"/>
        <v>32415.872619593865</v>
      </c>
      <c r="J316" s="17">
        <f t="shared" si="8"/>
        <v>3.2415872619593866</v>
      </c>
    </row>
    <row r="317" spans="1:10" ht="12" customHeight="1" x14ac:dyDescent="0.3">
      <c r="A317" s="1">
        <f t="shared" si="3"/>
        <v>43962</v>
      </c>
      <c r="B317" s="20">
        <v>4891.304347826087</v>
      </c>
      <c r="C317" s="20">
        <f t="shared" si="4"/>
        <v>28872.282608695674</v>
      </c>
      <c r="D317" s="21" t="str">
        <f t="shared" si="0"/>
        <v>200511</v>
      </c>
      <c r="E317" s="22">
        <f t="shared" si="5"/>
        <v>1.9296376109588735</v>
      </c>
      <c r="F317" s="9">
        <f t="shared" si="6"/>
        <v>-3.7694136986301374E-3</v>
      </c>
      <c r="G317" s="14">
        <f t="shared" si="1"/>
        <v>100.44919253503095</v>
      </c>
      <c r="H317" s="24">
        <f t="shared" si="7"/>
        <v>3710.6753503094578</v>
      </c>
      <c r="I317" s="20">
        <f t="shared" si="2"/>
        <v>32582.957959005133</v>
      </c>
      <c r="J317" s="17">
        <f t="shared" si="8"/>
        <v>3.2582957959005134</v>
      </c>
    </row>
    <row r="318" spans="1:10" ht="12" customHeight="1" x14ac:dyDescent="0.3">
      <c r="A318" s="1">
        <f t="shared" si="3"/>
        <v>43963</v>
      </c>
      <c r="B318" s="20">
        <v>4959.239130434783</v>
      </c>
      <c r="C318" s="20">
        <f t="shared" si="4"/>
        <v>28940.21739130437</v>
      </c>
      <c r="D318" s="21" t="str">
        <f t="shared" si="0"/>
        <v>200512</v>
      </c>
      <c r="E318" s="22">
        <f t="shared" si="5"/>
        <v>1.9258681972602434</v>
      </c>
      <c r="F318" s="9">
        <f t="shared" si="6"/>
        <v>-1.2564712328767124E-3</v>
      </c>
      <c r="G318" s="14">
        <f t="shared" si="1"/>
        <v>100.45061490673653</v>
      </c>
      <c r="H318" s="24">
        <f t="shared" si="7"/>
        <v>3724.8990673653279</v>
      </c>
      <c r="I318" s="20">
        <f t="shared" si="2"/>
        <v>32665.116458669698</v>
      </c>
      <c r="J318" s="17">
        <f t="shared" si="8"/>
        <v>3.2665116458669701</v>
      </c>
    </row>
    <row r="319" spans="1:10" ht="12" customHeight="1" x14ac:dyDescent="0.3">
      <c r="A319" s="1">
        <f t="shared" si="3"/>
        <v>43964</v>
      </c>
      <c r="B319" s="20">
        <v>5027.1739130434789</v>
      </c>
      <c r="C319" s="20">
        <f t="shared" si="4"/>
        <v>29008.152173913066</v>
      </c>
      <c r="D319" s="21" t="str">
        <f t="shared" si="0"/>
        <v>200513</v>
      </c>
      <c r="E319" s="22">
        <f t="shared" si="5"/>
        <v>1.9246117260273667</v>
      </c>
      <c r="F319" s="9">
        <f t="shared" si="6"/>
        <v>-1.2564712328767124E-3</v>
      </c>
      <c r="G319" s="14">
        <f t="shared" si="1"/>
        <v>100.45003609783534</v>
      </c>
      <c r="H319" s="24">
        <f t="shared" si="7"/>
        <v>3719.1109783533702</v>
      </c>
      <c r="I319" s="20">
        <f t="shared" si="2"/>
        <v>32727.263152266438</v>
      </c>
      <c r="J319" s="17">
        <f t="shared" si="8"/>
        <v>3.2727263152266435</v>
      </c>
    </row>
    <row r="320" spans="1:10" ht="12" customHeight="1" x14ac:dyDescent="0.3">
      <c r="A320" s="1">
        <f t="shared" si="3"/>
        <v>43965</v>
      </c>
      <c r="B320" s="20">
        <v>5095.108695652174</v>
      </c>
      <c r="C320" s="20">
        <f t="shared" si="4"/>
        <v>29076.086956521762</v>
      </c>
      <c r="D320" s="21" t="str">
        <f t="shared" si="0"/>
        <v>200514</v>
      </c>
      <c r="E320" s="22">
        <f t="shared" si="5"/>
        <v>1.9233552547944901</v>
      </c>
      <c r="F320" s="9">
        <f t="shared" si="6"/>
        <v>-1.2564712328767124E-3</v>
      </c>
      <c r="G320" s="14">
        <f t="shared" si="1"/>
        <v>100.44945071556755</v>
      </c>
      <c r="H320" s="24">
        <f t="shared" si="7"/>
        <v>3713.257155675507</v>
      </c>
      <c r="I320" s="20">
        <f t="shared" si="2"/>
        <v>32789.344112197272</v>
      </c>
      <c r="J320" s="17">
        <f t="shared" si="8"/>
        <v>3.2789344112197272</v>
      </c>
    </row>
    <row r="321" spans="1:10" ht="12" customHeight="1" x14ac:dyDescent="0.3">
      <c r="A321" s="1">
        <f t="shared" si="3"/>
        <v>43966</v>
      </c>
      <c r="B321" s="20">
        <v>5163.0434782608691</v>
      </c>
      <c r="C321" s="20">
        <f t="shared" si="4"/>
        <v>29144.021739130458</v>
      </c>
      <c r="D321" s="21" t="str">
        <f t="shared" si="0"/>
        <v>200515</v>
      </c>
      <c r="E321" s="22">
        <f t="shared" si="5"/>
        <v>1.9220987835616135</v>
      </c>
      <c r="F321" s="9">
        <f t="shared" si="6"/>
        <v>-1.2564712328767124E-3</v>
      </c>
      <c r="G321" s="14">
        <f t="shared" si="1"/>
        <v>100.44885875857547</v>
      </c>
      <c r="H321" s="24">
        <f t="shared" si="7"/>
        <v>3707.3375857546862</v>
      </c>
      <c r="I321" s="20">
        <f t="shared" si="2"/>
        <v>32851.359324885147</v>
      </c>
      <c r="J321" s="17">
        <f t="shared" si="8"/>
        <v>3.2851359324885143</v>
      </c>
    </row>
    <row r="322" spans="1:10" ht="12" customHeight="1" x14ac:dyDescent="0.3">
      <c r="A322" s="1">
        <f t="shared" si="3"/>
        <v>43969</v>
      </c>
      <c r="B322" s="20">
        <v>5366.847826086957</v>
      </c>
      <c r="C322" s="20">
        <f t="shared" si="4"/>
        <v>29347.826086956546</v>
      </c>
      <c r="D322" s="21" t="str">
        <f t="shared" si="0"/>
        <v>200518</v>
      </c>
      <c r="E322" s="22">
        <f t="shared" si="5"/>
        <v>1.9208423123287368</v>
      </c>
      <c r="F322" s="9">
        <f t="shared" si="6"/>
        <v>-3.7694136986301374E-3</v>
      </c>
      <c r="G322" s="14">
        <f t="shared" si="1"/>
        <v>100.44509673009088</v>
      </c>
      <c r="H322" s="24">
        <f t="shared" si="7"/>
        <v>3669.7173009088147</v>
      </c>
      <c r="I322" s="20">
        <f t="shared" si="2"/>
        <v>33017.543387865357</v>
      </c>
      <c r="J322" s="17">
        <f t="shared" si="8"/>
        <v>3.3017543387865356</v>
      </c>
    </row>
    <row r="323" spans="1:10" ht="12" customHeight="1" x14ac:dyDescent="0.3">
      <c r="A323" s="1">
        <f t="shared" si="3"/>
        <v>43970</v>
      </c>
      <c r="B323" s="20">
        <v>5434.782608695652</v>
      </c>
      <c r="C323" s="20">
        <f t="shared" si="4"/>
        <v>29415.760869565242</v>
      </c>
      <c r="D323" s="21" t="str">
        <f t="shared" si="0"/>
        <v>200519</v>
      </c>
      <c r="E323" s="22">
        <f t="shared" si="5"/>
        <v>1.9170728986301067</v>
      </c>
      <c r="F323" s="9">
        <f t="shared" si="6"/>
        <v>-1.2564712328767124E-3</v>
      </c>
      <c r="G323" s="14">
        <f t="shared" si="1"/>
        <v>100.4464251562554</v>
      </c>
      <c r="H323" s="24">
        <f t="shared" si="7"/>
        <v>3683.0015625540113</v>
      </c>
      <c r="I323" s="20">
        <f t="shared" si="2"/>
        <v>33098.762432119256</v>
      </c>
      <c r="J323" s="17">
        <f t="shared" si="8"/>
        <v>3.3098762432119253</v>
      </c>
    </row>
    <row r="324" spans="1:10" ht="12" customHeight="1" x14ac:dyDescent="0.3">
      <c r="A324" s="1">
        <f t="shared" si="3"/>
        <v>43971</v>
      </c>
      <c r="B324" s="20">
        <v>5502.717391304348</v>
      </c>
      <c r="C324" s="20">
        <f t="shared" si="4"/>
        <v>29483.695652173938</v>
      </c>
      <c r="D324" s="21" t="str">
        <f t="shared" si="0"/>
        <v>200520</v>
      </c>
      <c r="E324" s="22">
        <f t="shared" si="5"/>
        <v>1.91581642739723</v>
      </c>
      <c r="F324" s="9">
        <f t="shared" si="6"/>
        <v>-1.2564712328767124E-3</v>
      </c>
      <c r="G324" s="14">
        <f t="shared" si="1"/>
        <v>100.44580030532128</v>
      </c>
      <c r="H324" s="24">
        <f t="shared" si="7"/>
        <v>3676.7530532128494</v>
      </c>
      <c r="I324" s="20">
        <f t="shared" si="2"/>
        <v>33160.448705386785</v>
      </c>
      <c r="J324" s="17">
        <f t="shared" si="8"/>
        <v>3.3160448705386787</v>
      </c>
    </row>
    <row r="325" spans="1:10" ht="12" customHeight="1" x14ac:dyDescent="0.3">
      <c r="A325" s="1">
        <f t="shared" si="3"/>
        <v>43972</v>
      </c>
      <c r="B325" s="20">
        <v>5570.652173913043</v>
      </c>
      <c r="C325" s="20">
        <f t="shared" si="4"/>
        <v>29551.630434782634</v>
      </c>
      <c r="D325" s="21" t="str">
        <f t="shared" si="0"/>
        <v>200521</v>
      </c>
      <c r="E325" s="22">
        <f t="shared" si="5"/>
        <v>1.9145599561643534</v>
      </c>
      <c r="F325" s="9">
        <f t="shared" si="6"/>
        <v>-1.2564712328767124E-3</v>
      </c>
      <c r="G325" s="14">
        <f t="shared" si="1"/>
        <v>100.44516887154352</v>
      </c>
      <c r="H325" s="24">
        <f t="shared" si="7"/>
        <v>3670.4387154351534</v>
      </c>
      <c r="I325" s="20">
        <f t="shared" si="2"/>
        <v>33222.069150217787</v>
      </c>
      <c r="J325" s="17">
        <f t="shared" si="8"/>
        <v>3.3222069150217788</v>
      </c>
    </row>
    <row r="326" spans="1:10" ht="12" customHeight="1" x14ac:dyDescent="0.3">
      <c r="A326" s="1">
        <f t="shared" si="3"/>
        <v>43973</v>
      </c>
      <c r="B326" s="20">
        <v>5638.5869565217399</v>
      </c>
      <c r="C326" s="20">
        <f t="shared" si="4"/>
        <v>29619.565217391329</v>
      </c>
      <c r="D326" s="21" t="str">
        <f t="shared" si="0"/>
        <v>200522</v>
      </c>
      <c r="E326" s="22">
        <f t="shared" si="5"/>
        <v>1.9133034849314767</v>
      </c>
      <c r="F326" s="9">
        <f t="shared" si="6"/>
        <v>-1.2564712328767124E-3</v>
      </c>
      <c r="G326" s="14">
        <f t="shared" si="1"/>
        <v>100.44453085357327</v>
      </c>
      <c r="H326" s="24">
        <f t="shared" si="7"/>
        <v>3664.0585357326927</v>
      </c>
      <c r="I326" s="20">
        <f t="shared" si="2"/>
        <v>33283.623753124019</v>
      </c>
      <c r="J326" s="17">
        <f t="shared" si="8"/>
        <v>3.3283623753124019</v>
      </c>
    </row>
    <row r="327" spans="1:10" ht="12" customHeight="1" x14ac:dyDescent="0.3">
      <c r="A327" s="1">
        <f t="shared" si="3"/>
        <v>43976</v>
      </c>
      <c r="B327" s="20">
        <v>5842.391304347826</v>
      </c>
      <c r="C327" s="20">
        <f t="shared" si="4"/>
        <v>29823.369565217414</v>
      </c>
      <c r="D327" s="21" t="str">
        <f t="shared" si="0"/>
        <v>200525</v>
      </c>
      <c r="E327" s="22">
        <f t="shared" si="5"/>
        <v>1.9120470136986001</v>
      </c>
      <c r="F327" s="9">
        <f t="shared" si="6"/>
        <v>-3.7694136986301374E-3</v>
      </c>
      <c r="G327" s="14">
        <f t="shared" si="1"/>
        <v>100.44067855172779</v>
      </c>
      <c r="H327" s="24">
        <f t="shared" si="7"/>
        <v>3625.5355172778536</v>
      </c>
      <c r="I327" s="20">
        <f t="shared" si="2"/>
        <v>33448.905082495265</v>
      </c>
      <c r="J327" s="17">
        <f t="shared" si="8"/>
        <v>3.3448905082495264</v>
      </c>
    </row>
    <row r="328" spans="1:10" ht="12" customHeight="1" x14ac:dyDescent="0.3">
      <c r="A328" s="1">
        <f t="shared" si="3"/>
        <v>43977</v>
      </c>
      <c r="B328" s="20">
        <v>5910.3260869565211</v>
      </c>
      <c r="C328" s="20">
        <f t="shared" si="4"/>
        <v>29891.30434782611</v>
      </c>
      <c r="D328" s="21" t="str">
        <f t="shared" si="0"/>
        <v>200526</v>
      </c>
      <c r="E328" s="22">
        <f t="shared" si="5"/>
        <v>1.9082775999999699</v>
      </c>
      <c r="F328" s="9">
        <f t="shared" si="6"/>
        <v>-1.2564712328767124E-3</v>
      </c>
      <c r="G328" s="14">
        <f t="shared" si="1"/>
        <v>100.44191291283572</v>
      </c>
      <c r="H328" s="24">
        <f t="shared" si="7"/>
        <v>3637.8791283571841</v>
      </c>
      <c r="I328" s="20">
        <f t="shared" si="2"/>
        <v>33529.183476183294</v>
      </c>
      <c r="J328" s="17">
        <f t="shared" si="8"/>
        <v>3.3529183476183291</v>
      </c>
    </row>
    <row r="329" spans="1:10" ht="12" customHeight="1" x14ac:dyDescent="0.3">
      <c r="A329" s="1">
        <f t="shared" si="3"/>
        <v>43978</v>
      </c>
      <c r="B329" s="20">
        <v>5978.260869565217</v>
      </c>
      <c r="C329" s="20">
        <f t="shared" si="4"/>
        <v>29959.239130434806</v>
      </c>
      <c r="D329" s="21" t="str">
        <f t="shared" si="0"/>
        <v>200527</v>
      </c>
      <c r="E329" s="22">
        <f t="shared" si="5"/>
        <v>1.9070211287670933</v>
      </c>
      <c r="F329" s="9">
        <f t="shared" si="6"/>
        <v>-1.2564712328767124E-3</v>
      </c>
      <c r="G329" s="14">
        <f t="shared" si="1"/>
        <v>100.44124195371541</v>
      </c>
      <c r="H329" s="24">
        <f t="shared" si="7"/>
        <v>3631.1695371540509</v>
      </c>
      <c r="I329" s="20">
        <f t="shared" si="2"/>
        <v>33590.408667588854</v>
      </c>
      <c r="J329" s="17">
        <f t="shared" si="8"/>
        <v>3.3590408667588854</v>
      </c>
    </row>
    <row r="330" spans="1:10" ht="12" customHeight="1" x14ac:dyDescent="0.3">
      <c r="A330" s="1">
        <f t="shared" si="3"/>
        <v>43979</v>
      </c>
      <c r="B330" s="20">
        <v>6046.1956521739121</v>
      </c>
      <c r="C330" s="20">
        <f t="shared" si="4"/>
        <v>30027.173913043502</v>
      </c>
      <c r="D330" s="21" t="str">
        <f t="shared" si="0"/>
        <v>200528</v>
      </c>
      <c r="E330" s="22">
        <f t="shared" si="5"/>
        <v>1.9057646575342166</v>
      </c>
      <c r="F330" s="9">
        <f t="shared" si="6"/>
        <v>-1.2564712328767124E-3</v>
      </c>
      <c r="G330" s="14">
        <f t="shared" si="1"/>
        <v>100.44056440233641</v>
      </c>
      <c r="H330" s="24">
        <f t="shared" si="7"/>
        <v>3624.3940233640619</v>
      </c>
      <c r="I330" s="20">
        <f t="shared" si="2"/>
        <v>33651.567936407562</v>
      </c>
      <c r="J330" s="17">
        <f t="shared" si="8"/>
        <v>3.3651567936407565</v>
      </c>
    </row>
    <row r="331" spans="1:10" ht="12" customHeight="1" x14ac:dyDescent="0.3">
      <c r="A331" s="1">
        <f t="shared" si="3"/>
        <v>43980</v>
      </c>
      <c r="B331" s="20">
        <v>6114.130434782609</v>
      </c>
      <c r="C331" s="20">
        <f t="shared" si="4"/>
        <v>30095.108695652198</v>
      </c>
      <c r="D331" s="21" t="str">
        <f t="shared" si="0"/>
        <v>200529</v>
      </c>
      <c r="E331" s="22">
        <f t="shared" si="5"/>
        <v>1.90450818630134</v>
      </c>
      <c r="F331" s="9">
        <f t="shared" si="6"/>
        <v>-1.2564712328767124E-3</v>
      </c>
      <c r="G331" s="14">
        <f t="shared" si="1"/>
        <v>100.43988025735884</v>
      </c>
      <c r="H331" s="24">
        <f t="shared" si="7"/>
        <v>3617.5525735883693</v>
      </c>
      <c r="I331" s="20">
        <f t="shared" si="2"/>
        <v>33712.661269240569</v>
      </c>
      <c r="J331" s="17">
        <f t="shared" si="8"/>
        <v>3.3712661269240574</v>
      </c>
    </row>
    <row r="332" spans="1:10" ht="12" customHeight="1" x14ac:dyDescent="0.3">
      <c r="A332" s="1">
        <f t="shared" si="3"/>
        <v>43983</v>
      </c>
      <c r="B332" s="20">
        <v>6317.934782608696</v>
      </c>
      <c r="C332" s="20">
        <f t="shared" si="4"/>
        <v>30298.913043478286</v>
      </c>
      <c r="D332" s="21" t="str">
        <f t="shared" si="0"/>
        <v>200601</v>
      </c>
      <c r="E332" s="22">
        <f t="shared" si="5"/>
        <v>1.9032517150684634</v>
      </c>
      <c r="F332" s="9">
        <f t="shared" si="6"/>
        <v>-3.7694136986301374E-3</v>
      </c>
      <c r="G332" s="14">
        <f t="shared" si="1"/>
        <v>100.43593753728528</v>
      </c>
      <c r="H332" s="24">
        <f t="shared" si="7"/>
        <v>3578.1253728528386</v>
      </c>
      <c r="I332" s="20">
        <f t="shared" si="2"/>
        <v>33877.038416331125</v>
      </c>
      <c r="J332" s="17">
        <f t="shared" si="8"/>
        <v>3.3877038416331127</v>
      </c>
    </row>
    <row r="333" spans="1:10" ht="12" customHeight="1" x14ac:dyDescent="0.3">
      <c r="A333" s="1">
        <f t="shared" si="3"/>
        <v>43984</v>
      </c>
      <c r="B333" s="20">
        <v>6385.8695652173928</v>
      </c>
      <c r="C333" s="20">
        <f t="shared" si="4"/>
        <v>30366.847826086982</v>
      </c>
      <c r="D333" s="21" t="str">
        <f t="shared" si="0"/>
        <v>200602</v>
      </c>
      <c r="E333" s="22">
        <f t="shared" si="5"/>
        <v>1.8994823013698332</v>
      </c>
      <c r="F333" s="9">
        <f t="shared" si="6"/>
        <v>-1.2564712328767124E-3</v>
      </c>
      <c r="G333" s="14">
        <f t="shared" si="1"/>
        <v>100.43707771470874</v>
      </c>
      <c r="H333" s="24">
        <f t="shared" si="7"/>
        <v>3589.5271470873522</v>
      </c>
      <c r="I333" s="20">
        <f t="shared" si="2"/>
        <v>33956.37497317433</v>
      </c>
      <c r="J333" s="17">
        <f t="shared" si="8"/>
        <v>3.3956374973174333</v>
      </c>
    </row>
    <row r="334" spans="1:10" ht="12" customHeight="1" x14ac:dyDescent="0.3">
      <c r="A334" s="1">
        <f t="shared" si="3"/>
        <v>43985</v>
      </c>
      <c r="B334" s="20">
        <v>6453.8043478260861</v>
      </c>
      <c r="C334" s="20">
        <f t="shared" si="4"/>
        <v>30434.782608695674</v>
      </c>
      <c r="D334" s="21" t="str">
        <f t="shared" si="0"/>
        <v>200603</v>
      </c>
      <c r="E334" s="22">
        <f t="shared" si="5"/>
        <v>1.8982258301369566</v>
      </c>
      <c r="F334" s="9">
        <f t="shared" si="6"/>
        <v>-1.2564712328767124E-3</v>
      </c>
      <c r="G334" s="14">
        <f t="shared" si="1"/>
        <v>100.43636058168384</v>
      </c>
      <c r="H334" s="24">
        <f t="shared" si="7"/>
        <v>3582.3558168384293</v>
      </c>
      <c r="I334" s="20">
        <f t="shared" si="2"/>
        <v>34017.138425534104</v>
      </c>
      <c r="J334" s="17">
        <f t="shared" si="8"/>
        <v>3.4017138425534101</v>
      </c>
    </row>
    <row r="335" spans="1:10" ht="12" customHeight="1" x14ac:dyDescent="0.3">
      <c r="A335" s="1">
        <f t="shared" si="3"/>
        <v>43986</v>
      </c>
      <c r="B335" s="20">
        <v>6521.739130434783</v>
      </c>
      <c r="C335" s="20">
        <f t="shared" si="4"/>
        <v>30502.71739130437</v>
      </c>
      <c r="D335" s="21" t="str">
        <f t="shared" si="0"/>
        <v>200604</v>
      </c>
      <c r="E335" s="22">
        <f t="shared" si="5"/>
        <v>1.8969693589040799</v>
      </c>
      <c r="F335" s="9">
        <f t="shared" si="6"/>
        <v>-1.2564712328767124E-3</v>
      </c>
      <c r="G335" s="14">
        <f t="shared" si="1"/>
        <v>100.43563684704756</v>
      </c>
      <c r="H335" s="24">
        <f t="shared" si="7"/>
        <v>3575.1184704756156</v>
      </c>
      <c r="I335" s="20">
        <f t="shared" si="2"/>
        <v>34077.835861779982</v>
      </c>
      <c r="J335" s="17">
        <f t="shared" si="8"/>
        <v>3.4077835861779979</v>
      </c>
    </row>
    <row r="336" spans="1:10" ht="12" customHeight="1" x14ac:dyDescent="0.3">
      <c r="A336" s="1">
        <f t="shared" si="3"/>
        <v>43987</v>
      </c>
      <c r="B336" s="20">
        <v>6589.6739130434789</v>
      </c>
      <c r="C336" s="20">
        <f t="shared" si="4"/>
        <v>30570.652173913066</v>
      </c>
      <c r="D336" s="21" t="str">
        <f t="shared" si="0"/>
        <v>200605</v>
      </c>
      <c r="E336" s="22">
        <f t="shared" si="5"/>
        <v>1.8957128876712033</v>
      </c>
      <c r="F336" s="9">
        <f t="shared" si="6"/>
        <v>-1.2564712328767124E-3</v>
      </c>
      <c r="G336" s="14">
        <f t="shared" si="1"/>
        <v>100.43490650946882</v>
      </c>
      <c r="H336" s="24">
        <f t="shared" si="7"/>
        <v>3567.8150946881715</v>
      </c>
      <c r="I336" s="20">
        <f t="shared" si="2"/>
        <v>34138.467268601235</v>
      </c>
      <c r="J336" s="17">
        <f t="shared" si="8"/>
        <v>3.4138467268601236</v>
      </c>
    </row>
    <row r="337" spans="1:10" ht="12" customHeight="1" x14ac:dyDescent="0.3">
      <c r="A337" s="1">
        <f t="shared" si="3"/>
        <v>43990</v>
      </c>
      <c r="B337" s="20">
        <v>6793.478260869565</v>
      </c>
      <c r="C337" s="20">
        <f t="shared" si="4"/>
        <v>30774.45652173915</v>
      </c>
      <c r="D337" s="21" t="str">
        <f t="shared" si="0"/>
        <v>200608</v>
      </c>
      <c r="E337" s="22">
        <f t="shared" si="5"/>
        <v>1.8944564164383266</v>
      </c>
      <c r="F337" s="9">
        <f t="shared" si="6"/>
        <v>-3.7694136986301374E-3</v>
      </c>
      <c r="G337" s="14">
        <f t="shared" si="1"/>
        <v>100.43087322715292</v>
      </c>
      <c r="H337" s="24">
        <f t="shared" si="7"/>
        <v>3527.4822715291521</v>
      </c>
      <c r="I337" s="20">
        <f t="shared" si="2"/>
        <v>34301.938793268302</v>
      </c>
      <c r="J337" s="17">
        <f t="shared" si="8"/>
        <v>3.4301938793268301</v>
      </c>
    </row>
    <row r="338" spans="1:10" ht="12" customHeight="1" x14ac:dyDescent="0.3">
      <c r="A338" s="1">
        <f t="shared" si="3"/>
        <v>43991</v>
      </c>
      <c r="B338" s="20">
        <v>6861.4130434782601</v>
      </c>
      <c r="C338" s="20">
        <f t="shared" si="4"/>
        <v>30842.391304347846</v>
      </c>
      <c r="D338" s="21" t="str">
        <f t="shared" si="0"/>
        <v>200609</v>
      </c>
      <c r="E338" s="22">
        <f t="shared" si="5"/>
        <v>1.8906870027396965</v>
      </c>
      <c r="F338" s="9">
        <f t="shared" si="6"/>
        <v>-1.2564712328767124E-3</v>
      </c>
      <c r="G338" s="14">
        <f t="shared" si="1"/>
        <v>100.43191910315349</v>
      </c>
      <c r="H338" s="24">
        <f t="shared" si="7"/>
        <v>3537.9410315348996</v>
      </c>
      <c r="I338" s="20">
        <f t="shared" si="2"/>
        <v>34380.332335882747</v>
      </c>
      <c r="J338" s="17">
        <f t="shared" si="8"/>
        <v>3.4380332335882744</v>
      </c>
    </row>
    <row r="339" spans="1:10" ht="12" customHeight="1" x14ac:dyDescent="0.3">
      <c r="A339" s="1">
        <f t="shared" si="3"/>
        <v>43992</v>
      </c>
      <c r="B339" s="20">
        <v>6929.347826086957</v>
      </c>
      <c r="C339" s="20">
        <f t="shared" si="4"/>
        <v>30910.326086956542</v>
      </c>
      <c r="D339" s="21" t="str">
        <f t="shared" si="0"/>
        <v>200610</v>
      </c>
      <c r="E339" s="22">
        <f t="shared" si="5"/>
        <v>1.8894305315068198</v>
      </c>
      <c r="F339" s="9">
        <f t="shared" si="6"/>
        <v>-1.2564712328767124E-3</v>
      </c>
      <c r="G339" s="14">
        <f t="shared" si="1"/>
        <v>100.43115573094178</v>
      </c>
      <c r="H339" s="24">
        <f t="shared" si="7"/>
        <v>3530.3073094178217</v>
      </c>
      <c r="I339" s="20">
        <f t="shared" si="2"/>
        <v>34440.633396374367</v>
      </c>
      <c r="J339" s="17">
        <f t="shared" si="8"/>
        <v>3.4440633396374367</v>
      </c>
    </row>
    <row r="340" spans="1:10" ht="12" customHeight="1" x14ac:dyDescent="0.3">
      <c r="A340" s="1">
        <f t="shared" si="3"/>
        <v>43993</v>
      </c>
      <c r="B340" s="20">
        <v>6997.2826086956529</v>
      </c>
      <c r="C340" s="20">
        <f t="shared" si="4"/>
        <v>30978.260869565238</v>
      </c>
      <c r="D340" s="21" t="str">
        <f t="shared" si="0"/>
        <v>200611</v>
      </c>
      <c r="E340" s="22">
        <f t="shared" si="5"/>
        <v>1.8881740602739432</v>
      </c>
      <c r="F340" s="9">
        <f t="shared" si="6"/>
        <v>-1.2564712328767124E-3</v>
      </c>
      <c r="G340" s="14">
        <f t="shared" si="1"/>
        <v>100.43038574782828</v>
      </c>
      <c r="H340" s="24">
        <f t="shared" si="7"/>
        <v>3522.6074782828218</v>
      </c>
      <c r="I340" s="20">
        <f t="shared" si="2"/>
        <v>34500.86834784806</v>
      </c>
      <c r="J340" s="17">
        <f t="shared" si="8"/>
        <v>3.4500868347848059</v>
      </c>
    </row>
    <row r="341" spans="1:10" ht="12" customHeight="1" x14ac:dyDescent="0.3">
      <c r="A341" s="1">
        <f t="shared" si="3"/>
        <v>43994</v>
      </c>
      <c r="B341" s="20">
        <v>7065.2173913043471</v>
      </c>
      <c r="C341" s="20">
        <f t="shared" si="4"/>
        <v>31046.195652173934</v>
      </c>
      <c r="D341" s="21" t="str">
        <f t="shared" si="0"/>
        <v>200612</v>
      </c>
      <c r="E341" s="22">
        <f t="shared" si="5"/>
        <v>1.8869175890410665</v>
      </c>
      <c r="F341" s="9">
        <f t="shared" si="6"/>
        <v>-1.2564712328767124E-3</v>
      </c>
      <c r="G341" s="14">
        <f t="shared" si="1"/>
        <v>100.42960915249087</v>
      </c>
      <c r="H341" s="24">
        <f t="shared" si="7"/>
        <v>3514.8415249086893</v>
      </c>
      <c r="I341" s="20">
        <f t="shared" si="2"/>
        <v>34561.037177082624</v>
      </c>
      <c r="J341" s="17">
        <f t="shared" si="8"/>
        <v>3.4561037177082623</v>
      </c>
    </row>
    <row r="342" spans="1:10" ht="12" customHeight="1" x14ac:dyDescent="0.3">
      <c r="A342" s="1">
        <f t="shared" si="3"/>
        <v>43997</v>
      </c>
      <c r="B342" s="20">
        <v>7269.021739130435</v>
      </c>
      <c r="C342" s="20">
        <f t="shared" si="4"/>
        <v>31250.000000000022</v>
      </c>
      <c r="D342" s="21" t="str">
        <f t="shared" si="0"/>
        <v>200615</v>
      </c>
      <c r="E342" s="22">
        <f t="shared" si="5"/>
        <v>1.8856611178081899</v>
      </c>
      <c r="F342" s="9">
        <f t="shared" si="6"/>
        <v>-3.7694136986301374E-3</v>
      </c>
      <c r="G342" s="14">
        <f t="shared" si="1"/>
        <v>100.42548516477383</v>
      </c>
      <c r="H342" s="24">
        <f t="shared" si="7"/>
        <v>3473.60164773832</v>
      </c>
      <c r="I342" s="20">
        <f t="shared" si="2"/>
        <v>34723.601647738338</v>
      </c>
      <c r="J342" s="17">
        <f t="shared" si="8"/>
        <v>3.4723601647738334</v>
      </c>
    </row>
    <row r="343" spans="1:10" ht="12" customHeight="1" x14ac:dyDescent="0.3">
      <c r="A343" s="1">
        <f t="shared" si="3"/>
        <v>43998</v>
      </c>
      <c r="B343" s="20">
        <v>7336.9565217391309</v>
      </c>
      <c r="C343" s="20">
        <f t="shared" si="4"/>
        <v>31317.934782608718</v>
      </c>
      <c r="D343" s="21" t="str">
        <f t="shared" si="0"/>
        <v>200616</v>
      </c>
      <c r="E343" s="22">
        <f t="shared" si="5"/>
        <v>1.8818917041095597</v>
      </c>
      <c r="F343" s="9">
        <f t="shared" si="6"/>
        <v>-1.2564712328767124E-3</v>
      </c>
      <c r="G343" s="14">
        <f t="shared" si="1"/>
        <v>100.42643662250505</v>
      </c>
      <c r="H343" s="24">
        <f t="shared" si="7"/>
        <v>3483.1162250505085</v>
      </c>
      <c r="I343" s="20">
        <f t="shared" si="2"/>
        <v>34801.051007659225</v>
      </c>
      <c r="J343" s="17">
        <f t="shared" si="8"/>
        <v>3.4801051007659227</v>
      </c>
    </row>
    <row r="344" spans="1:10" ht="12" customHeight="1" x14ac:dyDescent="0.3">
      <c r="A344" s="1">
        <f t="shared" si="3"/>
        <v>43999</v>
      </c>
      <c r="B344" s="20">
        <v>7404.891304347826</v>
      </c>
      <c r="C344" s="20">
        <f t="shared" si="4"/>
        <v>31385.869565217414</v>
      </c>
      <c r="D344" s="21" t="str">
        <f t="shared" si="0"/>
        <v>200617</v>
      </c>
      <c r="E344" s="22">
        <f t="shared" si="5"/>
        <v>1.8806352328766831</v>
      </c>
      <c r="F344" s="9">
        <f t="shared" si="6"/>
        <v>-1.2564712328767124E-3</v>
      </c>
      <c r="G344" s="14">
        <f t="shared" si="1"/>
        <v>100.42562694626145</v>
      </c>
      <c r="H344" s="24">
        <f t="shared" si="7"/>
        <v>3475.0194626144548</v>
      </c>
      <c r="I344" s="20">
        <f t="shared" si="2"/>
        <v>34860.889027831872</v>
      </c>
      <c r="J344" s="17">
        <f t="shared" si="8"/>
        <v>3.4860889027831874</v>
      </c>
    </row>
    <row r="345" spans="1:10" ht="12" customHeight="1" x14ac:dyDescent="0.3">
      <c r="A345" s="1">
        <f t="shared" si="3"/>
        <v>44000</v>
      </c>
      <c r="B345" s="20">
        <v>7472.8260869565211</v>
      </c>
      <c r="C345" s="20">
        <f t="shared" si="4"/>
        <v>31453.80434782611</v>
      </c>
      <c r="D345" s="21" t="str">
        <f t="shared" si="0"/>
        <v>200618</v>
      </c>
      <c r="E345" s="22">
        <f t="shared" si="5"/>
        <v>1.8793787616438065</v>
      </c>
      <c r="F345" s="9">
        <f t="shared" si="6"/>
        <v>-1.2564712328767124E-3</v>
      </c>
      <c r="G345" s="14">
        <f t="shared" si="1"/>
        <v>100.42481064988819</v>
      </c>
      <c r="H345" s="24">
        <f t="shared" si="7"/>
        <v>3466.8564988818671</v>
      </c>
      <c r="I345" s="20">
        <f t="shared" si="2"/>
        <v>34920.660846707979</v>
      </c>
      <c r="J345" s="17">
        <f t="shared" si="8"/>
        <v>3.4920660846707983</v>
      </c>
    </row>
    <row r="346" spans="1:10" ht="12" customHeight="1" x14ac:dyDescent="0.3">
      <c r="A346" s="1">
        <f t="shared" si="3"/>
        <v>44001</v>
      </c>
      <c r="B346" s="20">
        <v>7540.760869565217</v>
      </c>
      <c r="C346" s="20">
        <f t="shared" si="4"/>
        <v>31521.739130434806</v>
      </c>
      <c r="D346" s="21" t="str">
        <f t="shared" si="0"/>
        <v>200619</v>
      </c>
      <c r="E346" s="22">
        <f t="shared" si="5"/>
        <v>1.8781222904109298</v>
      </c>
      <c r="F346" s="9">
        <f t="shared" si="6"/>
        <v>-1.2564712328767124E-3</v>
      </c>
      <c r="G346" s="14">
        <f t="shared" si="1"/>
        <v>100.42398773207216</v>
      </c>
      <c r="H346" s="24">
        <f t="shared" si="7"/>
        <v>3458.6273207216318</v>
      </c>
      <c r="I346" s="20">
        <f t="shared" si="2"/>
        <v>34980.366451156435</v>
      </c>
      <c r="J346" s="17">
        <f t="shared" si="8"/>
        <v>3.4980366451156439</v>
      </c>
    </row>
    <row r="347" spans="1:10" ht="12" customHeight="1" x14ac:dyDescent="0.3">
      <c r="A347" s="1">
        <f t="shared" si="3"/>
        <v>44004</v>
      </c>
      <c r="B347" s="20">
        <v>7744.565217391304</v>
      </c>
      <c r="C347" s="20">
        <f t="shared" si="4"/>
        <v>31725.543478260894</v>
      </c>
      <c r="D347" s="21" t="str">
        <f t="shared" si="0"/>
        <v>200622</v>
      </c>
      <c r="E347" s="22">
        <f t="shared" si="5"/>
        <v>1.8768658191780532</v>
      </c>
      <c r="F347" s="9">
        <f t="shared" si="6"/>
        <v>-3.7694136986301374E-3</v>
      </c>
      <c r="G347" s="14">
        <f t="shared" si="1"/>
        <v>100.41977289665287</v>
      </c>
      <c r="H347" s="24">
        <f t="shared" si="7"/>
        <v>3416.4789665287285</v>
      </c>
      <c r="I347" s="20">
        <f t="shared" si="2"/>
        <v>35142.022444789625</v>
      </c>
      <c r="J347" s="17">
        <f t="shared" si="8"/>
        <v>3.5142022444789625</v>
      </c>
    </row>
    <row r="348" spans="1:10" ht="12" customHeight="1" x14ac:dyDescent="0.3">
      <c r="A348" s="1">
        <f t="shared" si="3"/>
        <v>44005</v>
      </c>
      <c r="B348" s="20">
        <v>7812.5</v>
      </c>
      <c r="C348" s="20">
        <f t="shared" si="4"/>
        <v>31793.47826086959</v>
      </c>
      <c r="D348" s="21" t="str">
        <f t="shared" si="0"/>
        <v>200623</v>
      </c>
      <c r="E348" s="22">
        <f t="shared" si="5"/>
        <v>1.873096405479423</v>
      </c>
      <c r="F348" s="9">
        <f t="shared" si="6"/>
        <v>-1.2564712328767124E-3</v>
      </c>
      <c r="G348" s="14">
        <f t="shared" si="1"/>
        <v>100.42062982016212</v>
      </c>
      <c r="H348" s="24">
        <f t="shared" si="7"/>
        <v>3425.0482016211945</v>
      </c>
      <c r="I348" s="20">
        <f t="shared" si="2"/>
        <v>35218.526462490787</v>
      </c>
      <c r="J348" s="17">
        <f t="shared" si="8"/>
        <v>3.5218526462490787</v>
      </c>
    </row>
    <row r="349" spans="1:10" ht="12" customHeight="1" x14ac:dyDescent="0.3">
      <c r="A349" s="1">
        <f t="shared" si="3"/>
        <v>44006</v>
      </c>
      <c r="B349" s="20">
        <v>7880.434782608696</v>
      </c>
      <c r="C349" s="20">
        <f t="shared" si="4"/>
        <v>31861.413043478286</v>
      </c>
      <c r="D349" s="21" t="str">
        <f t="shared" si="0"/>
        <v>200624</v>
      </c>
      <c r="E349" s="22">
        <f t="shared" si="5"/>
        <v>1.8718399342465464</v>
      </c>
      <c r="F349" s="9">
        <f t="shared" si="6"/>
        <v>-1.2564712328767124E-3</v>
      </c>
      <c r="G349" s="14">
        <f t="shared" si="1"/>
        <v>100.41977377547983</v>
      </c>
      <c r="H349" s="24">
        <f t="shared" si="7"/>
        <v>3416.4877547982546</v>
      </c>
      <c r="I349" s="20">
        <f t="shared" si="2"/>
        <v>35277.90079827654</v>
      </c>
      <c r="J349" s="17">
        <f t="shared" si="8"/>
        <v>3.5277900798276542</v>
      </c>
    </row>
    <row r="350" spans="1:10" ht="12" customHeight="1" x14ac:dyDescent="0.3">
      <c r="A350" s="1">
        <f t="shared" si="3"/>
        <v>44007</v>
      </c>
      <c r="B350" s="20">
        <v>7948.3695652173928</v>
      </c>
      <c r="C350" s="20">
        <f t="shared" si="4"/>
        <v>31929.347826086982</v>
      </c>
      <c r="D350" s="21" t="str">
        <f t="shared" si="0"/>
        <v>200625</v>
      </c>
      <c r="E350" s="22">
        <f t="shared" si="5"/>
        <v>1.8705834630136697</v>
      </c>
      <c r="F350" s="9">
        <f t="shared" si="6"/>
        <v>-1.2564712328767124E-3</v>
      </c>
      <c r="G350" s="14">
        <f t="shared" si="1"/>
        <v>100.41891110150279</v>
      </c>
      <c r="H350" s="24">
        <f t="shared" si="7"/>
        <v>3407.8610150278623</v>
      </c>
      <c r="I350" s="20">
        <f t="shared" si="2"/>
        <v>35337.208841114843</v>
      </c>
      <c r="J350" s="17">
        <f t="shared" si="8"/>
        <v>3.5337208841114847</v>
      </c>
    </row>
    <row r="351" spans="1:10" ht="12" customHeight="1" x14ac:dyDescent="0.3">
      <c r="A351" s="1">
        <f t="shared" si="3"/>
        <v>44008</v>
      </c>
      <c r="B351" s="20">
        <v>8016.3043478260861</v>
      </c>
      <c r="C351" s="20">
        <f t="shared" si="4"/>
        <v>31997.282608695674</v>
      </c>
      <c r="D351" s="21" t="str">
        <f t="shared" si="0"/>
        <v>200626</v>
      </c>
      <c r="E351" s="22">
        <f t="shared" si="5"/>
        <v>1.8693269917807931</v>
      </c>
      <c r="F351" s="9">
        <f t="shared" si="6"/>
        <v>-1.2564712328767124E-3</v>
      </c>
      <c r="G351" s="14">
        <f t="shared" si="1"/>
        <v>100.41804179692683</v>
      </c>
      <c r="H351" s="24">
        <f t="shared" si="7"/>
        <v>3399.167969268291</v>
      </c>
      <c r="I351" s="20">
        <f t="shared" si="2"/>
        <v>35396.450577963966</v>
      </c>
      <c r="J351" s="17">
        <f t="shared" si="8"/>
        <v>3.5396450577963963</v>
      </c>
    </row>
    <row r="352" spans="1:10" ht="12" customHeight="1" x14ac:dyDescent="0.3">
      <c r="A352" s="1">
        <f t="shared" si="3"/>
        <v>44011</v>
      </c>
      <c r="B352" s="20">
        <v>8220.108695652174</v>
      </c>
      <c r="C352" s="20">
        <f t="shared" si="4"/>
        <v>32201.086956521762</v>
      </c>
      <c r="D352" s="21" t="str">
        <f t="shared" si="0"/>
        <v>200629</v>
      </c>
      <c r="E352" s="22">
        <f t="shared" si="5"/>
        <v>1.8680705205479164</v>
      </c>
      <c r="F352" s="9">
        <f t="shared" si="6"/>
        <v>-3.7694136986301374E-3</v>
      </c>
      <c r="G352" s="14">
        <f t="shared" si="1"/>
        <v>100.41373597236441</v>
      </c>
      <c r="H352" s="24">
        <f t="shared" si="7"/>
        <v>3356.1097236440673</v>
      </c>
      <c r="I352" s="20">
        <f t="shared" si="2"/>
        <v>35557.196680165827</v>
      </c>
      <c r="J352" s="17">
        <f t="shared" si="8"/>
        <v>3.5557196680165823</v>
      </c>
    </row>
    <row r="353" spans="1:10" ht="12" customHeight="1" x14ac:dyDescent="0.3">
      <c r="A353" s="1">
        <f t="shared" si="3"/>
        <v>44012</v>
      </c>
      <c r="B353" s="20">
        <v>8288.04347826087</v>
      </c>
      <c r="C353" s="20">
        <f t="shared" si="4"/>
        <v>32269.021739130458</v>
      </c>
      <c r="D353" s="21" t="str">
        <f t="shared" si="0"/>
        <v>200630</v>
      </c>
      <c r="E353" s="22">
        <f t="shared" si="5"/>
        <v>1.8643011068492863</v>
      </c>
      <c r="F353" s="9">
        <f t="shared" si="6"/>
        <v>-1.2564712328767124E-3</v>
      </c>
      <c r="G353" s="14">
        <f t="shared" si="1"/>
        <v>100.41449824659516</v>
      </c>
      <c r="H353" s="24">
        <f t="shared" si="7"/>
        <v>3363.7324659515853</v>
      </c>
      <c r="I353" s="20">
        <f t="shared" si="2"/>
        <v>35632.754205082041</v>
      </c>
      <c r="J353" s="17">
        <f t="shared" si="8"/>
        <v>3.5632754205082042</v>
      </c>
    </row>
    <row r="354" spans="1:10" ht="12" customHeight="1" x14ac:dyDescent="0.3">
      <c r="A354" s="1">
        <f t="shared" si="3"/>
        <v>44013</v>
      </c>
      <c r="B354" s="20">
        <v>8355.9782608695659</v>
      </c>
      <c r="C354" s="20">
        <f t="shared" si="4"/>
        <v>32336.956521739154</v>
      </c>
      <c r="D354" s="21" t="str">
        <f t="shared" si="0"/>
        <v>200701</v>
      </c>
      <c r="E354" s="22">
        <f t="shared" si="5"/>
        <v>1.8630446356164096</v>
      </c>
      <c r="F354" s="9">
        <f t="shared" si="6"/>
        <v>-1.2564712328767124E-3</v>
      </c>
      <c r="G354" s="14">
        <f t="shared" si="1"/>
        <v>100.4135957695069</v>
      </c>
      <c r="H354" s="24">
        <f t="shared" si="7"/>
        <v>3354.7076950689811</v>
      </c>
      <c r="I354" s="20">
        <f t="shared" si="2"/>
        <v>35691.664216808138</v>
      </c>
      <c r="J354" s="17">
        <f t="shared" si="8"/>
        <v>3.5691664216808139</v>
      </c>
    </row>
    <row r="355" spans="1:10" ht="12" customHeight="1" x14ac:dyDescent="0.3">
      <c r="A355" s="1">
        <f t="shared" si="3"/>
        <v>44014</v>
      </c>
      <c r="B355" s="20">
        <v>8423.9130434782601</v>
      </c>
      <c r="C355" s="20">
        <f t="shared" si="4"/>
        <v>32404.891304347846</v>
      </c>
      <c r="D355" s="21" t="str">
        <f t="shared" si="0"/>
        <v>200702</v>
      </c>
      <c r="E355" s="22">
        <f t="shared" si="5"/>
        <v>1.861788164383533</v>
      </c>
      <c r="F355" s="9">
        <f t="shared" si="6"/>
        <v>-1.2564712328767124E-3</v>
      </c>
      <c r="G355" s="14">
        <f t="shared" si="1"/>
        <v>100.41268665402163</v>
      </c>
      <c r="H355" s="24">
        <f t="shared" si="7"/>
        <v>3345.6165402162696</v>
      </c>
      <c r="I355" s="20">
        <f t="shared" si="2"/>
        <v>35750.507844564112</v>
      </c>
      <c r="J355" s="17">
        <f t="shared" si="8"/>
        <v>3.5750507844564114</v>
      </c>
    </row>
    <row r="356" spans="1:10" ht="12" customHeight="1" x14ac:dyDescent="0.3">
      <c r="A356" s="1">
        <f t="shared" si="3"/>
        <v>44015</v>
      </c>
      <c r="B356" s="20">
        <v>8491.847826086956</v>
      </c>
      <c r="C356" s="20">
        <f t="shared" si="4"/>
        <v>32472.826086956542</v>
      </c>
      <c r="D356" s="21" t="str">
        <f t="shared" si="0"/>
        <v>200703</v>
      </c>
      <c r="E356" s="22">
        <f t="shared" si="5"/>
        <v>1.8605316931506564</v>
      </c>
      <c r="F356" s="9">
        <f t="shared" si="6"/>
        <v>-1.2564712328767124E-3</v>
      </c>
      <c r="G356" s="14">
        <f t="shared" si="1"/>
        <v>100.41177089884418</v>
      </c>
      <c r="H356" s="24">
        <f t="shared" si="7"/>
        <v>3336.4589884418197</v>
      </c>
      <c r="I356" s="20">
        <f t="shared" si="2"/>
        <v>35809.285075398358</v>
      </c>
      <c r="J356" s="17">
        <f t="shared" si="8"/>
        <v>3.5809285075398356</v>
      </c>
    </row>
    <row r="357" spans="1:10" ht="12" customHeight="1" x14ac:dyDescent="0.3">
      <c r="A357" s="1">
        <f t="shared" si="3"/>
        <v>44018</v>
      </c>
      <c r="B357" s="20">
        <v>8695.652173913044</v>
      </c>
      <c r="C357" s="20">
        <f t="shared" si="4"/>
        <v>32676.63043478263</v>
      </c>
      <c r="D357" s="21" t="str">
        <f t="shared" si="0"/>
        <v>200706</v>
      </c>
      <c r="E357" s="22">
        <f t="shared" si="5"/>
        <v>1.8592752219177797</v>
      </c>
      <c r="F357" s="9">
        <f t="shared" si="6"/>
        <v>-3.7694136986301374E-3</v>
      </c>
      <c r="G357" s="14">
        <f t="shared" si="1"/>
        <v>100.40737394456005</v>
      </c>
      <c r="H357" s="24">
        <f t="shared" si="7"/>
        <v>3292.4894456004949</v>
      </c>
      <c r="I357" s="20">
        <f t="shared" si="2"/>
        <v>35969.119880383121</v>
      </c>
      <c r="J357" s="17">
        <f t="shared" si="8"/>
        <v>3.596911988038312</v>
      </c>
    </row>
    <row r="358" spans="1:10" ht="12" customHeight="1" x14ac:dyDescent="0.3">
      <c r="A358" s="1">
        <f t="shared" si="3"/>
        <v>44019</v>
      </c>
      <c r="B358" s="20">
        <v>8763.5869565217399</v>
      </c>
      <c r="C358" s="20">
        <f t="shared" si="4"/>
        <v>32744.565217391326</v>
      </c>
      <c r="D358" s="21" t="str">
        <f t="shared" si="0"/>
        <v>200707</v>
      </c>
      <c r="E358" s="22">
        <f t="shared" si="5"/>
        <v>1.8555058082191496</v>
      </c>
      <c r="F358" s="9">
        <f t="shared" si="6"/>
        <v>-1.2564712328767124E-3</v>
      </c>
      <c r="G358" s="14">
        <f t="shared" si="1"/>
        <v>100.408041455354</v>
      </c>
      <c r="H358" s="24">
        <f t="shared" si="7"/>
        <v>3299.1645535399525</v>
      </c>
      <c r="I358" s="20">
        <f t="shared" si="2"/>
        <v>36043.729770931277</v>
      </c>
      <c r="J358" s="17">
        <f t="shared" si="8"/>
        <v>3.6043729770931274</v>
      </c>
    </row>
    <row r="359" spans="1:10" ht="12" customHeight="1" x14ac:dyDescent="0.3">
      <c r="A359" s="1">
        <f t="shared" si="3"/>
        <v>44020</v>
      </c>
      <c r="B359" s="20">
        <v>8831.5217391304341</v>
      </c>
      <c r="C359" s="20">
        <f t="shared" si="4"/>
        <v>32812.500000000022</v>
      </c>
      <c r="D359" s="21" t="str">
        <f t="shared" si="0"/>
        <v>200708</v>
      </c>
      <c r="E359" s="22">
        <f t="shared" si="5"/>
        <v>1.8542493369862729</v>
      </c>
      <c r="F359" s="9">
        <f t="shared" si="6"/>
        <v>-1.2564712328767124E-3</v>
      </c>
      <c r="G359" s="14">
        <f t="shared" si="1"/>
        <v>100.40709248233298</v>
      </c>
      <c r="H359" s="24">
        <f t="shared" si="7"/>
        <v>3289.6748233298467</v>
      </c>
      <c r="I359" s="20">
        <f t="shared" si="2"/>
        <v>36102.174823329871</v>
      </c>
      <c r="J359" s="17">
        <f t="shared" si="8"/>
        <v>3.6102174823329869</v>
      </c>
    </row>
    <row r="360" spans="1:10" ht="12" customHeight="1" x14ac:dyDescent="0.3">
      <c r="A360" s="1">
        <f t="shared" si="3"/>
        <v>44021</v>
      </c>
      <c r="B360" s="20">
        <v>8899.45652173913</v>
      </c>
      <c r="C360" s="20">
        <f t="shared" si="4"/>
        <v>32880.434782608718</v>
      </c>
      <c r="D360" s="21" t="str">
        <f t="shared" si="0"/>
        <v>200709</v>
      </c>
      <c r="E360" s="22">
        <f t="shared" si="5"/>
        <v>1.8529928657533963</v>
      </c>
      <c r="F360" s="9">
        <f t="shared" si="6"/>
        <v>-1.2564712328767124E-3</v>
      </c>
      <c r="G360" s="14">
        <f t="shared" si="1"/>
        <v>100.40613686187575</v>
      </c>
      <c r="H360" s="24">
        <f t="shared" si="7"/>
        <v>3280.1186187575131</v>
      </c>
      <c r="I360" s="20">
        <f t="shared" si="2"/>
        <v>36160.553401366233</v>
      </c>
      <c r="J360" s="17">
        <f t="shared" si="8"/>
        <v>3.6160553401366231</v>
      </c>
    </row>
    <row r="361" spans="1:10" ht="12" customHeight="1" x14ac:dyDescent="0.3">
      <c r="A361" s="1">
        <f t="shared" si="3"/>
        <v>44022</v>
      </c>
      <c r="B361" s="20">
        <v>8967.391304347826</v>
      </c>
      <c r="C361" s="20">
        <f t="shared" si="4"/>
        <v>32948.369565217414</v>
      </c>
      <c r="D361" s="21" t="str">
        <f t="shared" si="0"/>
        <v>200710</v>
      </c>
      <c r="E361" s="22">
        <f t="shared" si="5"/>
        <v>1.8517363945205196</v>
      </c>
      <c r="F361" s="9">
        <f t="shared" si="6"/>
        <v>-1.2564712328767124E-3</v>
      </c>
      <c r="G361" s="14">
        <f t="shared" si="1"/>
        <v>100.40517459269614</v>
      </c>
      <c r="H361" s="24">
        <f t="shared" si="7"/>
        <v>3270.4959269614164</v>
      </c>
      <c r="I361" s="20">
        <f t="shared" si="2"/>
        <v>36218.865492178833</v>
      </c>
      <c r="J361" s="17">
        <f t="shared" si="8"/>
        <v>3.6218865492178836</v>
      </c>
    </row>
    <row r="362" spans="1:10" ht="12" customHeight="1" x14ac:dyDescent="0.3">
      <c r="A362" s="1">
        <f t="shared" si="3"/>
        <v>44025</v>
      </c>
      <c r="B362" s="20">
        <v>9171.1956521739139</v>
      </c>
      <c r="C362" s="20">
        <f t="shared" si="4"/>
        <v>33152.173913043502</v>
      </c>
      <c r="D362" s="21" t="str">
        <f t="shared" si="0"/>
        <v>200713</v>
      </c>
      <c r="E362" s="22">
        <f t="shared" si="5"/>
        <v>1.850479923287643</v>
      </c>
      <c r="F362" s="9">
        <f t="shared" si="6"/>
        <v>-3.7694136986301374E-3</v>
      </c>
      <c r="G362" s="14">
        <f t="shared" si="1"/>
        <v>100.40068636897671</v>
      </c>
      <c r="H362" s="24">
        <f t="shared" si="7"/>
        <v>3225.6136897670726</v>
      </c>
      <c r="I362" s="20">
        <f t="shared" si="2"/>
        <v>36377.787602810575</v>
      </c>
      <c r="J362" s="17">
        <f t="shared" si="8"/>
        <v>3.6377787602810576</v>
      </c>
    </row>
    <row r="363" spans="1:10" ht="12" customHeight="1" x14ac:dyDescent="0.3">
      <c r="A363" s="1">
        <f t="shared" si="3"/>
        <v>44026</v>
      </c>
      <c r="B363" s="20">
        <v>9239.1304347826081</v>
      </c>
      <c r="C363" s="20">
        <f t="shared" si="4"/>
        <v>33220.108695652198</v>
      </c>
      <c r="D363" s="21" t="str">
        <f t="shared" si="0"/>
        <v>200714</v>
      </c>
      <c r="E363" s="22">
        <f t="shared" si="5"/>
        <v>1.8467105095890128</v>
      </c>
      <c r="F363" s="9">
        <f t="shared" si="6"/>
        <v>-1.2564712328767124E-3</v>
      </c>
      <c r="G363" s="14">
        <f t="shared" si="1"/>
        <v>100.40125900307574</v>
      </c>
      <c r="H363" s="24">
        <f t="shared" si="7"/>
        <v>3231.3400307573656</v>
      </c>
      <c r="I363" s="20">
        <f t="shared" si="2"/>
        <v>36451.448726409566</v>
      </c>
      <c r="J363" s="17">
        <f t="shared" si="8"/>
        <v>3.645144872640957</v>
      </c>
    </row>
    <row r="364" spans="1:10" ht="12" customHeight="1" x14ac:dyDescent="0.3">
      <c r="A364" s="1">
        <f t="shared" si="3"/>
        <v>44027</v>
      </c>
      <c r="B364" s="20">
        <v>9307.065217391304</v>
      </c>
      <c r="C364" s="20">
        <f t="shared" si="4"/>
        <v>33288.043478260894</v>
      </c>
      <c r="D364" s="21" t="str">
        <f t="shared" si="0"/>
        <v>200715</v>
      </c>
      <c r="E364" s="22">
        <f t="shared" si="5"/>
        <v>1.8454540383561362</v>
      </c>
      <c r="F364" s="9">
        <f t="shared" si="6"/>
        <v>-1.2564712328767124E-3</v>
      </c>
      <c r="G364" s="14">
        <f t="shared" si="1"/>
        <v>100.40026347103692</v>
      </c>
      <c r="H364" s="24">
        <f t="shared" si="7"/>
        <v>3221.3847103692219</v>
      </c>
      <c r="I364" s="20">
        <f t="shared" si="2"/>
        <v>36509.428188630118</v>
      </c>
      <c r="J364" s="17">
        <f t="shared" si="8"/>
        <v>3.6509428188630113</v>
      </c>
    </row>
    <row r="365" spans="1:10" ht="12" customHeight="1" x14ac:dyDescent="0.3">
      <c r="A365" s="1">
        <f t="shared" si="3"/>
        <v>44028</v>
      </c>
      <c r="B365" s="20">
        <v>9375</v>
      </c>
      <c r="C365" s="20">
        <f t="shared" si="4"/>
        <v>33355.97826086959</v>
      </c>
      <c r="D365" s="21" t="str">
        <f t="shared" si="0"/>
        <v>200716</v>
      </c>
      <c r="E365" s="22">
        <f t="shared" si="5"/>
        <v>1.8441975671232596</v>
      </c>
      <c r="F365" s="9">
        <f t="shared" si="6"/>
        <v>-1.2564712328767124E-3</v>
      </c>
      <c r="G365" s="14">
        <f t="shared" si="1"/>
        <v>100.39926128258585</v>
      </c>
      <c r="H365" s="24">
        <f t="shared" si="7"/>
        <v>3211.3628258585436</v>
      </c>
      <c r="I365" s="20">
        <f t="shared" si="2"/>
        <v>36567.341086728135</v>
      </c>
      <c r="J365" s="17">
        <f t="shared" si="8"/>
        <v>3.6567341086728136</v>
      </c>
    </row>
    <row r="366" spans="1:10" ht="12" customHeight="1" x14ac:dyDescent="0.3">
      <c r="A366" s="1">
        <f t="shared" si="3"/>
        <v>44029</v>
      </c>
      <c r="B366" s="20">
        <v>9442.934782608696</v>
      </c>
      <c r="C366" s="20">
        <f t="shared" si="4"/>
        <v>33423.913043478286</v>
      </c>
      <c r="D366" s="21" t="str">
        <f t="shared" si="0"/>
        <v>200717</v>
      </c>
      <c r="E366" s="22">
        <f t="shared" si="5"/>
        <v>1.8429410958903829</v>
      </c>
      <c r="F366" s="9">
        <f t="shared" si="6"/>
        <v>-1.2564712328767124E-3</v>
      </c>
      <c r="G366" s="14">
        <f t="shared" si="1"/>
        <v>100.39825243644536</v>
      </c>
      <c r="H366" s="24">
        <f t="shared" si="7"/>
        <v>3201.2743644536099</v>
      </c>
      <c r="I366" s="20">
        <f t="shared" si="2"/>
        <v>36625.187407931895</v>
      </c>
      <c r="J366" s="17">
        <f t="shared" si="8"/>
        <v>3.6625187407931894</v>
      </c>
    </row>
    <row r="367" spans="1:10" ht="12" customHeight="1" x14ac:dyDescent="0.3">
      <c r="A367" s="1">
        <f t="shared" si="3"/>
        <v>44032</v>
      </c>
      <c r="B367" s="20">
        <v>9646.7391304347821</v>
      </c>
      <c r="C367" s="20">
        <f t="shared" si="4"/>
        <v>33627.717391304373</v>
      </c>
      <c r="D367" s="21" t="str">
        <f t="shared" si="0"/>
        <v>200720</v>
      </c>
      <c r="E367" s="22">
        <f t="shared" si="5"/>
        <v>1.8416846246575063</v>
      </c>
      <c r="F367" s="9">
        <f t="shared" si="6"/>
        <v>-3.7694136986301374E-3</v>
      </c>
      <c r="G367" s="14">
        <f t="shared" si="1"/>
        <v>100.39367280444395</v>
      </c>
      <c r="H367" s="24">
        <f t="shared" si="7"/>
        <v>3155.4780444395192</v>
      </c>
      <c r="I367" s="20">
        <f t="shared" si="2"/>
        <v>36783.195435743895</v>
      </c>
      <c r="J367" s="17">
        <f t="shared" si="8"/>
        <v>3.6783195435743896</v>
      </c>
    </row>
    <row r="368" spans="1:10" ht="12" customHeight="1" x14ac:dyDescent="0.3">
      <c r="A368" s="1">
        <f t="shared" si="3"/>
        <v>44033</v>
      </c>
      <c r="B368" s="20">
        <v>9714.6739130434798</v>
      </c>
      <c r="C368" s="20">
        <f t="shared" si="4"/>
        <v>33695.652173913069</v>
      </c>
      <c r="D368" s="21" t="str">
        <f t="shared" si="0"/>
        <v>200721</v>
      </c>
      <c r="E368" s="22">
        <f t="shared" si="5"/>
        <v>1.8379152109588761</v>
      </c>
      <c r="F368" s="9">
        <f t="shared" si="6"/>
        <v>-1.2564712328767124E-3</v>
      </c>
      <c r="G368" s="14">
        <f t="shared" si="1"/>
        <v>100.39415044949241</v>
      </c>
      <c r="H368" s="24">
        <f t="shared" si="7"/>
        <v>3160.254494924146</v>
      </c>
      <c r="I368" s="20">
        <f t="shared" si="2"/>
        <v>36855.906668837219</v>
      </c>
      <c r="J368" s="17">
        <f t="shared" si="8"/>
        <v>3.6855906668837215</v>
      </c>
    </row>
    <row r="369" spans="1:10" ht="12" customHeight="1" x14ac:dyDescent="0.3">
      <c r="A369" s="1">
        <f t="shared" si="3"/>
        <v>44034</v>
      </c>
      <c r="B369" s="20">
        <v>9782.608695652174</v>
      </c>
      <c r="C369" s="20">
        <f t="shared" si="4"/>
        <v>33763.586956521765</v>
      </c>
      <c r="D369" s="21" t="str">
        <f t="shared" si="0"/>
        <v>200722</v>
      </c>
      <c r="E369" s="22">
        <f t="shared" si="5"/>
        <v>1.8366587397259995</v>
      </c>
      <c r="F369" s="9">
        <f t="shared" si="6"/>
        <v>-1.2564712328767124E-3</v>
      </c>
      <c r="G369" s="14">
        <f t="shared" si="1"/>
        <v>100.39310829579345</v>
      </c>
      <c r="H369" s="24">
        <f t="shared" si="7"/>
        <v>3149.8329579345354</v>
      </c>
      <c r="I369" s="20">
        <f t="shared" si="2"/>
        <v>36913.419914456303</v>
      </c>
      <c r="J369" s="17">
        <f t="shared" si="8"/>
        <v>3.6913419914456305</v>
      </c>
    </row>
    <row r="370" spans="1:10" ht="12" customHeight="1" x14ac:dyDescent="0.3">
      <c r="A370" s="1">
        <f t="shared" si="3"/>
        <v>44035</v>
      </c>
      <c r="B370" s="20">
        <v>9850.54347826087</v>
      </c>
      <c r="C370" s="20">
        <f t="shared" si="4"/>
        <v>33831.521739130461</v>
      </c>
      <c r="D370" s="21" t="str">
        <f t="shared" si="0"/>
        <v>200723</v>
      </c>
      <c r="E370" s="22">
        <f t="shared" si="5"/>
        <v>1.8354022684931228</v>
      </c>
      <c r="F370" s="9">
        <f t="shared" si="6"/>
        <v>-1.2564712328767124E-3</v>
      </c>
      <c r="G370" s="14">
        <f t="shared" si="1"/>
        <v>100.39205947676953</v>
      </c>
      <c r="H370" s="24">
        <f t="shared" si="7"/>
        <v>3139.3447676953201</v>
      </c>
      <c r="I370" s="20">
        <f t="shared" si="2"/>
        <v>36970.866506825783</v>
      </c>
      <c r="J370" s="17">
        <f t="shared" si="8"/>
        <v>3.6970866506825781</v>
      </c>
    </row>
    <row r="371" spans="1:10" ht="12" customHeight="1" x14ac:dyDescent="0.3">
      <c r="A371" s="1">
        <f t="shared" si="3"/>
        <v>44036</v>
      </c>
      <c r="B371" s="20">
        <v>9918.4782608695659</v>
      </c>
      <c r="C371" s="20">
        <f t="shared" si="4"/>
        <v>33899.456521739157</v>
      </c>
      <c r="D371" s="21" t="str">
        <f t="shared" si="0"/>
        <v>200724</v>
      </c>
      <c r="E371" s="22">
        <f t="shared" si="5"/>
        <v>1.8341457972602462</v>
      </c>
      <c r="F371" s="9">
        <f t="shared" si="6"/>
        <v>-1.2564712328767124E-3</v>
      </c>
      <c r="G371" s="14">
        <f t="shared" si="1"/>
        <v>100.39100399115257</v>
      </c>
      <c r="H371" s="24">
        <f t="shared" si="7"/>
        <v>3128.7899115257292</v>
      </c>
      <c r="I371" s="20">
        <f t="shared" si="2"/>
        <v>37028.246433264889</v>
      </c>
      <c r="J371" s="17">
        <f t="shared" si="8"/>
        <v>3.7028246433264891</v>
      </c>
    </row>
    <row r="372" spans="1:10" ht="12" customHeight="1" x14ac:dyDescent="0.3">
      <c r="A372" s="1">
        <f t="shared" si="3"/>
        <v>44039</v>
      </c>
      <c r="B372" s="20">
        <v>10122.282608695652</v>
      </c>
      <c r="C372" s="20">
        <f t="shared" si="4"/>
        <v>34103.260869565245</v>
      </c>
      <c r="D372" s="21" t="str">
        <f t="shared" si="0"/>
        <v>200727</v>
      </c>
      <c r="E372" s="22">
        <f t="shared" si="5"/>
        <v>1.8328893260273695</v>
      </c>
      <c r="F372" s="9">
        <f t="shared" si="6"/>
        <v>-3.7694136986301374E-3</v>
      </c>
      <c r="G372" s="14">
        <f t="shared" si="1"/>
        <v>100.38633281289209</v>
      </c>
      <c r="H372" s="24">
        <f t="shared" si="7"/>
        <v>3082.0781289209262</v>
      </c>
      <c r="I372" s="20">
        <f t="shared" si="2"/>
        <v>37185.338998486171</v>
      </c>
      <c r="J372" s="17">
        <f t="shared" si="8"/>
        <v>3.7185338998486173</v>
      </c>
    </row>
    <row r="373" spans="1:10" ht="12" customHeight="1" x14ac:dyDescent="0.3">
      <c r="A373" s="1">
        <f t="shared" si="3"/>
        <v>44040</v>
      </c>
      <c r="B373" s="20">
        <v>10190.217391304348</v>
      </c>
      <c r="C373" s="20">
        <f t="shared" si="4"/>
        <v>34171.195652173941</v>
      </c>
      <c r="D373" s="21" t="str">
        <f t="shared" si="0"/>
        <v>200728</v>
      </c>
      <c r="E373" s="22">
        <f t="shared" si="5"/>
        <v>1.8291199123287394</v>
      </c>
      <c r="F373" s="9">
        <f t="shared" si="6"/>
        <v>-1.2564712328767124E-3</v>
      </c>
      <c r="G373" s="14">
        <f t="shared" si="1"/>
        <v>100.38671535743872</v>
      </c>
      <c r="H373" s="24">
        <f t="shared" si="7"/>
        <v>3085.9035743871746</v>
      </c>
      <c r="I373" s="20">
        <f t="shared" si="2"/>
        <v>37257.099226561113</v>
      </c>
      <c r="J373" s="17">
        <f t="shared" si="8"/>
        <v>3.7257099226561112</v>
      </c>
    </row>
    <row r="374" spans="1:10" ht="12" customHeight="1" x14ac:dyDescent="0.3">
      <c r="A374" s="1">
        <f t="shared" si="3"/>
        <v>44041</v>
      </c>
      <c r="B374" s="20">
        <v>10258.152173913042</v>
      </c>
      <c r="C374" s="20">
        <f t="shared" si="4"/>
        <v>34239.130434782637</v>
      </c>
      <c r="D374" s="21" t="str">
        <f t="shared" si="0"/>
        <v>200729</v>
      </c>
      <c r="E374" s="22">
        <f t="shared" si="5"/>
        <v>1.8278634410958627</v>
      </c>
      <c r="F374" s="9">
        <f t="shared" si="6"/>
        <v>-1.2564712328767124E-3</v>
      </c>
      <c r="G374" s="14">
        <f t="shared" si="1"/>
        <v>100.38562651988113</v>
      </c>
      <c r="H374" s="24">
        <f t="shared" si="7"/>
        <v>3075.0151988112862</v>
      </c>
      <c r="I374" s="20">
        <f t="shared" si="2"/>
        <v>37314.145633593922</v>
      </c>
      <c r="J374" s="17">
        <f t="shared" si="8"/>
        <v>3.731414563359392</v>
      </c>
    </row>
    <row r="375" spans="1:10" ht="12" customHeight="1" x14ac:dyDescent="0.3">
      <c r="A375" s="1">
        <f t="shared" si="3"/>
        <v>44042</v>
      </c>
      <c r="B375" s="20">
        <v>10326.086956521738</v>
      </c>
      <c r="C375" s="20">
        <f t="shared" si="4"/>
        <v>34307.065217391333</v>
      </c>
      <c r="D375" s="21" t="str">
        <f t="shared" si="0"/>
        <v>200730</v>
      </c>
      <c r="E375" s="22">
        <f t="shared" si="5"/>
        <v>1.8266069698629861</v>
      </c>
      <c r="F375" s="9">
        <f t="shared" si="6"/>
        <v>-1.2564712328767124E-3</v>
      </c>
      <c r="G375" s="14">
        <f t="shared" si="1"/>
        <v>100.38453100814937</v>
      </c>
      <c r="H375" s="24">
        <f t="shared" si="7"/>
        <v>3064.0600814936647</v>
      </c>
      <c r="I375" s="20">
        <f t="shared" si="2"/>
        <v>37371.125298884996</v>
      </c>
      <c r="J375" s="17">
        <f t="shared" si="8"/>
        <v>3.7371125298885</v>
      </c>
    </row>
    <row r="376" spans="1:10" ht="12" customHeight="1" x14ac:dyDescent="0.3">
      <c r="A376" s="1">
        <f t="shared" si="3"/>
        <v>44043</v>
      </c>
      <c r="B376" s="20">
        <v>10394.021739130434</v>
      </c>
      <c r="C376" s="20">
        <f t="shared" si="4"/>
        <v>34375.000000000029</v>
      </c>
      <c r="D376" s="21" t="str">
        <f t="shared" si="0"/>
        <v>200731</v>
      </c>
      <c r="E376" s="22">
        <f t="shared" si="5"/>
        <v>1.8253504986301095</v>
      </c>
      <c r="F376" s="9">
        <f t="shared" si="6"/>
        <v>-1.2564712328767124E-3</v>
      </c>
      <c r="G376" s="14">
        <f t="shared" si="1"/>
        <v>100.38342882098448</v>
      </c>
      <c r="H376" s="24">
        <f t="shared" si="7"/>
        <v>3053.0382098447717</v>
      </c>
      <c r="I376" s="20">
        <f t="shared" si="2"/>
        <v>37428.038209844803</v>
      </c>
      <c r="J376" s="17">
        <f t="shared" si="8"/>
        <v>3.7428038209844807</v>
      </c>
    </row>
    <row r="377" spans="1:10" ht="12" customHeight="1" x14ac:dyDescent="0.3">
      <c r="A377" s="1">
        <f t="shared" si="3"/>
        <v>44046</v>
      </c>
      <c r="B377" s="20">
        <v>10597.82608695652</v>
      </c>
      <c r="C377" s="20">
        <f t="shared" si="4"/>
        <v>34578.804347826117</v>
      </c>
      <c r="D377" s="21" t="str">
        <f t="shared" si="0"/>
        <v>200803</v>
      </c>
      <c r="E377" s="22">
        <f t="shared" si="5"/>
        <v>1.8240940273972328</v>
      </c>
      <c r="F377" s="9">
        <f t="shared" si="6"/>
        <v>-3.7694136986301374E-3</v>
      </c>
      <c r="G377" s="14">
        <f t="shared" si="1"/>
        <v>100.37866595935945</v>
      </c>
      <c r="H377" s="24">
        <f t="shared" si="7"/>
        <v>3005.4095935945211</v>
      </c>
      <c r="I377" s="20">
        <f t="shared" si="2"/>
        <v>37584.213941420639</v>
      </c>
      <c r="J377" s="17">
        <f t="shared" si="8"/>
        <v>3.7584213941420641</v>
      </c>
    </row>
    <row r="378" spans="1:10" ht="12" customHeight="1" x14ac:dyDescent="0.3">
      <c r="A378" s="1">
        <f t="shared" si="3"/>
        <v>44047</v>
      </c>
      <c r="B378" s="20">
        <v>10665.760869565218</v>
      </c>
      <c r="C378" s="20">
        <f t="shared" si="4"/>
        <v>34646.739130434813</v>
      </c>
      <c r="D378" s="21" t="str">
        <f t="shared" si="0"/>
        <v>200804</v>
      </c>
      <c r="E378" s="22">
        <f t="shared" si="5"/>
        <v>1.8203246136986027</v>
      </c>
      <c r="F378" s="9">
        <f t="shared" si="6"/>
        <v>-1.2564712328767124E-3</v>
      </c>
      <c r="G378" s="14">
        <f t="shared" si="1"/>
        <v>100.37895329285952</v>
      </c>
      <c r="H378" s="24">
        <f t="shared" si="7"/>
        <v>3008.2829285952071</v>
      </c>
      <c r="I378" s="20">
        <f t="shared" si="2"/>
        <v>37655.022059030023</v>
      </c>
      <c r="J378" s="17">
        <f t="shared" si="8"/>
        <v>3.7655022059030019</v>
      </c>
    </row>
    <row r="379" spans="1:10" ht="12" customHeight="1" x14ac:dyDescent="0.3">
      <c r="A379" s="1">
        <f t="shared" si="3"/>
        <v>44048</v>
      </c>
      <c r="B379" s="20">
        <v>10733.695652173914</v>
      </c>
      <c r="C379" s="20">
        <f t="shared" si="4"/>
        <v>34714.673913043509</v>
      </c>
      <c r="D379" s="21" t="str">
        <f t="shared" si="0"/>
        <v>200805</v>
      </c>
      <c r="E379" s="22">
        <f t="shared" si="5"/>
        <v>1.819068142465726</v>
      </c>
      <c r="F379" s="9">
        <f t="shared" si="6"/>
        <v>-1.2564712328767124E-3</v>
      </c>
      <c r="G379" s="14">
        <f t="shared" si="1"/>
        <v>100.37781770968975</v>
      </c>
      <c r="H379" s="24">
        <f t="shared" si="7"/>
        <v>2996.9270968975079</v>
      </c>
      <c r="I379" s="20">
        <f t="shared" si="2"/>
        <v>37711.60100994102</v>
      </c>
      <c r="J379" s="17">
        <f t="shared" si="8"/>
        <v>3.7711601009941016</v>
      </c>
    </row>
    <row r="380" spans="1:10" ht="12" customHeight="1" x14ac:dyDescent="0.3">
      <c r="A380" s="1">
        <f t="shared" si="3"/>
        <v>44049</v>
      </c>
      <c r="B380" s="20">
        <v>10801.630434782608</v>
      </c>
      <c r="C380" s="20">
        <f t="shared" si="4"/>
        <v>34782.608695652205</v>
      </c>
      <c r="D380" s="21" t="str">
        <f t="shared" si="0"/>
        <v>200806</v>
      </c>
      <c r="E380" s="22">
        <f t="shared" si="5"/>
        <v>1.8178116712328494</v>
      </c>
      <c r="F380" s="9">
        <f t="shared" si="6"/>
        <v>-1.2564712328767124E-3</v>
      </c>
      <c r="G380" s="14">
        <f t="shared" si="1"/>
        <v>100.3766754435603</v>
      </c>
      <c r="H380" s="24">
        <f t="shared" si="7"/>
        <v>2985.5044356030189</v>
      </c>
      <c r="I380" s="20">
        <f t="shared" si="2"/>
        <v>37768.113131255224</v>
      </c>
      <c r="J380" s="17">
        <f t="shared" si="8"/>
        <v>3.7768113131255223</v>
      </c>
    </row>
    <row r="381" spans="1:10" ht="12" customHeight="1" x14ac:dyDescent="0.3">
      <c r="A381" s="1">
        <f t="shared" si="3"/>
        <v>44050</v>
      </c>
      <c r="B381" s="20">
        <v>10869.565217391304</v>
      </c>
      <c r="C381" s="20">
        <f t="shared" si="4"/>
        <v>34850.543478260901</v>
      </c>
      <c r="D381" s="21" t="str">
        <f t="shared" si="0"/>
        <v>200807</v>
      </c>
      <c r="E381" s="22">
        <f t="shared" si="5"/>
        <v>1.8165551999999727</v>
      </c>
      <c r="F381" s="9">
        <f t="shared" si="6"/>
        <v>-1.2564712328767124E-3</v>
      </c>
      <c r="G381" s="14">
        <f t="shared" si="1"/>
        <v>100.37552649322127</v>
      </c>
      <c r="H381" s="24">
        <f t="shared" si="7"/>
        <v>2974.0149322127254</v>
      </c>
      <c r="I381" s="20">
        <f t="shared" si="2"/>
        <v>37824.558410473626</v>
      </c>
      <c r="J381" s="17">
        <f t="shared" si="8"/>
        <v>3.782455841047363</v>
      </c>
    </row>
    <row r="382" spans="1:10" ht="12" customHeight="1" x14ac:dyDescent="0.3">
      <c r="A382" s="1">
        <f t="shared" si="3"/>
        <v>44053</v>
      </c>
      <c r="B382" s="20">
        <v>11073.369565217392</v>
      </c>
      <c r="C382" s="20">
        <f t="shared" si="4"/>
        <v>35054.347826086989</v>
      </c>
      <c r="D382" s="21" t="str">
        <f t="shared" si="0"/>
        <v>200810</v>
      </c>
      <c r="E382" s="22">
        <f t="shared" si="5"/>
        <v>1.8152987287670961</v>
      </c>
      <c r="F382" s="9">
        <f t="shared" si="6"/>
        <v>-3.7694136986301374E-3</v>
      </c>
      <c r="G382" s="14">
        <f t="shared" si="1"/>
        <v>100.37067181200027</v>
      </c>
      <c r="H382" s="24">
        <f t="shared" si="7"/>
        <v>2925.4681200026766</v>
      </c>
      <c r="I382" s="20">
        <f t="shared" si="2"/>
        <v>37979.815946089664</v>
      </c>
      <c r="J382" s="17">
        <f t="shared" si="8"/>
        <v>3.7979815946089666</v>
      </c>
    </row>
    <row r="383" spans="1:10" ht="12" customHeight="1" x14ac:dyDescent="0.3">
      <c r="A383" s="1">
        <f t="shared" si="3"/>
        <v>44054</v>
      </c>
      <c r="B383" s="20">
        <v>11141.304347826086</v>
      </c>
      <c r="C383" s="20">
        <f t="shared" si="4"/>
        <v>35122.282608695685</v>
      </c>
      <c r="D383" s="21" t="str">
        <f t="shared" si="0"/>
        <v>200811</v>
      </c>
      <c r="E383" s="22">
        <f t="shared" si="5"/>
        <v>1.8115293150684659</v>
      </c>
      <c r="F383" s="9">
        <f t="shared" si="6"/>
        <v>-1.2564712328767124E-3</v>
      </c>
      <c r="G383" s="14">
        <f t="shared" si="1"/>
        <v>100.37086382481749</v>
      </c>
      <c r="H383" s="24">
        <f t="shared" si="7"/>
        <v>2927.3882481749069</v>
      </c>
      <c r="I383" s="20">
        <f t="shared" si="2"/>
        <v>38049.670856870594</v>
      </c>
      <c r="J383" s="17">
        <f t="shared" si="8"/>
        <v>3.8049670856870597</v>
      </c>
    </row>
    <row r="384" spans="1:10" ht="12" customHeight="1" x14ac:dyDescent="0.3">
      <c r="A384" s="1">
        <f t="shared" si="3"/>
        <v>44055</v>
      </c>
      <c r="B384" s="20">
        <v>11209.239130434782</v>
      </c>
      <c r="C384" s="20">
        <f t="shared" si="4"/>
        <v>35190.217391304381</v>
      </c>
      <c r="D384" s="21" t="str">
        <f t="shared" si="0"/>
        <v>200812</v>
      </c>
      <c r="E384" s="22">
        <f t="shared" si="5"/>
        <v>1.8102728438355893</v>
      </c>
      <c r="F384" s="9">
        <f t="shared" si="6"/>
        <v>-1.2564712328767124E-3</v>
      </c>
      <c r="G384" s="14">
        <f t="shared" si="1"/>
        <v>100.36968143472809</v>
      </c>
      <c r="H384" s="24">
        <f t="shared" si="7"/>
        <v>2915.5643472809343</v>
      </c>
      <c r="I384" s="20">
        <f t="shared" si="2"/>
        <v>38105.781738585312</v>
      </c>
      <c r="J384" s="17">
        <f t="shared" si="8"/>
        <v>3.8105781738585307</v>
      </c>
    </row>
    <row r="385" spans="1:10" ht="12" customHeight="1" x14ac:dyDescent="0.3">
      <c r="A385" s="1">
        <f t="shared" si="3"/>
        <v>44056</v>
      </c>
      <c r="B385" s="20">
        <v>11277.17391304348</v>
      </c>
      <c r="C385" s="20">
        <f t="shared" si="4"/>
        <v>35258.152173913077</v>
      </c>
      <c r="D385" s="21" t="str">
        <f t="shared" si="0"/>
        <v>200813</v>
      </c>
      <c r="E385" s="22">
        <f t="shared" si="5"/>
        <v>1.8090163726027126</v>
      </c>
      <c r="F385" s="9">
        <f t="shared" si="6"/>
        <v>-1.2564712328767124E-3</v>
      </c>
      <c r="G385" s="14">
        <f t="shared" si="1"/>
        <v>100.3684923529572</v>
      </c>
      <c r="H385" s="24">
        <f t="shared" si="7"/>
        <v>2903.6735295720464</v>
      </c>
      <c r="I385" s="20">
        <f t="shared" si="2"/>
        <v>38161.825703485127</v>
      </c>
      <c r="J385" s="17">
        <f t="shared" si="8"/>
        <v>3.8161825703485128</v>
      </c>
    </row>
    <row r="386" spans="1:10" ht="12" customHeight="1" x14ac:dyDescent="0.3">
      <c r="A386" s="1">
        <f t="shared" si="3"/>
        <v>44057</v>
      </c>
      <c r="B386" s="20">
        <v>11345.108695652176</v>
      </c>
      <c r="C386" s="20">
        <f t="shared" si="4"/>
        <v>35326.086956521773</v>
      </c>
      <c r="D386" s="21" t="str">
        <f t="shared" si="0"/>
        <v>200814</v>
      </c>
      <c r="E386" s="22">
        <f t="shared" si="5"/>
        <v>1.807759901369836</v>
      </c>
      <c r="F386" s="9">
        <f t="shared" si="6"/>
        <v>-1.2564712328767124E-3</v>
      </c>
      <c r="G386" s="14">
        <f t="shared" si="1"/>
        <v>100.36729657826413</v>
      </c>
      <c r="H386" s="24">
        <f t="shared" si="7"/>
        <v>2891.7157826413131</v>
      </c>
      <c r="I386" s="20">
        <f t="shared" si="2"/>
        <v>38217.802739163089</v>
      </c>
      <c r="J386" s="17">
        <f t="shared" si="8"/>
        <v>3.8217802739163087</v>
      </c>
    </row>
    <row r="387" spans="1:10" ht="12" customHeight="1" x14ac:dyDescent="0.3">
      <c r="A387" s="1">
        <f t="shared" si="3"/>
        <v>44060</v>
      </c>
      <c r="B387" s="20">
        <v>11548.913043478262</v>
      </c>
      <c r="C387" s="20">
        <f t="shared" si="4"/>
        <v>35529.891304347861</v>
      </c>
      <c r="D387" s="21" t="str">
        <f t="shared" si="0"/>
        <v>200817</v>
      </c>
      <c r="E387" s="22">
        <f t="shared" si="5"/>
        <v>1.8065034301369594</v>
      </c>
      <c r="F387" s="9">
        <f t="shared" si="6"/>
        <v>-3.7694136986301374E-3</v>
      </c>
      <c r="G387" s="14">
        <f t="shared" si="1"/>
        <v>100.36234994209195</v>
      </c>
      <c r="H387" s="24">
        <f t="shared" si="7"/>
        <v>2842.2494209195297</v>
      </c>
      <c r="I387" s="20">
        <f t="shared" si="2"/>
        <v>38372.140725267389</v>
      </c>
      <c r="J387" s="17">
        <f t="shared" si="8"/>
        <v>3.8372140725267387</v>
      </c>
    </row>
    <row r="388" spans="1:10" ht="12" customHeight="1" x14ac:dyDescent="0.3">
      <c r="A388" s="1">
        <f t="shared" si="3"/>
        <v>44061</v>
      </c>
      <c r="B388" s="20">
        <v>11616.847826086958</v>
      </c>
      <c r="C388" s="20">
        <f t="shared" si="4"/>
        <v>35597.826086956557</v>
      </c>
      <c r="D388" s="21" t="str">
        <f t="shared" si="0"/>
        <v>200818</v>
      </c>
      <c r="E388" s="22">
        <f t="shared" si="5"/>
        <v>1.8027340164383292</v>
      </c>
      <c r="F388" s="9">
        <f t="shared" si="6"/>
        <v>-1.2564712328767124E-3</v>
      </c>
      <c r="G388" s="14">
        <f t="shared" si="1"/>
        <v>100.36244652550073</v>
      </c>
      <c r="H388" s="24">
        <f t="shared" si="7"/>
        <v>2843.2152550072947</v>
      </c>
      <c r="I388" s="20">
        <f t="shared" si="2"/>
        <v>38441.04134196385</v>
      </c>
      <c r="J388" s="17">
        <f t="shared" si="8"/>
        <v>3.8441041341963849</v>
      </c>
    </row>
    <row r="389" spans="1:10" ht="12" customHeight="1" x14ac:dyDescent="0.3">
      <c r="A389" s="1">
        <f t="shared" si="3"/>
        <v>44062</v>
      </c>
      <c r="B389" s="20">
        <v>11684.782608695652</v>
      </c>
      <c r="C389" s="20">
        <f t="shared" si="4"/>
        <v>35665.760869565253</v>
      </c>
      <c r="D389" s="21" t="str">
        <f t="shared" si="0"/>
        <v>200819</v>
      </c>
      <c r="E389" s="22">
        <f t="shared" si="5"/>
        <v>1.8014775452054526</v>
      </c>
      <c r="F389" s="9">
        <f t="shared" si="6"/>
        <v>-1.2564712328767124E-3</v>
      </c>
      <c r="G389" s="14">
        <f t="shared" si="1"/>
        <v>100.36121726763123</v>
      </c>
      <c r="H389" s="24">
        <f t="shared" si="7"/>
        <v>2830.9226763123261</v>
      </c>
      <c r="I389" s="20">
        <f t="shared" si="2"/>
        <v>38496.683545877575</v>
      </c>
      <c r="J389" s="17">
        <f t="shared" si="8"/>
        <v>3.8496683545877577</v>
      </c>
    </row>
    <row r="390" spans="1:10" ht="12" customHeight="1" x14ac:dyDescent="0.3">
      <c r="A390" s="1">
        <f t="shared" si="3"/>
        <v>44063</v>
      </c>
      <c r="B390" s="20">
        <v>11752.717391304348</v>
      </c>
      <c r="C390" s="20">
        <f t="shared" si="4"/>
        <v>35733.695652173948</v>
      </c>
      <c r="D390" s="21" t="str">
        <f t="shared" si="0"/>
        <v>200820</v>
      </c>
      <c r="E390" s="22">
        <f t="shared" si="5"/>
        <v>1.8002210739725759</v>
      </c>
      <c r="F390" s="9">
        <f t="shared" si="6"/>
        <v>-1.2564712328767124E-3</v>
      </c>
      <c r="G390" s="14">
        <f t="shared" si="1"/>
        <v>100.35998130942249</v>
      </c>
      <c r="H390" s="24">
        <f t="shared" si="7"/>
        <v>2818.5630942249422</v>
      </c>
      <c r="I390" s="20">
        <f t="shared" si="2"/>
        <v>38552.258746398889</v>
      </c>
      <c r="J390" s="17">
        <f t="shared" si="8"/>
        <v>3.8552258746398884</v>
      </c>
    </row>
    <row r="391" spans="1:10" ht="12" customHeight="1" x14ac:dyDescent="0.3">
      <c r="A391" s="1">
        <f t="shared" si="3"/>
        <v>44064</v>
      </c>
      <c r="B391" s="20">
        <v>11820.652173913042</v>
      </c>
      <c r="C391" s="20">
        <f t="shared" si="4"/>
        <v>35801.630434782644</v>
      </c>
      <c r="D391" s="21" t="str">
        <f t="shared" si="0"/>
        <v>200821</v>
      </c>
      <c r="E391" s="22">
        <f t="shared" si="5"/>
        <v>1.7989646027396993</v>
      </c>
      <c r="F391" s="9">
        <f t="shared" si="6"/>
        <v>-1.2564712328767124E-3</v>
      </c>
      <c r="G391" s="14">
        <f t="shared" si="1"/>
        <v>100.35873864964292</v>
      </c>
      <c r="H391" s="24">
        <f t="shared" si="7"/>
        <v>2806.1364964291611</v>
      </c>
      <c r="I391" s="20">
        <f t="shared" si="2"/>
        <v>38607.766931211809</v>
      </c>
      <c r="J391" s="17">
        <f t="shared" si="8"/>
        <v>3.8607766931211809</v>
      </c>
    </row>
    <row r="392" spans="1:10" ht="12" customHeight="1" x14ac:dyDescent="0.3">
      <c r="A392" s="1">
        <f t="shared" si="3"/>
        <v>44067</v>
      </c>
      <c r="B392" s="20">
        <v>12024.45652173913</v>
      </c>
      <c r="C392" s="20">
        <f t="shared" si="4"/>
        <v>36005.434782608732</v>
      </c>
      <c r="D392" s="21" t="str">
        <f t="shared" si="0"/>
        <v>200824</v>
      </c>
      <c r="E392" s="22">
        <f t="shared" si="5"/>
        <v>1.7977081315068226</v>
      </c>
      <c r="F392" s="9">
        <f t="shared" si="6"/>
        <v>-3.7694136986301374E-3</v>
      </c>
      <c r="G392" s="14">
        <f t="shared" si="1"/>
        <v>100.35369992404284</v>
      </c>
      <c r="H392" s="24">
        <f t="shared" si="7"/>
        <v>2755.7492404284289</v>
      </c>
      <c r="I392" s="20">
        <f t="shared" si="2"/>
        <v>38761.18402303716</v>
      </c>
      <c r="J392" s="17">
        <f t="shared" si="8"/>
        <v>3.8761184023037161</v>
      </c>
    </row>
    <row r="393" spans="1:10" ht="12" customHeight="1" x14ac:dyDescent="0.3">
      <c r="A393" s="1">
        <f t="shared" si="3"/>
        <v>44068</v>
      </c>
      <c r="B393" s="20">
        <v>12092.391304347824</v>
      </c>
      <c r="C393" s="20">
        <f t="shared" si="4"/>
        <v>36073.369565217428</v>
      </c>
      <c r="D393" s="21" t="str">
        <f t="shared" si="0"/>
        <v>200825</v>
      </c>
      <c r="E393" s="22">
        <f t="shared" si="5"/>
        <v>1.7939387178081925</v>
      </c>
      <c r="F393" s="9">
        <f t="shared" si="6"/>
        <v>-1.2564712328767124E-3</v>
      </c>
      <c r="G393" s="14">
        <f t="shared" si="1"/>
        <v>100.35370097023012</v>
      </c>
      <c r="H393" s="24">
        <f t="shared" si="7"/>
        <v>2755.759702301219</v>
      </c>
      <c r="I393" s="20">
        <f t="shared" si="2"/>
        <v>38829.129267518649</v>
      </c>
      <c r="J393" s="17">
        <f t="shared" si="8"/>
        <v>3.8829129267518652</v>
      </c>
    </row>
    <row r="394" spans="1:10" ht="12" customHeight="1" x14ac:dyDescent="0.3">
      <c r="A394" s="1">
        <f t="shared" si="3"/>
        <v>44069</v>
      </c>
      <c r="B394" s="20">
        <v>12160.32608695652</v>
      </c>
      <c r="C394" s="20">
        <f t="shared" si="4"/>
        <v>36141.304347826124</v>
      </c>
      <c r="D394" s="21" t="str">
        <f t="shared" si="0"/>
        <v>200826</v>
      </c>
      <c r="E394" s="22">
        <f t="shared" si="5"/>
        <v>1.7926822465753158</v>
      </c>
      <c r="F394" s="9">
        <f t="shared" si="6"/>
        <v>-1.2564712328767124E-3</v>
      </c>
      <c r="G394" s="14">
        <f t="shared" si="1"/>
        <v>100.35242478416825</v>
      </c>
      <c r="H394" s="24">
        <f t="shared" si="7"/>
        <v>2742.9978416824952</v>
      </c>
      <c r="I394" s="20">
        <f t="shared" si="2"/>
        <v>38884.30218950862</v>
      </c>
      <c r="J394" s="17">
        <f t="shared" si="8"/>
        <v>3.8884302189508619</v>
      </c>
    </row>
    <row r="395" spans="1:10" ht="12" customHeight="1" x14ac:dyDescent="0.3">
      <c r="A395" s="1">
        <f t="shared" si="3"/>
        <v>44070</v>
      </c>
      <c r="B395" s="20">
        <v>12228.260869565218</v>
      </c>
      <c r="C395" s="20">
        <f t="shared" si="4"/>
        <v>36209.23913043482</v>
      </c>
      <c r="D395" s="21" t="str">
        <f t="shared" si="0"/>
        <v>200827</v>
      </c>
      <c r="E395" s="22">
        <f t="shared" si="5"/>
        <v>1.7914257753424392</v>
      </c>
      <c r="F395" s="9">
        <f t="shared" si="6"/>
        <v>-1.2564712328767124E-3</v>
      </c>
      <c r="G395" s="14">
        <f t="shared" si="1"/>
        <v>100.35114188917343</v>
      </c>
      <c r="H395" s="24">
        <f t="shared" si="7"/>
        <v>2730.1688917343372</v>
      </c>
      <c r="I395" s="20">
        <f t="shared" si="2"/>
        <v>38939.408022169155</v>
      </c>
      <c r="J395" s="17">
        <f t="shared" si="8"/>
        <v>3.8939408022169157</v>
      </c>
    </row>
    <row r="396" spans="1:10" ht="12" customHeight="1" x14ac:dyDescent="0.3">
      <c r="A396" s="1">
        <f t="shared" si="3"/>
        <v>44071</v>
      </c>
      <c r="B396" s="20">
        <v>12296.195652173914</v>
      </c>
      <c r="C396" s="20">
        <f t="shared" si="4"/>
        <v>36277.173913043516</v>
      </c>
      <c r="D396" s="21" t="str">
        <f t="shared" si="0"/>
        <v>200828</v>
      </c>
      <c r="E396" s="22">
        <f t="shared" si="5"/>
        <v>1.7901693041095625</v>
      </c>
      <c r="F396" s="9">
        <f t="shared" si="6"/>
        <v>-1.2564712328767124E-3</v>
      </c>
      <c r="G396" s="14">
        <f t="shared" si="1"/>
        <v>100.34985228402329</v>
      </c>
      <c r="H396" s="24">
        <f t="shared" si="7"/>
        <v>2717.2728402328516</v>
      </c>
      <c r="I396" s="20">
        <f t="shared" si="2"/>
        <v>38994.446753276367</v>
      </c>
      <c r="J396" s="17">
        <f t="shared" si="8"/>
        <v>3.8994446753276368</v>
      </c>
    </row>
    <row r="397" spans="1:10" ht="12" customHeight="1" x14ac:dyDescent="0.3">
      <c r="A397" s="1">
        <f t="shared" si="3"/>
        <v>44074</v>
      </c>
      <c r="B397" s="20">
        <v>0</v>
      </c>
      <c r="C397" s="20">
        <f t="shared" si="4"/>
        <v>36480.978260869604</v>
      </c>
      <c r="D397" s="21" t="str">
        <f t="shared" si="0"/>
        <v>200831</v>
      </c>
      <c r="E397" s="22">
        <f t="shared" si="5"/>
        <v>1.7889128328766859</v>
      </c>
      <c r="F397" s="9">
        <f t="shared" si="6"/>
        <v>-3.7694136986301374E-3</v>
      </c>
      <c r="G397" s="14">
        <f t="shared" si="1"/>
        <v>100.35239159433513</v>
      </c>
      <c r="H397" s="24">
        <f t="shared" si="7"/>
        <v>2742.6659433513123</v>
      </c>
      <c r="I397" s="20">
        <f t="shared" si="2"/>
        <v>39223.644204220916</v>
      </c>
      <c r="J397" s="17">
        <f t="shared" si="8"/>
        <v>3.9223644204220918</v>
      </c>
    </row>
    <row r="398" spans="1:10" ht="12" customHeight="1" x14ac:dyDescent="0.3">
      <c r="A398" s="1">
        <f t="shared" si="3"/>
        <v>44075</v>
      </c>
      <c r="B398" s="20">
        <v>69.060773480662988</v>
      </c>
      <c r="C398" s="20">
        <f t="shared" si="4"/>
        <v>36550.039034350266</v>
      </c>
      <c r="D398" s="21" t="str">
        <f t="shared" si="0"/>
        <v>200901</v>
      </c>
      <c r="E398" s="22">
        <f t="shared" si="5"/>
        <v>1.7851434191780557</v>
      </c>
      <c r="F398" s="9">
        <f t="shared" si="6"/>
        <v>-1.2564712328767124E-3</v>
      </c>
      <c r="G398" s="14">
        <f t="shared" si="1"/>
        <v>100.35225428316389</v>
      </c>
      <c r="H398" s="24">
        <f t="shared" si="7"/>
        <v>2741.2928316388729</v>
      </c>
      <c r="I398" s="20">
        <f t="shared" si="2"/>
        <v>39291.331865989137</v>
      </c>
      <c r="J398" s="17">
        <f t="shared" si="8"/>
        <v>3.9291331865989139</v>
      </c>
    </row>
    <row r="399" spans="1:10" ht="12" customHeight="1" x14ac:dyDescent="0.3">
      <c r="A399" s="1">
        <f t="shared" si="3"/>
        <v>44076</v>
      </c>
      <c r="B399" s="20">
        <v>138.12154696132598</v>
      </c>
      <c r="C399" s="20">
        <f t="shared" si="4"/>
        <v>36619.099807830928</v>
      </c>
      <c r="D399" s="21" t="str">
        <f t="shared" si="0"/>
        <v>200902</v>
      </c>
      <c r="E399" s="22">
        <f t="shared" si="5"/>
        <v>1.7838869479451791</v>
      </c>
      <c r="F399" s="9">
        <f t="shared" si="6"/>
        <v>-1.2564712328767124E-3</v>
      </c>
      <c r="G399" s="14">
        <f t="shared" si="1"/>
        <v>100.35086090665166</v>
      </c>
      <c r="H399" s="24">
        <f t="shared" si="7"/>
        <v>2727.3590665166125</v>
      </c>
      <c r="I399" s="20">
        <f t="shared" si="2"/>
        <v>39346.45887434754</v>
      </c>
      <c r="J399" s="17">
        <f t="shared" si="8"/>
        <v>3.9346458874347539</v>
      </c>
    </row>
    <row r="400" spans="1:10" ht="12" customHeight="1" x14ac:dyDescent="0.3">
      <c r="A400" s="1">
        <f t="shared" si="3"/>
        <v>44077</v>
      </c>
      <c r="B400" s="20">
        <v>207.18232044198896</v>
      </c>
      <c r="C400" s="20">
        <f t="shared" si="4"/>
        <v>36688.160581311589</v>
      </c>
      <c r="D400" s="21" t="str">
        <f t="shared" si="0"/>
        <v>200903</v>
      </c>
      <c r="E400" s="22">
        <f t="shared" si="5"/>
        <v>1.7826304767123025</v>
      </c>
      <c r="F400" s="9">
        <f t="shared" si="6"/>
        <v>-1.2564712328767124E-3</v>
      </c>
      <c r="G400" s="14">
        <f t="shared" si="1"/>
        <v>100.34946119888387</v>
      </c>
      <c r="H400" s="24">
        <f t="shared" si="7"/>
        <v>2713.361988838727</v>
      </c>
      <c r="I400" s="20">
        <f t="shared" si="2"/>
        <v>39401.522570150315</v>
      </c>
      <c r="J400" s="17">
        <f t="shared" si="8"/>
        <v>3.9401522570150318</v>
      </c>
    </row>
    <row r="401" spans="1:10" ht="12" customHeight="1" x14ac:dyDescent="0.3">
      <c r="A401" s="1">
        <f t="shared" si="3"/>
        <v>44078</v>
      </c>
      <c r="B401" s="20">
        <v>276.24309392265195</v>
      </c>
      <c r="C401" s="20">
        <f t="shared" si="4"/>
        <v>36757.221354792251</v>
      </c>
      <c r="D401" s="21" t="str">
        <f t="shared" si="0"/>
        <v>200904</v>
      </c>
      <c r="E401" s="22">
        <f t="shared" si="5"/>
        <v>1.7813740054794258</v>
      </c>
      <c r="F401" s="9">
        <f t="shared" si="6"/>
        <v>-1.2564712328767124E-3</v>
      </c>
      <c r="G401" s="14">
        <f t="shared" si="1"/>
        <v>100.34805515766006</v>
      </c>
      <c r="H401" s="24">
        <f t="shared" si="7"/>
        <v>2699.3015766005615</v>
      </c>
      <c r="I401" s="20">
        <f t="shared" si="2"/>
        <v>39456.522931392814</v>
      </c>
      <c r="J401" s="17">
        <f t="shared" si="8"/>
        <v>3.9456522931392812</v>
      </c>
    </row>
    <row r="402" spans="1:10" ht="12" customHeight="1" x14ac:dyDescent="0.3">
      <c r="A402" s="1">
        <f t="shared" si="3"/>
        <v>44081</v>
      </c>
      <c r="B402" s="20">
        <v>483.42541436464091</v>
      </c>
      <c r="C402" s="20">
        <f t="shared" si="4"/>
        <v>36964.403675234244</v>
      </c>
      <c r="D402" s="21" t="str">
        <f t="shared" si="0"/>
        <v>200907</v>
      </c>
      <c r="E402" s="22">
        <f t="shared" si="5"/>
        <v>1.7801175342465492</v>
      </c>
      <c r="F402" s="9">
        <f t="shared" si="6"/>
        <v>-3.7694136986301374E-3</v>
      </c>
      <c r="G402" s="14">
        <f t="shared" si="1"/>
        <v>100.34259694704188</v>
      </c>
      <c r="H402" s="24">
        <f t="shared" si="7"/>
        <v>2644.719470418835</v>
      </c>
      <c r="I402" s="20">
        <f t="shared" si="2"/>
        <v>39609.12314565308</v>
      </c>
      <c r="J402" s="17">
        <f t="shared" si="8"/>
        <v>3.9609123145653085</v>
      </c>
    </row>
    <row r="403" spans="1:10" ht="12" customHeight="1" x14ac:dyDescent="0.3">
      <c r="A403" s="1">
        <f t="shared" si="3"/>
        <v>44082</v>
      </c>
      <c r="B403" s="20">
        <v>552.4861878453039</v>
      </c>
      <c r="C403" s="20">
        <f t="shared" si="4"/>
        <v>37033.464448714905</v>
      </c>
      <c r="D403" s="21" t="str">
        <f t="shared" si="0"/>
        <v>200908</v>
      </c>
      <c r="E403" s="22">
        <f t="shared" si="5"/>
        <v>1.776348120547919</v>
      </c>
      <c r="F403" s="9">
        <f t="shared" si="6"/>
        <v>-1.2564712328767124E-3</v>
      </c>
      <c r="G403" s="14">
        <f t="shared" si="1"/>
        <v>100.34236761426953</v>
      </c>
      <c r="H403" s="24">
        <f t="shared" si="7"/>
        <v>2642.4261426953426</v>
      </c>
      <c r="I403" s="20">
        <f t="shared" si="2"/>
        <v>39675.890591410251</v>
      </c>
      <c r="J403" s="17">
        <f t="shared" si="8"/>
        <v>3.9675890591410252</v>
      </c>
    </row>
    <row r="404" spans="1:10" ht="12" customHeight="1" x14ac:dyDescent="0.3">
      <c r="A404" s="1">
        <f t="shared" si="3"/>
        <v>44083</v>
      </c>
      <c r="B404" s="20">
        <v>621.54696132596678</v>
      </c>
      <c r="C404" s="20">
        <f t="shared" si="4"/>
        <v>37102.525222195567</v>
      </c>
      <c r="D404" s="21" t="str">
        <f t="shared" si="0"/>
        <v>200909</v>
      </c>
      <c r="E404" s="22">
        <f t="shared" si="5"/>
        <v>1.7750916493150424</v>
      </c>
      <c r="F404" s="9">
        <f t="shared" si="6"/>
        <v>-1.2564712328767124E-3</v>
      </c>
      <c r="G404" s="14">
        <f t="shared" si="1"/>
        <v>100.34092987283319</v>
      </c>
      <c r="H404" s="24">
        <f t="shared" si="7"/>
        <v>2628.0487283318625</v>
      </c>
      <c r="I404" s="20">
        <f t="shared" si="2"/>
        <v>39730.573950527432</v>
      </c>
      <c r="J404" s="17">
        <f t="shared" si="8"/>
        <v>3.9730573950527432</v>
      </c>
    </row>
    <row r="405" spans="1:10" ht="12" customHeight="1" x14ac:dyDescent="0.3">
      <c r="A405" s="1">
        <f t="shared" si="3"/>
        <v>44084</v>
      </c>
      <c r="B405" s="20">
        <v>690.60773480662976</v>
      </c>
      <c r="C405" s="20">
        <f t="shared" si="4"/>
        <v>37171.585995676229</v>
      </c>
      <c r="D405" s="21" t="str">
        <f t="shared" si="0"/>
        <v>200910</v>
      </c>
      <c r="E405" s="22">
        <f t="shared" si="5"/>
        <v>1.7738351780821657</v>
      </c>
      <c r="F405" s="9">
        <f t="shared" si="6"/>
        <v>-1.2564712328767124E-3</v>
      </c>
      <c r="G405" s="14">
        <f t="shared" si="1"/>
        <v>100.33948578478295</v>
      </c>
      <c r="H405" s="24">
        <f t="shared" si="7"/>
        <v>2613.607847829513</v>
      </c>
      <c r="I405" s="20">
        <f t="shared" si="2"/>
        <v>39785.193843505738</v>
      </c>
      <c r="J405" s="17">
        <f t="shared" si="8"/>
        <v>3.978519384350574</v>
      </c>
    </row>
    <row r="406" spans="1:10" ht="12" customHeight="1" x14ac:dyDescent="0.3">
      <c r="A406" s="1">
        <f t="shared" si="3"/>
        <v>44085</v>
      </c>
      <c r="B406" s="20">
        <v>759.66850828729275</v>
      </c>
      <c r="C406" s="20">
        <f t="shared" si="4"/>
        <v>37240.646769156891</v>
      </c>
      <c r="D406" s="21" t="str">
        <f t="shared" si="0"/>
        <v>200911</v>
      </c>
      <c r="E406" s="22">
        <f t="shared" si="5"/>
        <v>1.7725787068492891</v>
      </c>
      <c r="F406" s="9">
        <f t="shared" si="6"/>
        <v>-1.2564712328767124E-3</v>
      </c>
      <c r="G406" s="14">
        <f t="shared" si="1"/>
        <v>100.33803534793334</v>
      </c>
      <c r="H406" s="24">
        <f t="shared" si="7"/>
        <v>2599.103479333422</v>
      </c>
      <c r="I406" s="20">
        <f t="shared" si="2"/>
        <v>39839.750248490309</v>
      </c>
      <c r="J406" s="17">
        <f t="shared" si="8"/>
        <v>3.9839750248490313</v>
      </c>
    </row>
    <row r="407" spans="1:10" ht="12" customHeight="1" x14ac:dyDescent="0.3">
      <c r="A407" s="1">
        <f t="shared" si="3"/>
        <v>44088</v>
      </c>
      <c r="B407" s="20">
        <v>966.85082872928183</v>
      </c>
      <c r="C407" s="20">
        <f t="shared" si="4"/>
        <v>37447.829089598883</v>
      </c>
      <c r="D407" s="21" t="str">
        <f t="shared" si="0"/>
        <v>200914</v>
      </c>
      <c r="E407" s="22">
        <f t="shared" si="5"/>
        <v>1.7713222356164124</v>
      </c>
      <c r="F407" s="9">
        <f t="shared" si="6"/>
        <v>-3.7694136986301374E-3</v>
      </c>
      <c r="G407" s="14">
        <f t="shared" si="1"/>
        <v>100.33249161254082</v>
      </c>
      <c r="H407" s="24">
        <f t="shared" si="7"/>
        <v>2543.6661254082082</v>
      </c>
      <c r="I407" s="20">
        <f t="shared" si="2"/>
        <v>39991.495215007089</v>
      </c>
      <c r="J407" s="17">
        <f t="shared" si="8"/>
        <v>3.9991495215007089</v>
      </c>
    </row>
    <row r="408" spans="1:10" ht="12" customHeight="1" x14ac:dyDescent="0.3">
      <c r="A408" s="1">
        <f t="shared" si="3"/>
        <v>44089</v>
      </c>
      <c r="B408" s="20">
        <v>1035.9116022099447</v>
      </c>
      <c r="C408" s="20">
        <f t="shared" si="4"/>
        <v>37516.889863079545</v>
      </c>
      <c r="D408" s="21" t="str">
        <f t="shared" si="0"/>
        <v>200915</v>
      </c>
      <c r="E408" s="22">
        <f t="shared" si="5"/>
        <v>1.7675528219177823</v>
      </c>
      <c r="F408" s="9">
        <f t="shared" si="6"/>
        <v>-1.2564712328767124E-3</v>
      </c>
      <c r="G408" s="14">
        <f t="shared" si="1"/>
        <v>100.33217006890808</v>
      </c>
      <c r="H408" s="24">
        <f t="shared" si="7"/>
        <v>2540.450689080842</v>
      </c>
      <c r="I408" s="20">
        <f t="shared" si="2"/>
        <v>40057.340552160385</v>
      </c>
      <c r="J408" s="17">
        <f t="shared" si="8"/>
        <v>4.0057340552160383</v>
      </c>
    </row>
    <row r="409" spans="1:10" ht="12" customHeight="1" x14ac:dyDescent="0.3">
      <c r="A409" s="1">
        <f t="shared" si="3"/>
        <v>44090</v>
      </c>
      <c r="B409" s="20">
        <v>1104.9723756906078</v>
      </c>
      <c r="C409" s="20">
        <f t="shared" si="4"/>
        <v>37585.950636560206</v>
      </c>
      <c r="D409" s="21" t="str">
        <f t="shared" si="0"/>
        <v>200916</v>
      </c>
      <c r="E409" s="22">
        <f t="shared" si="5"/>
        <v>1.7662963506849056</v>
      </c>
      <c r="F409" s="9">
        <f t="shared" si="6"/>
        <v>-1.2564712328767124E-3</v>
      </c>
      <c r="G409" s="14">
        <f t="shared" si="1"/>
        <v>100.33068785535571</v>
      </c>
      <c r="H409" s="24">
        <f t="shared" si="7"/>
        <v>2525.6285535570555</v>
      </c>
      <c r="I409" s="20">
        <f t="shared" si="2"/>
        <v>40111.579190117263</v>
      </c>
      <c r="J409" s="17">
        <f t="shared" si="8"/>
        <v>4.0111579190117261</v>
      </c>
    </row>
    <row r="410" spans="1:10" ht="12" customHeight="1" x14ac:dyDescent="0.3">
      <c r="A410" s="1">
        <f t="shared" si="3"/>
        <v>44091</v>
      </c>
      <c r="B410" s="20">
        <v>1174.0331491712707</v>
      </c>
      <c r="C410" s="20">
        <f t="shared" si="4"/>
        <v>37655.011410040868</v>
      </c>
      <c r="D410" s="21" t="str">
        <f t="shared" si="0"/>
        <v>200917</v>
      </c>
      <c r="E410" s="22">
        <f t="shared" si="5"/>
        <v>1.765039879452029</v>
      </c>
      <c r="F410" s="9">
        <f t="shared" si="6"/>
        <v>-1.2564712328767124E-3</v>
      </c>
      <c r="G410" s="14">
        <f t="shared" si="1"/>
        <v>100.3291992799367</v>
      </c>
      <c r="H410" s="24">
        <f t="shared" si="7"/>
        <v>2510.7427993670226</v>
      </c>
      <c r="I410" s="20">
        <f t="shared" si="2"/>
        <v>40165.754209407889</v>
      </c>
      <c r="J410" s="17">
        <f t="shared" si="8"/>
        <v>4.0165754209407893</v>
      </c>
    </row>
    <row r="411" spans="1:10" ht="12" customHeight="1" x14ac:dyDescent="0.3">
      <c r="A411" s="1">
        <f t="shared" si="3"/>
        <v>44092</v>
      </c>
      <c r="B411" s="20">
        <v>1243.0939226519336</v>
      </c>
      <c r="C411" s="20">
        <f t="shared" si="4"/>
        <v>37724.07218352153</v>
      </c>
      <c r="D411" s="21" t="str">
        <f t="shared" si="0"/>
        <v>200918</v>
      </c>
      <c r="E411" s="22">
        <f t="shared" si="5"/>
        <v>1.7637834082191524</v>
      </c>
      <c r="F411" s="9">
        <f t="shared" si="6"/>
        <v>-1.2564712328767124E-3</v>
      </c>
      <c r="G411" s="14">
        <f t="shared" si="1"/>
        <v>100.32770434048082</v>
      </c>
      <c r="H411" s="24">
        <f t="shared" si="7"/>
        <v>2495.7934048082111</v>
      </c>
      <c r="I411" s="20">
        <f t="shared" si="2"/>
        <v>40219.86558832974</v>
      </c>
      <c r="J411" s="17">
        <f t="shared" si="8"/>
        <v>4.0219865588329737</v>
      </c>
    </row>
    <row r="412" spans="1:10" ht="12" customHeight="1" x14ac:dyDescent="0.3">
      <c r="A412" s="1">
        <f t="shared" si="3"/>
        <v>44095</v>
      </c>
      <c r="B412" s="20">
        <v>1450.2762430939226</v>
      </c>
      <c r="C412" s="20">
        <f t="shared" si="4"/>
        <v>37931.254503963522</v>
      </c>
      <c r="D412" s="21" t="str">
        <f t="shared" si="0"/>
        <v>200921</v>
      </c>
      <c r="E412" s="22">
        <f t="shared" si="5"/>
        <v>1.7625269369862757</v>
      </c>
      <c r="F412" s="9">
        <f t="shared" si="6"/>
        <v>-3.7694136986301374E-3</v>
      </c>
      <c r="G412" s="14">
        <f t="shared" si="1"/>
        <v>100.3220748411343</v>
      </c>
      <c r="H412" s="24">
        <f t="shared" si="7"/>
        <v>2439.4984113429532</v>
      </c>
      <c r="I412" s="20">
        <f t="shared" si="2"/>
        <v>40370.752915306475</v>
      </c>
      <c r="J412" s="17">
        <f t="shared" si="8"/>
        <v>4.0370752915306474</v>
      </c>
    </row>
    <row r="413" spans="1:10" ht="12" customHeight="1" x14ac:dyDescent="0.3">
      <c r="A413" s="1">
        <f t="shared" si="3"/>
        <v>44096</v>
      </c>
      <c r="B413" s="20">
        <v>1519.3370165745855</v>
      </c>
      <c r="C413" s="20">
        <f t="shared" si="4"/>
        <v>38000.315277444184</v>
      </c>
      <c r="D413" s="21" t="str">
        <f t="shared" si="0"/>
        <v>200922</v>
      </c>
      <c r="E413" s="22">
        <f t="shared" si="5"/>
        <v>1.7587575232876456</v>
      </c>
      <c r="F413" s="9">
        <f t="shared" si="6"/>
        <v>-1.2564712328767124E-3</v>
      </c>
      <c r="G413" s="14">
        <f t="shared" si="1"/>
        <v>100.32166089895865</v>
      </c>
      <c r="H413" s="24">
        <f t="shared" si="7"/>
        <v>2435.3589895865471</v>
      </c>
      <c r="I413" s="20">
        <f t="shared" si="2"/>
        <v>40435.674267030729</v>
      </c>
      <c r="J413" s="17">
        <f t="shared" si="8"/>
        <v>4.0435674267030732</v>
      </c>
    </row>
    <row r="414" spans="1:10" ht="12" customHeight="1" x14ac:dyDescent="0.3">
      <c r="A414" s="1">
        <f t="shared" si="3"/>
        <v>44097</v>
      </c>
      <c r="B414" s="20">
        <v>1588.3977900552488</v>
      </c>
      <c r="C414" s="20">
        <f t="shared" si="4"/>
        <v>38069.376050924846</v>
      </c>
      <c r="D414" s="21" t="str">
        <f t="shared" si="0"/>
        <v>200923</v>
      </c>
      <c r="E414" s="22">
        <f t="shared" si="5"/>
        <v>1.7575010520547689</v>
      </c>
      <c r="F414" s="9">
        <f t="shared" si="6"/>
        <v>-1.2564712328767124E-3</v>
      </c>
      <c r="G414" s="14">
        <f t="shared" si="1"/>
        <v>100.32013410684009</v>
      </c>
      <c r="H414" s="24">
        <f t="shared" si="7"/>
        <v>2420.0910684008645</v>
      </c>
      <c r="I414" s="20">
        <f t="shared" si="2"/>
        <v>40489.467119325709</v>
      </c>
      <c r="J414" s="17">
        <f t="shared" si="8"/>
        <v>4.0489467119325706</v>
      </c>
    </row>
    <row r="415" spans="1:10" ht="12" customHeight="1" x14ac:dyDescent="0.3">
      <c r="A415" s="1">
        <f t="shared" si="3"/>
        <v>44098</v>
      </c>
      <c r="B415" s="20">
        <v>1657.4585635359117</v>
      </c>
      <c r="C415" s="20">
        <f t="shared" si="4"/>
        <v>38138.436824405508</v>
      </c>
      <c r="D415" s="21" t="str">
        <f t="shared" si="0"/>
        <v>200924</v>
      </c>
      <c r="E415" s="22">
        <f t="shared" si="5"/>
        <v>1.7562445808218923</v>
      </c>
      <c r="F415" s="9">
        <f t="shared" si="6"/>
        <v>-1.2564712328767124E-3</v>
      </c>
      <c r="G415" s="14">
        <f t="shared" si="1"/>
        <v>100.31860093770862</v>
      </c>
      <c r="H415" s="24">
        <f t="shared" si="7"/>
        <v>2404.7593770862363</v>
      </c>
      <c r="I415" s="20">
        <f t="shared" si="2"/>
        <v>40543.196201491744</v>
      </c>
      <c r="J415" s="17">
        <f t="shared" si="8"/>
        <v>4.0543196201491742</v>
      </c>
    </row>
    <row r="416" spans="1:10" ht="12" customHeight="1" x14ac:dyDescent="0.3">
      <c r="A416" s="1">
        <f t="shared" si="3"/>
        <v>44099</v>
      </c>
      <c r="B416" s="20">
        <v>1726.5193370165746</v>
      </c>
      <c r="C416" s="20">
        <f t="shared" si="4"/>
        <v>38207.497597886169</v>
      </c>
      <c r="D416" s="21" t="str">
        <f t="shared" si="0"/>
        <v>200925</v>
      </c>
      <c r="E416" s="22">
        <f t="shared" si="5"/>
        <v>1.7549881095890156</v>
      </c>
      <c r="F416" s="9">
        <f t="shared" si="6"/>
        <v>-1.2564712328767124E-3</v>
      </c>
      <c r="G416" s="14">
        <f t="shared" si="1"/>
        <v>100.31706138940923</v>
      </c>
      <c r="H416" s="24">
        <f t="shared" si="7"/>
        <v>2389.363894092327</v>
      </c>
      <c r="I416" s="20">
        <f t="shared" si="2"/>
        <v>40596.861491978496</v>
      </c>
      <c r="J416" s="17">
        <f t="shared" si="8"/>
        <v>4.0596861491978498</v>
      </c>
    </row>
    <row r="417" spans="1:10" ht="12" customHeight="1" x14ac:dyDescent="0.3">
      <c r="A417" s="1">
        <f t="shared" si="3"/>
        <v>44102</v>
      </c>
      <c r="B417" s="20">
        <v>1933.7016574585637</v>
      </c>
      <c r="C417" s="20">
        <f t="shared" si="4"/>
        <v>38414.679918328162</v>
      </c>
      <c r="D417" s="21" t="str">
        <f t="shared" si="0"/>
        <v>200928</v>
      </c>
      <c r="E417" s="22">
        <f t="shared" si="5"/>
        <v>1.753731638356139</v>
      </c>
      <c r="F417" s="9">
        <f t="shared" si="6"/>
        <v>-3.7694136986301374E-3</v>
      </c>
      <c r="G417" s="14">
        <f t="shared" si="1"/>
        <v>100.31134588832295</v>
      </c>
      <c r="H417" s="24">
        <f t="shared" si="7"/>
        <v>2332.2088832294698</v>
      </c>
      <c r="I417" s="20">
        <f t="shared" si="2"/>
        <v>40746.88880155763</v>
      </c>
      <c r="J417" s="17">
        <f t="shared" si="8"/>
        <v>4.0746888801557626</v>
      </c>
    </row>
    <row r="418" spans="1:10" ht="12" customHeight="1" x14ac:dyDescent="0.3">
      <c r="A418" s="1">
        <f t="shared" si="3"/>
        <v>44103</v>
      </c>
      <c r="B418" s="20">
        <v>2002.7624309392268</v>
      </c>
      <c r="C418" s="20">
        <f t="shared" si="4"/>
        <v>38483.740691808824</v>
      </c>
      <c r="D418" s="21" t="str">
        <f t="shared" si="0"/>
        <v>200929</v>
      </c>
      <c r="E418" s="22">
        <f t="shared" si="5"/>
        <v>1.7499622246575088</v>
      </c>
      <c r="F418" s="9">
        <f t="shared" si="6"/>
        <v>-1.2564712328767124E-3</v>
      </c>
      <c r="G418" s="14">
        <f t="shared" si="1"/>
        <v>100.31083936150814</v>
      </c>
      <c r="H418" s="24">
        <f t="shared" si="7"/>
        <v>2327.1436150814393</v>
      </c>
      <c r="I418" s="20">
        <f t="shared" si="2"/>
        <v>40810.884306890264</v>
      </c>
      <c r="J418" s="17">
        <f t="shared" si="8"/>
        <v>4.081088430689026</v>
      </c>
    </row>
    <row r="419" spans="1:10" ht="12" customHeight="1" x14ac:dyDescent="0.3">
      <c r="A419" s="1">
        <f t="shared" si="3"/>
        <v>44104</v>
      </c>
      <c r="B419" s="20">
        <v>2071.8232044198894</v>
      </c>
      <c r="C419" s="20">
        <f t="shared" si="4"/>
        <v>38552.801465289485</v>
      </c>
      <c r="D419" s="21" t="str">
        <f t="shared" si="0"/>
        <v>200930</v>
      </c>
      <c r="E419" s="22">
        <f t="shared" si="5"/>
        <v>1.7487057534246322</v>
      </c>
      <c r="F419" s="9">
        <f t="shared" si="6"/>
        <v>-1.2564712328767124E-3</v>
      </c>
      <c r="G419" s="14">
        <f t="shared" si="1"/>
        <v>100.30926788512019</v>
      </c>
      <c r="H419" s="24">
        <f t="shared" si="7"/>
        <v>2311.4288512019243</v>
      </c>
      <c r="I419" s="20">
        <f t="shared" si="2"/>
        <v>40864.230316491412</v>
      </c>
      <c r="J419" s="17">
        <f t="shared" si="8"/>
        <v>4.086423031649141</v>
      </c>
    </row>
    <row r="420" spans="1:10" ht="12" customHeight="1" x14ac:dyDescent="0.3">
      <c r="A420" s="1">
        <f t="shared" si="3"/>
        <v>44105</v>
      </c>
      <c r="B420" s="20">
        <v>2140.8839779005525</v>
      </c>
      <c r="C420" s="20">
        <f t="shared" si="4"/>
        <v>38621.862238770147</v>
      </c>
      <c r="D420" s="21" t="str">
        <f t="shared" si="0"/>
        <v>201001</v>
      </c>
      <c r="E420" s="22">
        <f t="shared" si="5"/>
        <v>1.7474492821917555</v>
      </c>
      <c r="F420" s="9">
        <f t="shared" si="6"/>
        <v>-1.2564712328767124E-3</v>
      </c>
      <c r="G420" s="14">
        <f t="shared" si="1"/>
        <v>100.30769001668013</v>
      </c>
      <c r="H420" s="24">
        <f t="shared" si="7"/>
        <v>2295.6501668012661</v>
      </c>
      <c r="I420" s="20">
        <f t="shared" si="2"/>
        <v>40917.512405571411</v>
      </c>
      <c r="J420" s="17">
        <f t="shared" si="8"/>
        <v>4.0917512405571417</v>
      </c>
    </row>
    <row r="421" spans="1:10" ht="12" customHeight="1" x14ac:dyDescent="0.3">
      <c r="A421" s="1">
        <f t="shared" si="3"/>
        <v>44106</v>
      </c>
      <c r="B421" s="20">
        <v>2209.9447513812156</v>
      </c>
      <c r="C421" s="20">
        <f t="shared" si="4"/>
        <v>38690.923012250809</v>
      </c>
      <c r="D421" s="21" t="str">
        <f t="shared" si="0"/>
        <v>201002</v>
      </c>
      <c r="E421" s="22">
        <f t="shared" si="5"/>
        <v>1.7461928109588789</v>
      </c>
      <c r="F421" s="9">
        <f t="shared" si="6"/>
        <v>-1.2564712328767124E-3</v>
      </c>
      <c r="G421" s="14">
        <f t="shared" si="1"/>
        <v>100.30610575404828</v>
      </c>
      <c r="H421" s="24">
        <f t="shared" si="7"/>
        <v>2279.80754048275</v>
      </c>
      <c r="I421" s="20">
        <f t="shared" si="2"/>
        <v>40970.730552733556</v>
      </c>
      <c r="J421" s="17">
        <f t="shared" si="8"/>
        <v>4.0970730552733556</v>
      </c>
    </row>
    <row r="422" spans="1:10" ht="12" customHeight="1" x14ac:dyDescent="0.3">
      <c r="A422" s="1">
        <f t="shared" si="3"/>
        <v>44109</v>
      </c>
      <c r="B422" s="20">
        <v>2417.1270718232049</v>
      </c>
      <c r="C422" s="20">
        <f t="shared" si="4"/>
        <v>38898.105332692801</v>
      </c>
      <c r="D422" s="21" t="str">
        <f t="shared" si="0"/>
        <v>201005</v>
      </c>
      <c r="E422" s="22">
        <f t="shared" si="5"/>
        <v>1.7449363397260023</v>
      </c>
      <c r="F422" s="9">
        <f t="shared" si="6"/>
        <v>-3.7694136986301374E-3</v>
      </c>
      <c r="G422" s="14">
        <f t="shared" si="1"/>
        <v>100.30030401484123</v>
      </c>
      <c r="H422" s="24">
        <f t="shared" si="7"/>
        <v>2221.7901484123104</v>
      </c>
      <c r="I422" s="20">
        <f t="shared" si="2"/>
        <v>41119.895481105108</v>
      </c>
      <c r="J422" s="17">
        <f t="shared" si="8"/>
        <v>4.1119895481105111</v>
      </c>
    </row>
    <row r="423" spans="1:10" ht="12" customHeight="1" x14ac:dyDescent="0.3">
      <c r="A423" s="1">
        <f t="shared" si="3"/>
        <v>44110</v>
      </c>
      <c r="B423" s="20">
        <v>2486.1878453038671</v>
      </c>
      <c r="C423" s="20">
        <f t="shared" si="4"/>
        <v>38967.166106173463</v>
      </c>
      <c r="D423" s="21" t="str">
        <f t="shared" si="0"/>
        <v>201006</v>
      </c>
      <c r="E423" s="22">
        <f t="shared" si="5"/>
        <v>1.7411669260273721</v>
      </c>
      <c r="F423" s="9">
        <f t="shared" si="6"/>
        <v>-1.2564712328767124E-3</v>
      </c>
      <c r="G423" s="14">
        <f t="shared" si="1"/>
        <v>100.29970471888662</v>
      </c>
      <c r="H423" s="24">
        <f t="shared" si="7"/>
        <v>2215.7971888661618</v>
      </c>
      <c r="I423" s="20">
        <f t="shared" si="2"/>
        <v>41182.963295039626</v>
      </c>
      <c r="J423" s="17">
        <f t="shared" si="8"/>
        <v>4.1182963295039627</v>
      </c>
    </row>
    <row r="424" spans="1:10" ht="12" customHeight="1" x14ac:dyDescent="0.3">
      <c r="A424" s="1">
        <f t="shared" si="3"/>
        <v>44111</v>
      </c>
      <c r="B424" s="20">
        <v>2555.2486187845302</v>
      </c>
      <c r="C424" s="20">
        <f t="shared" si="4"/>
        <v>39036.226879654125</v>
      </c>
      <c r="D424" s="21" t="str">
        <f t="shared" si="0"/>
        <v>201007</v>
      </c>
      <c r="E424" s="22">
        <f t="shared" si="5"/>
        <v>1.7399104547944955</v>
      </c>
      <c r="F424" s="9">
        <f t="shared" si="6"/>
        <v>-1.2564712328767124E-3</v>
      </c>
      <c r="G424" s="14">
        <f t="shared" si="1"/>
        <v>100.29808845327788</v>
      </c>
      <c r="H424" s="24">
        <f t="shared" si="7"/>
        <v>2199.6345327788445</v>
      </c>
      <c r="I424" s="20">
        <f t="shared" si="2"/>
        <v>41235.861412432969</v>
      </c>
      <c r="J424" s="17">
        <f t="shared" si="8"/>
        <v>4.1235861412432966</v>
      </c>
    </row>
    <row r="425" spans="1:10" ht="12" customHeight="1" x14ac:dyDescent="0.3">
      <c r="A425" s="1">
        <f t="shared" si="3"/>
        <v>44112</v>
      </c>
      <c r="B425" s="20">
        <v>2624.3093922651933</v>
      </c>
      <c r="C425" s="20">
        <f t="shared" si="4"/>
        <v>39105.287653134787</v>
      </c>
      <c r="D425" s="21" t="str">
        <f t="shared" si="0"/>
        <v>201008</v>
      </c>
      <c r="E425" s="22">
        <f t="shared" si="5"/>
        <v>1.7386539835616188</v>
      </c>
      <c r="F425" s="9">
        <f t="shared" si="6"/>
        <v>-1.2564712328767124E-3</v>
      </c>
      <c r="G425" s="14">
        <f t="shared" si="1"/>
        <v>100.29646578068565</v>
      </c>
      <c r="H425" s="24">
        <f t="shared" si="7"/>
        <v>2183.4078068565077</v>
      </c>
      <c r="I425" s="20">
        <f t="shared" si="2"/>
        <v>41288.695459991293</v>
      </c>
      <c r="J425" s="17">
        <f t="shared" si="8"/>
        <v>4.1288695459991294</v>
      </c>
    </row>
    <row r="426" spans="1:10" ht="12" customHeight="1" x14ac:dyDescent="0.3">
      <c r="A426" s="1">
        <f t="shared" si="3"/>
        <v>44113</v>
      </c>
      <c r="B426" s="20">
        <v>2693.3701657458564</v>
      </c>
      <c r="C426" s="20">
        <f t="shared" si="4"/>
        <v>39174.348426615448</v>
      </c>
      <c r="D426" s="21" t="str">
        <f t="shared" si="0"/>
        <v>201009</v>
      </c>
      <c r="E426" s="22">
        <f t="shared" si="5"/>
        <v>1.7373975123287422</v>
      </c>
      <c r="F426" s="9">
        <f t="shared" si="6"/>
        <v>-1.2564712328767124E-3</v>
      </c>
      <c r="G426" s="14">
        <f t="shared" si="1"/>
        <v>100.29483669898569</v>
      </c>
      <c r="H426" s="24">
        <f t="shared" si="7"/>
        <v>2167.1169898569074</v>
      </c>
      <c r="I426" s="20">
        <f t="shared" si="2"/>
        <v>41341.465416472354</v>
      </c>
      <c r="J426" s="17">
        <f t="shared" si="8"/>
        <v>4.1341465416472358</v>
      </c>
    </row>
    <row r="427" spans="1:10" ht="12" customHeight="1" x14ac:dyDescent="0.3">
      <c r="A427" s="1">
        <f t="shared" si="3"/>
        <v>44116</v>
      </c>
      <c r="B427" s="20">
        <v>2900.5524861878453</v>
      </c>
      <c r="C427" s="20">
        <f t="shared" si="4"/>
        <v>39381.530747057433</v>
      </c>
      <c r="D427" s="21" t="str">
        <f t="shared" si="0"/>
        <v>201012</v>
      </c>
      <c r="E427" s="22">
        <f t="shared" si="5"/>
        <v>1.7361410410958655</v>
      </c>
      <c r="F427" s="9">
        <f t="shared" si="6"/>
        <v>-3.7694136986301374E-3</v>
      </c>
      <c r="G427" s="14">
        <f t="shared" si="1"/>
        <v>100.28894848669208</v>
      </c>
      <c r="H427" s="24">
        <f t="shared" si="7"/>
        <v>2108.2348669207818</v>
      </c>
      <c r="I427" s="20">
        <f t="shared" si="2"/>
        <v>41489.765613978212</v>
      </c>
      <c r="J427" s="17">
        <f t="shared" si="8"/>
        <v>4.1489765613978218</v>
      </c>
    </row>
    <row r="428" spans="1:10" ht="12" customHeight="1" x14ac:dyDescent="0.3">
      <c r="A428" s="1">
        <f t="shared" si="3"/>
        <v>44117</v>
      </c>
      <c r="B428" s="20">
        <v>2969.6132596685079</v>
      </c>
      <c r="C428" s="20">
        <f t="shared" si="4"/>
        <v>39450.591520538095</v>
      </c>
      <c r="D428" s="21" t="str">
        <f t="shared" si="0"/>
        <v>201013</v>
      </c>
      <c r="E428" s="22">
        <f t="shared" si="5"/>
        <v>1.7323716273972354</v>
      </c>
      <c r="F428" s="9">
        <f t="shared" si="6"/>
        <v>-1.2564712328767124E-3</v>
      </c>
      <c r="G428" s="14">
        <f t="shared" si="1"/>
        <v>100.28825623870208</v>
      </c>
      <c r="H428" s="24">
        <f t="shared" si="7"/>
        <v>2101.3123870207551</v>
      </c>
      <c r="I428" s="20">
        <f t="shared" si="2"/>
        <v>41551.903907558852</v>
      </c>
      <c r="J428" s="17">
        <f t="shared" si="8"/>
        <v>4.1551903907558847</v>
      </c>
    </row>
    <row r="429" spans="1:10" ht="12" customHeight="1" x14ac:dyDescent="0.3">
      <c r="A429" s="1">
        <f t="shared" si="3"/>
        <v>44118</v>
      </c>
      <c r="B429" s="20">
        <v>3038.674033149171</v>
      </c>
      <c r="C429" s="20">
        <f t="shared" si="4"/>
        <v>39519.652294018757</v>
      </c>
      <c r="D429" s="21" t="str">
        <f t="shared" si="0"/>
        <v>201014</v>
      </c>
      <c r="E429" s="22">
        <f t="shared" si="5"/>
        <v>1.7311151561643587</v>
      </c>
      <c r="F429" s="9">
        <f t="shared" si="6"/>
        <v>-1.2564712328767124E-3</v>
      </c>
      <c r="G429" s="14">
        <f t="shared" si="1"/>
        <v>100.28659507967801</v>
      </c>
      <c r="H429" s="24">
        <f t="shared" si="7"/>
        <v>2084.7007967800832</v>
      </c>
      <c r="I429" s="20">
        <f t="shared" si="2"/>
        <v>41604.353090798839</v>
      </c>
      <c r="J429" s="17">
        <f t="shared" si="8"/>
        <v>4.160435309079884</v>
      </c>
    </row>
    <row r="430" spans="1:10" ht="12" customHeight="1" x14ac:dyDescent="0.3">
      <c r="A430" s="1">
        <f t="shared" si="3"/>
        <v>44119</v>
      </c>
      <c r="B430" s="20">
        <v>3107.7348066298346</v>
      </c>
      <c r="C430" s="20">
        <f t="shared" si="4"/>
        <v>39588.713067499419</v>
      </c>
      <c r="D430" s="21" t="str">
        <f t="shared" si="0"/>
        <v>201015</v>
      </c>
      <c r="E430" s="22">
        <f t="shared" si="5"/>
        <v>1.7298586849314821</v>
      </c>
      <c r="F430" s="9">
        <f t="shared" si="6"/>
        <v>-1.2564712328767124E-3</v>
      </c>
      <c r="G430" s="14">
        <f t="shared" si="1"/>
        <v>100.28492749884758</v>
      </c>
      <c r="H430" s="24">
        <f t="shared" si="7"/>
        <v>2068.0249884757986</v>
      </c>
      <c r="I430" s="20">
        <f t="shared" si="2"/>
        <v>41656.73805597522</v>
      </c>
      <c r="J430" s="17">
        <f t="shared" si="8"/>
        <v>4.165673805597522</v>
      </c>
    </row>
    <row r="431" spans="1:10" ht="12" customHeight="1" x14ac:dyDescent="0.3">
      <c r="A431" s="1">
        <f t="shared" si="3"/>
        <v>44120</v>
      </c>
      <c r="B431" s="20">
        <v>3176.7955801104977</v>
      </c>
      <c r="C431" s="20">
        <f t="shared" si="4"/>
        <v>39657.77384098008</v>
      </c>
      <c r="D431" s="21" t="str">
        <f t="shared" si="0"/>
        <v>201016</v>
      </c>
      <c r="E431" s="22">
        <f t="shared" si="5"/>
        <v>1.7286022136986054</v>
      </c>
      <c r="F431" s="9">
        <f t="shared" si="6"/>
        <v>-1.2564712328767124E-3</v>
      </c>
      <c r="G431" s="14">
        <f t="shared" si="1"/>
        <v>100.28325349410213</v>
      </c>
      <c r="H431" s="24">
        <f t="shared" si="7"/>
        <v>2051.2849410212652</v>
      </c>
      <c r="I431" s="20">
        <f t="shared" si="2"/>
        <v>41709.058782001346</v>
      </c>
      <c r="J431" s="17">
        <f t="shared" si="8"/>
        <v>4.1709058782001343</v>
      </c>
    </row>
    <row r="432" spans="1:10" ht="12" customHeight="1" x14ac:dyDescent="0.3">
      <c r="A432" s="1">
        <f t="shared" si="3"/>
        <v>44123</v>
      </c>
      <c r="B432" s="20">
        <v>3383.9779005524861</v>
      </c>
      <c r="C432" s="20">
        <f t="shared" si="4"/>
        <v>39864.956161422066</v>
      </c>
      <c r="D432" s="21" t="str">
        <f t="shared" si="0"/>
        <v>201019</v>
      </c>
      <c r="E432" s="22">
        <f t="shared" si="5"/>
        <v>1.7273457424657288</v>
      </c>
      <c r="F432" s="9">
        <f t="shared" si="6"/>
        <v>-3.7694136986301374E-3</v>
      </c>
      <c r="G432" s="14">
        <f t="shared" si="1"/>
        <v>100.27727857518195</v>
      </c>
      <c r="H432" s="24">
        <f t="shared" si="7"/>
        <v>1991.5357518195265</v>
      </c>
      <c r="I432" s="20">
        <f t="shared" si="2"/>
        <v>41856.491913241589</v>
      </c>
      <c r="J432" s="17">
        <f t="shared" si="8"/>
        <v>4.1856491913241589</v>
      </c>
    </row>
    <row r="433" spans="1:10" ht="12" customHeight="1" x14ac:dyDescent="0.3">
      <c r="A433" s="1">
        <f t="shared" si="3"/>
        <v>44124</v>
      </c>
      <c r="B433" s="20">
        <v>3453.0386740331492</v>
      </c>
      <c r="C433" s="20">
        <f t="shared" si="4"/>
        <v>39934.016934902727</v>
      </c>
      <c r="D433" s="21" t="str">
        <f t="shared" si="0"/>
        <v>201020</v>
      </c>
      <c r="E433" s="22">
        <f t="shared" si="5"/>
        <v>1.7235763287670987</v>
      </c>
      <c r="F433" s="9">
        <f t="shared" si="6"/>
        <v>-1.2564712328767124E-3</v>
      </c>
      <c r="G433" s="14">
        <f t="shared" si="1"/>
        <v>100.27649319387521</v>
      </c>
      <c r="H433" s="24">
        <f t="shared" si="7"/>
        <v>1983.6819387521132</v>
      </c>
      <c r="I433" s="20">
        <f t="shared" si="2"/>
        <v>41917.698873654837</v>
      </c>
      <c r="J433" s="17">
        <f t="shared" si="8"/>
        <v>4.1917698873654841</v>
      </c>
    </row>
    <row r="434" spans="1:10" ht="12" customHeight="1" x14ac:dyDescent="0.3">
      <c r="A434" s="1">
        <f t="shared" si="3"/>
        <v>44125</v>
      </c>
      <c r="B434" s="20">
        <v>3522.0994475138123</v>
      </c>
      <c r="C434" s="20">
        <f t="shared" si="4"/>
        <v>40003.077708383389</v>
      </c>
      <c r="D434" s="21" t="str">
        <f t="shared" si="0"/>
        <v>201021</v>
      </c>
      <c r="E434" s="22">
        <f t="shared" si="5"/>
        <v>1.722319857534222</v>
      </c>
      <c r="F434" s="9">
        <f t="shared" si="6"/>
        <v>-1.2564712328767124E-3</v>
      </c>
      <c r="G434" s="14">
        <f t="shared" si="1"/>
        <v>100.27478703800307</v>
      </c>
      <c r="H434" s="24">
        <f t="shared" si="7"/>
        <v>1966.6203800306903</v>
      </c>
      <c r="I434" s="20">
        <f t="shared" si="2"/>
        <v>41969.698088414079</v>
      </c>
      <c r="J434" s="17">
        <f t="shared" si="8"/>
        <v>4.1969698088414082</v>
      </c>
    </row>
    <row r="435" spans="1:10" ht="12" customHeight="1" x14ac:dyDescent="0.3">
      <c r="A435" s="1">
        <f t="shared" si="3"/>
        <v>44126</v>
      </c>
      <c r="B435" s="20">
        <v>3591.1602209944749</v>
      </c>
      <c r="C435" s="20">
        <f t="shared" si="4"/>
        <v>40072.138481864051</v>
      </c>
      <c r="D435" s="21" t="str">
        <f t="shared" si="0"/>
        <v>201022</v>
      </c>
      <c r="E435" s="22">
        <f t="shared" si="5"/>
        <v>1.7210633863013454</v>
      </c>
      <c r="F435" s="9">
        <f t="shared" si="6"/>
        <v>-1.2564712328767124E-3</v>
      </c>
      <c r="G435" s="14">
        <f t="shared" si="1"/>
        <v>100.27307444561092</v>
      </c>
      <c r="H435" s="24">
        <f t="shared" si="7"/>
        <v>1949.4944561091643</v>
      </c>
      <c r="I435" s="20">
        <f t="shared" si="2"/>
        <v>42021.632937973212</v>
      </c>
      <c r="J435" s="17">
        <f t="shared" si="8"/>
        <v>4.2021632937973212</v>
      </c>
    </row>
    <row r="436" spans="1:10" ht="12" customHeight="1" x14ac:dyDescent="0.3">
      <c r="A436" s="1">
        <f t="shared" si="3"/>
        <v>44127</v>
      </c>
      <c r="B436" s="20">
        <v>3660.220994475138</v>
      </c>
      <c r="C436" s="20">
        <f t="shared" si="4"/>
        <v>40141.199255344713</v>
      </c>
      <c r="D436" s="21" t="str">
        <f t="shared" si="0"/>
        <v>201023</v>
      </c>
      <c r="E436" s="22">
        <f t="shared" si="5"/>
        <v>1.7198069150684687</v>
      </c>
      <c r="F436" s="9">
        <f t="shared" si="6"/>
        <v>-1.2564712328767124E-3</v>
      </c>
      <c r="G436" s="14">
        <f t="shared" si="1"/>
        <v>100.27135541460576</v>
      </c>
      <c r="H436" s="24">
        <f t="shared" si="7"/>
        <v>1932.3041460576462</v>
      </c>
      <c r="I436" s="20">
        <f t="shared" si="2"/>
        <v>42073.503401402362</v>
      </c>
      <c r="J436" s="17">
        <f t="shared" si="8"/>
        <v>4.2073503401402359</v>
      </c>
    </row>
    <row r="437" spans="1:10" ht="12" customHeight="1" x14ac:dyDescent="0.3">
      <c r="A437" s="1">
        <f t="shared" si="3"/>
        <v>44130</v>
      </c>
      <c r="B437" s="20">
        <v>3867.4033149171273</v>
      </c>
      <c r="C437" s="20">
        <f t="shared" si="4"/>
        <v>40348.381575786705</v>
      </c>
      <c r="D437" s="21" t="str">
        <f t="shared" si="0"/>
        <v>201026</v>
      </c>
      <c r="E437" s="22">
        <f t="shared" si="5"/>
        <v>1.7185504438355921</v>
      </c>
      <c r="F437" s="9">
        <f t="shared" si="6"/>
        <v>-3.7694136986301374E-3</v>
      </c>
      <c r="G437" s="14">
        <f t="shared" si="1"/>
        <v>100.26529355695527</v>
      </c>
      <c r="H437" s="24">
        <f t="shared" si="7"/>
        <v>1871.6855695527101</v>
      </c>
      <c r="I437" s="20">
        <f t="shared" si="2"/>
        <v>42220.067145339417</v>
      </c>
      <c r="J437" s="17">
        <f t="shared" si="8"/>
        <v>4.2220067145339417</v>
      </c>
    </row>
    <row r="438" spans="1:10" ht="12" customHeight="1" x14ac:dyDescent="0.3">
      <c r="A438" s="1">
        <f t="shared" si="3"/>
        <v>44131</v>
      </c>
      <c r="B438" s="20">
        <v>3936.46408839779</v>
      </c>
      <c r="C438" s="20">
        <f t="shared" si="4"/>
        <v>40417.442349267367</v>
      </c>
      <c r="D438" s="21" t="str">
        <f t="shared" si="0"/>
        <v>201027</v>
      </c>
      <c r="E438" s="22">
        <f t="shared" si="5"/>
        <v>1.7147810301369619</v>
      </c>
      <c r="F438" s="9">
        <f t="shared" si="6"/>
        <v>-1.2564712328767124E-3</v>
      </c>
      <c r="G438" s="14">
        <f t="shared" si="1"/>
        <v>100.26441486267407</v>
      </c>
      <c r="H438" s="24">
        <f t="shared" si="7"/>
        <v>1862.8986267407299</v>
      </c>
      <c r="I438" s="20">
        <f t="shared" si="2"/>
        <v>42280.340976008098</v>
      </c>
      <c r="J438" s="17">
        <f t="shared" si="8"/>
        <v>4.2280340976008102</v>
      </c>
    </row>
    <row r="439" spans="1:10" ht="12" customHeight="1" x14ac:dyDescent="0.3">
      <c r="A439" s="1">
        <f t="shared" si="3"/>
        <v>44132</v>
      </c>
      <c r="B439" s="20">
        <v>4005.5248618784535</v>
      </c>
      <c r="C439" s="20">
        <f t="shared" si="4"/>
        <v>40486.503122748029</v>
      </c>
      <c r="D439" s="21" t="str">
        <f t="shared" si="0"/>
        <v>201028</v>
      </c>
      <c r="E439" s="22">
        <f t="shared" si="5"/>
        <v>1.7135245589040853</v>
      </c>
      <c r="F439" s="9">
        <f t="shared" si="6"/>
        <v>-1.2564712328767124E-3</v>
      </c>
      <c r="G439" s="14">
        <f t="shared" si="1"/>
        <v>100.26266360728779</v>
      </c>
      <c r="H439" s="24">
        <f t="shared" si="7"/>
        <v>1845.3860728779148</v>
      </c>
      <c r="I439" s="20">
        <f t="shared" si="2"/>
        <v>42331.889195625947</v>
      </c>
      <c r="J439" s="17">
        <f t="shared" si="8"/>
        <v>4.2331889195625942</v>
      </c>
    </row>
    <row r="440" spans="1:10" ht="12" customHeight="1" x14ac:dyDescent="0.3">
      <c r="A440" s="1">
        <f t="shared" si="3"/>
        <v>44133</v>
      </c>
      <c r="B440" s="20">
        <v>4074.5856353591162</v>
      </c>
      <c r="C440" s="20">
        <f t="shared" si="4"/>
        <v>40555.56389622869</v>
      </c>
      <c r="D440" s="21" t="str">
        <f t="shared" si="0"/>
        <v>201029</v>
      </c>
      <c r="E440" s="22">
        <f t="shared" si="5"/>
        <v>1.7122680876712086</v>
      </c>
      <c r="F440" s="9">
        <f t="shared" si="6"/>
        <v>-1.2564712328767124E-3</v>
      </c>
      <c r="G440" s="14">
        <f t="shared" si="1"/>
        <v>100.26090590077777</v>
      </c>
      <c r="H440" s="24">
        <f t="shared" si="7"/>
        <v>1827.8090077777167</v>
      </c>
      <c r="I440" s="20">
        <f t="shared" si="2"/>
        <v>42383.372904006406</v>
      </c>
      <c r="J440" s="17">
        <f t="shared" si="8"/>
        <v>4.2383372904006409</v>
      </c>
    </row>
    <row r="441" spans="1:10" ht="12" customHeight="1" x14ac:dyDescent="0.3">
      <c r="A441" s="1">
        <f t="shared" si="3"/>
        <v>44134</v>
      </c>
      <c r="B441" s="20">
        <v>4143.6464088397788</v>
      </c>
      <c r="C441" s="20">
        <f t="shared" si="4"/>
        <v>40624.624669709352</v>
      </c>
      <c r="D441" s="21" t="str">
        <f t="shared" si="0"/>
        <v>201030</v>
      </c>
      <c r="E441" s="22">
        <f t="shared" si="5"/>
        <v>1.711011616438332</v>
      </c>
      <c r="F441" s="9">
        <f t="shared" si="6"/>
        <v>-1.2564712328767124E-3</v>
      </c>
      <c r="G441" s="14">
        <f t="shared" si="1"/>
        <v>100.25914174106681</v>
      </c>
      <c r="H441" s="24">
        <f t="shared" si="7"/>
        <v>1810.1674106681285</v>
      </c>
      <c r="I441" s="20">
        <f t="shared" si="2"/>
        <v>42434.792080377483</v>
      </c>
      <c r="J441" s="17">
        <f t="shared" si="8"/>
        <v>4.2434792080377477</v>
      </c>
    </row>
    <row r="442" spans="1:10" ht="12" customHeight="1" x14ac:dyDescent="0.3">
      <c r="A442" s="1">
        <f t="shared" si="3"/>
        <v>44137</v>
      </c>
      <c r="B442" s="20">
        <v>4350.8287292817686</v>
      </c>
      <c r="C442" s="20">
        <f t="shared" si="4"/>
        <v>40831.806990151345</v>
      </c>
      <c r="D442" s="21" t="str">
        <f t="shared" si="0"/>
        <v>201102</v>
      </c>
      <c r="E442" s="22">
        <f t="shared" si="5"/>
        <v>1.7097551452054554</v>
      </c>
      <c r="F442" s="9">
        <f t="shared" si="6"/>
        <v>-3.7694136986301374E-3</v>
      </c>
      <c r="G442" s="14">
        <f t="shared" si="1"/>
        <v>100.25299271402898</v>
      </c>
      <c r="H442" s="24">
        <f t="shared" si="7"/>
        <v>1748.6771402897714</v>
      </c>
      <c r="I442" s="20">
        <f t="shared" si="2"/>
        <v>42580.484130441117</v>
      </c>
      <c r="J442" s="17">
        <f t="shared" si="8"/>
        <v>4.2580484130441114</v>
      </c>
    </row>
    <row r="443" spans="1:10" ht="12" customHeight="1" x14ac:dyDescent="0.3">
      <c r="A443" s="1">
        <f t="shared" si="3"/>
        <v>44138</v>
      </c>
      <c r="B443" s="20">
        <v>4419.8895027624312</v>
      </c>
      <c r="C443" s="20">
        <f t="shared" si="4"/>
        <v>40900.867763632006</v>
      </c>
      <c r="D443" s="21" t="str">
        <f t="shared" si="0"/>
        <v>201103</v>
      </c>
      <c r="E443" s="22">
        <f t="shared" si="5"/>
        <v>1.7059857315068252</v>
      </c>
      <c r="F443" s="9">
        <f t="shared" si="6"/>
        <v>-1.2564712328767124E-3</v>
      </c>
      <c r="G443" s="14">
        <f t="shared" si="1"/>
        <v>100.25202052874823</v>
      </c>
      <c r="H443" s="24">
        <f t="shared" si="7"/>
        <v>1738.9552874823266</v>
      </c>
      <c r="I443" s="20">
        <f t="shared" si="2"/>
        <v>42639.823051114334</v>
      </c>
      <c r="J443" s="17">
        <f t="shared" si="8"/>
        <v>4.2639823051114334</v>
      </c>
    </row>
    <row r="444" spans="1:10" ht="12" customHeight="1" x14ac:dyDescent="0.3">
      <c r="A444" s="1">
        <f t="shared" si="3"/>
        <v>44139</v>
      </c>
      <c r="B444" s="20">
        <v>4488.9502762430939</v>
      </c>
      <c r="C444" s="20">
        <f t="shared" si="4"/>
        <v>40969.928537112668</v>
      </c>
      <c r="D444" s="21" t="str">
        <f t="shared" si="0"/>
        <v>201104</v>
      </c>
      <c r="E444" s="22">
        <f t="shared" si="5"/>
        <v>1.7047292602739486</v>
      </c>
      <c r="F444" s="9">
        <f t="shared" si="6"/>
        <v>-1.2564712328767124E-3</v>
      </c>
      <c r="G444" s="14">
        <f t="shared" si="1"/>
        <v>100.25022407195335</v>
      </c>
      <c r="H444" s="24">
        <f t="shared" si="7"/>
        <v>1720.9907195335461</v>
      </c>
      <c r="I444" s="20">
        <f t="shared" si="2"/>
        <v>42690.919256646215</v>
      </c>
      <c r="J444" s="17">
        <f t="shared" si="8"/>
        <v>4.2690919256646209</v>
      </c>
    </row>
    <row r="445" spans="1:10" ht="12" customHeight="1" x14ac:dyDescent="0.3">
      <c r="A445" s="1">
        <f t="shared" si="3"/>
        <v>44140</v>
      </c>
      <c r="B445" s="20">
        <v>4558.0110497237565</v>
      </c>
      <c r="C445" s="20">
        <f t="shared" si="4"/>
        <v>41038.98931059333</v>
      </c>
      <c r="D445" s="21" t="str">
        <f t="shared" si="0"/>
        <v>201105</v>
      </c>
      <c r="E445" s="22">
        <f t="shared" si="5"/>
        <v>1.7034727890410719</v>
      </c>
      <c r="F445" s="9">
        <f t="shared" si="6"/>
        <v>-1.2564712328767124E-3</v>
      </c>
      <c r="G445" s="14">
        <f t="shared" si="1"/>
        <v>100.24842114954164</v>
      </c>
      <c r="H445" s="24">
        <f t="shared" si="7"/>
        <v>1702.9614954164174</v>
      </c>
      <c r="I445" s="20">
        <f t="shared" si="2"/>
        <v>42741.950806009751</v>
      </c>
      <c r="J445" s="17">
        <f t="shared" si="8"/>
        <v>4.2741950806009754</v>
      </c>
    </row>
    <row r="446" spans="1:10" ht="12" customHeight="1" x14ac:dyDescent="0.3">
      <c r="A446" s="1">
        <f t="shared" si="3"/>
        <v>44141</v>
      </c>
      <c r="B446" s="20">
        <v>4627.0718232044201</v>
      </c>
      <c r="C446" s="20">
        <f t="shared" si="4"/>
        <v>41108.050084073991</v>
      </c>
      <c r="D446" s="21" t="str">
        <f t="shared" si="0"/>
        <v>201106</v>
      </c>
      <c r="E446" s="22">
        <f t="shared" si="5"/>
        <v>1.7022163178081953</v>
      </c>
      <c r="F446" s="9">
        <f t="shared" si="6"/>
        <v>-1.2564712328767124E-3</v>
      </c>
      <c r="G446" s="14">
        <f t="shared" si="1"/>
        <v>100.24661175945181</v>
      </c>
      <c r="H446" s="24">
        <f t="shared" si="7"/>
        <v>1684.8675945180958</v>
      </c>
      <c r="I446" s="20">
        <f t="shared" si="2"/>
        <v>42792.917678592086</v>
      </c>
      <c r="J446" s="17">
        <f t="shared" si="8"/>
        <v>4.2792917678592088</v>
      </c>
    </row>
    <row r="447" spans="1:10" ht="12" customHeight="1" x14ac:dyDescent="0.3">
      <c r="A447" s="1">
        <f t="shared" si="3"/>
        <v>44144</v>
      </c>
      <c r="B447" s="20">
        <v>4834.2541436464098</v>
      </c>
      <c r="C447" s="20">
        <f t="shared" si="4"/>
        <v>41315.232404515984</v>
      </c>
      <c r="D447" s="21" t="str">
        <f t="shared" si="0"/>
        <v>201109</v>
      </c>
      <c r="E447" s="22">
        <f t="shared" si="5"/>
        <v>1.7009598465753186</v>
      </c>
      <c r="F447" s="9">
        <f t="shared" si="6"/>
        <v>-3.7694136986301374E-3</v>
      </c>
      <c r="G447" s="14">
        <f t="shared" si="1"/>
        <v>100.24037533382666</v>
      </c>
      <c r="H447" s="24">
        <f t="shared" si="7"/>
        <v>1622.5033382666254</v>
      </c>
      <c r="I447" s="20">
        <f t="shared" si="2"/>
        <v>42937.735742782606</v>
      </c>
      <c r="J447" s="17">
        <f t="shared" si="8"/>
        <v>4.2937735742782603</v>
      </c>
    </row>
    <row r="448" spans="1:10" ht="12" customHeight="1" x14ac:dyDescent="0.3">
      <c r="A448" s="1">
        <f t="shared" si="3"/>
        <v>44145</v>
      </c>
      <c r="B448" s="20">
        <v>4903.3149171270716</v>
      </c>
      <c r="C448" s="20">
        <f t="shared" si="4"/>
        <v>41384.293177996646</v>
      </c>
      <c r="D448" s="21" t="str">
        <f t="shared" si="0"/>
        <v>201110</v>
      </c>
      <c r="E448" s="22">
        <f t="shared" si="5"/>
        <v>1.6971904328766885</v>
      </c>
      <c r="F448" s="9">
        <f t="shared" si="6"/>
        <v>-1.2564712328767124E-3</v>
      </c>
      <c r="G448" s="14">
        <f t="shared" si="1"/>
        <v>100.2393094811631</v>
      </c>
      <c r="H448" s="24">
        <f t="shared" si="7"/>
        <v>1611.8448116310446</v>
      </c>
      <c r="I448" s="20">
        <f t="shared" si="2"/>
        <v>42996.137989627692</v>
      </c>
      <c r="J448" s="17">
        <f t="shared" si="8"/>
        <v>4.2996137989627687</v>
      </c>
    </row>
    <row r="449" spans="1:10" ht="12" customHeight="1" x14ac:dyDescent="0.3">
      <c r="A449" s="1">
        <f t="shared" si="3"/>
        <v>44146</v>
      </c>
      <c r="B449" s="20">
        <v>4972.3756906077342</v>
      </c>
      <c r="C449" s="20">
        <f t="shared" si="4"/>
        <v>41453.353951477307</v>
      </c>
      <c r="D449" s="21" t="str">
        <f t="shared" si="0"/>
        <v>201111</v>
      </c>
      <c r="E449" s="22">
        <f t="shared" si="5"/>
        <v>1.6959339616438118</v>
      </c>
      <c r="F449" s="9">
        <f t="shared" si="6"/>
        <v>-1.2564712328767124E-3</v>
      </c>
      <c r="G449" s="14">
        <f t="shared" si="1"/>
        <v>100.2374677218416</v>
      </c>
      <c r="H449" s="24">
        <f t="shared" si="7"/>
        <v>1593.4272184159681</v>
      </c>
      <c r="I449" s="20">
        <f t="shared" si="2"/>
        <v>43046.781169893278</v>
      </c>
      <c r="J449" s="17">
        <f t="shared" si="8"/>
        <v>4.3046781169893276</v>
      </c>
    </row>
    <row r="450" spans="1:10" ht="12" customHeight="1" x14ac:dyDescent="0.3">
      <c r="A450" s="1">
        <f t="shared" si="3"/>
        <v>44147</v>
      </c>
      <c r="B450" s="20">
        <v>5041.4364640883978</v>
      </c>
      <c r="C450" s="20">
        <f t="shared" si="4"/>
        <v>41522.414724957969</v>
      </c>
      <c r="D450" s="21" t="str">
        <f t="shared" si="0"/>
        <v>201112</v>
      </c>
      <c r="E450" s="22">
        <f t="shared" si="5"/>
        <v>1.6946774904109352</v>
      </c>
      <c r="F450" s="9">
        <f t="shared" si="6"/>
        <v>-1.2564712328767124E-3</v>
      </c>
      <c r="G450" s="14">
        <f t="shared" si="1"/>
        <v>100.23561948252156</v>
      </c>
      <c r="H450" s="24">
        <f t="shared" si="7"/>
        <v>1574.9448252155673</v>
      </c>
      <c r="I450" s="20">
        <f t="shared" si="2"/>
        <v>43097.35955017354</v>
      </c>
      <c r="J450" s="17">
        <f t="shared" si="8"/>
        <v>4.309735955017354</v>
      </c>
    </row>
    <row r="451" spans="1:10" ht="12" customHeight="1" x14ac:dyDescent="0.3">
      <c r="A451" s="1">
        <f t="shared" si="3"/>
        <v>44148</v>
      </c>
      <c r="B451" s="20">
        <v>5110.4972375690604</v>
      </c>
      <c r="C451" s="20">
        <f t="shared" si="4"/>
        <v>41591.475498438631</v>
      </c>
      <c r="D451" s="21" t="str">
        <f t="shared" si="0"/>
        <v>201113</v>
      </c>
      <c r="E451" s="22">
        <f t="shared" si="5"/>
        <v>1.6934210191780585</v>
      </c>
      <c r="F451" s="9">
        <f t="shared" si="6"/>
        <v>-1.2564712328767124E-3</v>
      </c>
      <c r="G451" s="14">
        <f t="shared" si="1"/>
        <v>100.23376476115753</v>
      </c>
      <c r="H451" s="24">
        <f t="shared" si="7"/>
        <v>1556.3976115753064</v>
      </c>
      <c r="I451" s="20">
        <f t="shared" si="2"/>
        <v>43147.873110013934</v>
      </c>
      <c r="J451" s="17">
        <f t="shared" si="8"/>
        <v>4.3147873110013935</v>
      </c>
    </row>
    <row r="452" spans="1:10" ht="12" customHeight="1" x14ac:dyDescent="0.3">
      <c r="A452" s="1">
        <f t="shared" si="3"/>
        <v>44151</v>
      </c>
      <c r="B452" s="20">
        <v>5317.6795580110502</v>
      </c>
      <c r="C452" s="20">
        <f t="shared" si="4"/>
        <v>41798.657818880623</v>
      </c>
      <c r="D452" s="21" t="str">
        <f t="shared" si="0"/>
        <v>201116</v>
      </c>
      <c r="E452" s="22">
        <f t="shared" si="5"/>
        <v>1.6921645479451819</v>
      </c>
      <c r="F452" s="9">
        <f t="shared" si="6"/>
        <v>-3.7694136986301374E-3</v>
      </c>
      <c r="G452" s="14">
        <f t="shared" si="1"/>
        <v>100.22744070921262</v>
      </c>
      <c r="H452" s="24">
        <f t="shared" si="7"/>
        <v>1493.1570921261539</v>
      </c>
      <c r="I452" s="20">
        <f t="shared" si="2"/>
        <v>43291.814911006775</v>
      </c>
      <c r="J452" s="17">
        <f t="shared" si="8"/>
        <v>4.3291814911006776</v>
      </c>
    </row>
    <row r="453" spans="1:10" ht="12" customHeight="1" x14ac:dyDescent="0.3">
      <c r="A453" s="1">
        <f t="shared" si="3"/>
        <v>44152</v>
      </c>
      <c r="B453" s="20">
        <v>5386.7403314917128</v>
      </c>
      <c r="C453" s="20">
        <f t="shared" si="4"/>
        <v>41867.718592361285</v>
      </c>
      <c r="D453" s="21" t="str">
        <f t="shared" si="0"/>
        <v>201117</v>
      </c>
      <c r="E453" s="22">
        <f t="shared" si="5"/>
        <v>1.6883951342465517</v>
      </c>
      <c r="F453" s="9">
        <f t="shared" si="6"/>
        <v>-1.2564712328767124E-3</v>
      </c>
      <c r="G453" s="14">
        <f t="shared" si="1"/>
        <v>100.22628101443378</v>
      </c>
      <c r="H453" s="24">
        <f t="shared" si="7"/>
        <v>1481.5601443378057</v>
      </c>
      <c r="I453" s="20">
        <f t="shared" si="2"/>
        <v>43349.278736699089</v>
      </c>
      <c r="J453" s="17">
        <f t="shared" si="8"/>
        <v>4.3349278736699093</v>
      </c>
    </row>
    <row r="454" spans="1:10" ht="12" customHeight="1" x14ac:dyDescent="0.3">
      <c r="A454" s="1">
        <f t="shared" si="3"/>
        <v>44153</v>
      </c>
      <c r="B454" s="20">
        <v>5455.8011049723755</v>
      </c>
      <c r="C454" s="20">
        <f t="shared" si="4"/>
        <v>41936.779365841947</v>
      </c>
      <c r="D454" s="21" t="str">
        <f t="shared" si="0"/>
        <v>201118</v>
      </c>
      <c r="E454" s="22">
        <f t="shared" si="5"/>
        <v>1.6871386630136751</v>
      </c>
      <c r="F454" s="9">
        <f t="shared" si="6"/>
        <v>-1.2564712328767124E-3</v>
      </c>
      <c r="G454" s="14">
        <f t="shared" si="1"/>
        <v>100.22439385224897</v>
      </c>
      <c r="H454" s="24">
        <f t="shared" si="7"/>
        <v>1462.6885224896569</v>
      </c>
      <c r="I454" s="20">
        <f t="shared" si="2"/>
        <v>43399.467888331601</v>
      </c>
      <c r="J454" s="17">
        <f t="shared" si="8"/>
        <v>4.33994678883316</v>
      </c>
    </row>
    <row r="455" spans="1:10" ht="12" customHeight="1" x14ac:dyDescent="0.3">
      <c r="A455" s="1">
        <f t="shared" si="3"/>
        <v>44154</v>
      </c>
      <c r="B455" s="20">
        <v>5524.8618784530381</v>
      </c>
      <c r="C455" s="20">
        <f t="shared" si="4"/>
        <v>42005.840139322609</v>
      </c>
      <c r="D455" s="21" t="str">
        <f t="shared" si="0"/>
        <v>201119</v>
      </c>
      <c r="E455" s="22">
        <f t="shared" si="5"/>
        <v>1.6858821917807985</v>
      </c>
      <c r="F455" s="9">
        <f t="shared" si="6"/>
        <v>-1.2564712328767124E-3</v>
      </c>
      <c r="G455" s="14">
        <f t="shared" si="1"/>
        <v>100.22250019579583</v>
      </c>
      <c r="H455" s="24">
        <f t="shared" si="7"/>
        <v>1443.7519579583125</v>
      </c>
      <c r="I455" s="20">
        <f t="shared" si="2"/>
        <v>43449.592097280918</v>
      </c>
      <c r="J455" s="17">
        <f t="shared" si="8"/>
        <v>4.3449592097280911</v>
      </c>
    </row>
    <row r="456" spans="1:10" ht="12" customHeight="1" x14ac:dyDescent="0.3">
      <c r="A456" s="1">
        <f t="shared" si="3"/>
        <v>44155</v>
      </c>
      <c r="B456" s="20">
        <v>5593.9226519337017</v>
      </c>
      <c r="C456" s="20">
        <f t="shared" si="4"/>
        <v>42074.90091280327</v>
      </c>
      <c r="D456" s="21" t="str">
        <f t="shared" si="0"/>
        <v>201120</v>
      </c>
      <c r="E456" s="22">
        <f t="shared" si="5"/>
        <v>1.6846257205479218</v>
      </c>
      <c r="F456" s="9">
        <f t="shared" si="6"/>
        <v>-1.2564712328767124E-3</v>
      </c>
      <c r="G456" s="14">
        <f t="shared" si="1"/>
        <v>100.22060004304505</v>
      </c>
      <c r="H456" s="24">
        <f t="shared" si="7"/>
        <v>1424.7504304505301</v>
      </c>
      <c r="I456" s="20">
        <f t="shared" si="2"/>
        <v>43499.651343253798</v>
      </c>
      <c r="J456" s="17">
        <f t="shared" si="8"/>
        <v>4.3499651343253802</v>
      </c>
    </row>
    <row r="457" spans="1:10" ht="12" customHeight="1" x14ac:dyDescent="0.3">
      <c r="A457" s="1">
        <f t="shared" si="3"/>
        <v>44158</v>
      </c>
      <c r="B457" s="20">
        <v>5801.1049723756905</v>
      </c>
      <c r="C457" s="20">
        <f t="shared" si="4"/>
        <v>42282.083233245256</v>
      </c>
      <c r="D457" s="21" t="str">
        <f t="shared" si="0"/>
        <v>201123</v>
      </c>
      <c r="E457" s="22">
        <f t="shared" si="5"/>
        <v>1.6833692493150452</v>
      </c>
      <c r="F457" s="9">
        <f t="shared" si="6"/>
        <v>-3.7694136986301374E-3</v>
      </c>
      <c r="G457" s="14">
        <f t="shared" si="1"/>
        <v>100.2141881385256</v>
      </c>
      <c r="H457" s="24">
        <f t="shared" si="7"/>
        <v>1360.6313852559992</v>
      </c>
      <c r="I457" s="20">
        <f t="shared" si="2"/>
        <v>43642.714618501253</v>
      </c>
      <c r="J457" s="17">
        <f t="shared" si="8"/>
        <v>4.3642714618501257</v>
      </c>
    </row>
    <row r="458" spans="1:10" ht="12" customHeight="1" x14ac:dyDescent="0.3">
      <c r="A458" s="1">
        <f t="shared" si="3"/>
        <v>44159</v>
      </c>
      <c r="B458" s="20">
        <v>5870.1657458563532</v>
      </c>
      <c r="C458" s="20">
        <f t="shared" si="4"/>
        <v>42351.144006725917</v>
      </c>
      <c r="D458" s="21" t="str">
        <f t="shared" si="0"/>
        <v>201124</v>
      </c>
      <c r="E458" s="22">
        <f t="shared" si="5"/>
        <v>1.679599835616415</v>
      </c>
      <c r="F458" s="9">
        <f t="shared" si="6"/>
        <v>-1.2564712328767124E-3</v>
      </c>
      <c r="G458" s="14">
        <f t="shared" si="1"/>
        <v>100.2129344285589</v>
      </c>
      <c r="H458" s="24">
        <f t="shared" si="7"/>
        <v>1348.0942855889566</v>
      </c>
      <c r="I458" s="20">
        <f t="shared" si="2"/>
        <v>43699.238292314876</v>
      </c>
      <c r="J458" s="17">
        <f t="shared" si="8"/>
        <v>4.3699238292314879</v>
      </c>
    </row>
    <row r="459" spans="1:10" ht="12" customHeight="1" x14ac:dyDescent="0.3">
      <c r="A459" s="1">
        <f t="shared" si="3"/>
        <v>44160</v>
      </c>
      <c r="B459" s="20">
        <v>5939.2265193370158</v>
      </c>
      <c r="C459" s="20">
        <f t="shared" si="4"/>
        <v>42420.204780206579</v>
      </c>
      <c r="D459" s="21" t="str">
        <f t="shared" si="0"/>
        <v>201125</v>
      </c>
      <c r="E459" s="22">
        <f t="shared" si="5"/>
        <v>1.6783433643835384</v>
      </c>
      <c r="F459" s="9">
        <f t="shared" si="6"/>
        <v>-1.2564712328767124E-3</v>
      </c>
      <c r="G459" s="14">
        <f t="shared" si="1"/>
        <v>100.21100176396014</v>
      </c>
      <c r="H459" s="24">
        <f t="shared" si="7"/>
        <v>1328.7676396014094</v>
      </c>
      <c r="I459" s="20">
        <f t="shared" si="2"/>
        <v>43748.972419807986</v>
      </c>
      <c r="J459" s="17">
        <f t="shared" si="8"/>
        <v>4.3748972419807988</v>
      </c>
    </row>
    <row r="460" spans="1:10" ht="12" customHeight="1" x14ac:dyDescent="0.3">
      <c r="A460" s="1">
        <f t="shared" si="3"/>
        <v>44161</v>
      </c>
      <c r="B460" s="20">
        <v>6008.2872928176794</v>
      </c>
      <c r="C460" s="20">
        <f t="shared" si="4"/>
        <v>42489.265553687241</v>
      </c>
      <c r="D460" s="21" t="str">
        <f t="shared" si="0"/>
        <v>201126</v>
      </c>
      <c r="E460" s="22">
        <f t="shared" si="5"/>
        <v>1.6770868931506617</v>
      </c>
      <c r="F460" s="9">
        <f t="shared" si="6"/>
        <v>-1.2564712328767124E-3</v>
      </c>
      <c r="G460" s="14">
        <f t="shared" si="1"/>
        <v>100.20906259093603</v>
      </c>
      <c r="H460" s="24">
        <f t="shared" si="7"/>
        <v>1309.3759093602841</v>
      </c>
      <c r="I460" s="20">
        <f t="shared" si="2"/>
        <v>43798.641463047526</v>
      </c>
      <c r="J460" s="17">
        <f t="shared" si="8"/>
        <v>4.3798641463047527</v>
      </c>
    </row>
    <row r="461" spans="1:10" ht="12" customHeight="1" x14ac:dyDescent="0.3">
      <c r="A461" s="1">
        <f t="shared" si="3"/>
        <v>44162</v>
      </c>
      <c r="B461" s="20">
        <v>6077.348066298342</v>
      </c>
      <c r="C461" s="20">
        <f t="shared" si="4"/>
        <v>42558.326327167902</v>
      </c>
      <c r="D461" s="21" t="str">
        <f t="shared" si="0"/>
        <v>201127</v>
      </c>
      <c r="E461" s="22">
        <f t="shared" si="5"/>
        <v>1.6758304219177851</v>
      </c>
      <c r="F461" s="9">
        <f t="shared" si="6"/>
        <v>-1.2564712328767124E-3</v>
      </c>
      <c r="G461" s="14">
        <f t="shared" si="1"/>
        <v>100.20711690747333</v>
      </c>
      <c r="H461" s="24">
        <f t="shared" si="7"/>
        <v>1289.9190747333478</v>
      </c>
      <c r="I461" s="20">
        <f t="shared" si="2"/>
        <v>43848.245401901251</v>
      </c>
      <c r="J461" s="17">
        <f t="shared" si="8"/>
        <v>4.3848245401901247</v>
      </c>
    </row>
    <row r="462" spans="1:10" ht="12" customHeight="1" x14ac:dyDescent="0.3">
      <c r="A462" s="1">
        <f t="shared" si="3"/>
        <v>44165</v>
      </c>
      <c r="B462" s="20">
        <v>6284.5303867403327</v>
      </c>
      <c r="C462" s="20">
        <f t="shared" si="4"/>
        <v>42765.508647609895</v>
      </c>
      <c r="D462" s="21" t="str">
        <f t="shared" si="0"/>
        <v>201130</v>
      </c>
      <c r="E462" s="22">
        <f t="shared" si="5"/>
        <v>1.6745739506849084</v>
      </c>
      <c r="F462" s="9">
        <f t="shared" si="6"/>
        <v>-3.7694136986301374E-3</v>
      </c>
      <c r="G462" s="14">
        <f t="shared" si="1"/>
        <v>100.20061692561247</v>
      </c>
      <c r="H462" s="24">
        <f t="shared" si="7"/>
        <v>1224.9192561246502</v>
      </c>
      <c r="I462" s="20">
        <f t="shared" si="2"/>
        <v>43990.427903734548</v>
      </c>
      <c r="J462" s="17">
        <f t="shared" si="8"/>
        <v>4.3990427903734552</v>
      </c>
    </row>
    <row r="463" spans="1:10" ht="12" customHeight="1" x14ac:dyDescent="0.3">
      <c r="A463" s="1">
        <f t="shared" si="3"/>
        <v>44166</v>
      </c>
      <c r="B463" s="20">
        <v>6353.5911602209953</v>
      </c>
      <c r="C463" s="20">
        <f t="shared" si="4"/>
        <v>42834.569421090557</v>
      </c>
      <c r="D463" s="21" t="str">
        <f t="shared" si="0"/>
        <v>201201</v>
      </c>
      <c r="E463" s="22">
        <f t="shared" si="5"/>
        <v>1.6708045369862783</v>
      </c>
      <c r="F463" s="9">
        <f t="shared" si="6"/>
        <v>-1.2564712328767124E-3</v>
      </c>
      <c r="G463" s="14">
        <f t="shared" si="1"/>
        <v>100.19926902905401</v>
      </c>
      <c r="H463" s="24">
        <f t="shared" si="7"/>
        <v>1211.4402905400823</v>
      </c>
      <c r="I463" s="20">
        <f t="shared" si="2"/>
        <v>44046.009711630642</v>
      </c>
      <c r="J463" s="17">
        <f t="shared" si="8"/>
        <v>4.404600971163064</v>
      </c>
    </row>
    <row r="464" spans="1:10" ht="12" customHeight="1" x14ac:dyDescent="0.3">
      <c r="A464" s="1">
        <f t="shared" si="3"/>
        <v>44167</v>
      </c>
      <c r="B464" s="20">
        <v>6422.651933701658</v>
      </c>
      <c r="C464" s="20">
        <f t="shared" si="4"/>
        <v>42903.630194571218</v>
      </c>
      <c r="D464" s="21" t="str">
        <f t="shared" si="0"/>
        <v>201202</v>
      </c>
      <c r="E464" s="22">
        <f t="shared" si="5"/>
        <v>1.6695480657534016</v>
      </c>
      <c r="F464" s="9">
        <f t="shared" si="6"/>
        <v>-1.2564712328767124E-3</v>
      </c>
      <c r="G464" s="14">
        <f t="shared" si="1"/>
        <v>100.19729076328159</v>
      </c>
      <c r="H464" s="24">
        <f t="shared" si="7"/>
        <v>1191.6576328158612</v>
      </c>
      <c r="I464" s="20">
        <f t="shared" si="2"/>
        <v>44095.287827387081</v>
      </c>
      <c r="J464" s="17">
        <f t="shared" si="8"/>
        <v>4.4095287827387075</v>
      </c>
    </row>
    <row r="465" spans="1:10" ht="12" customHeight="1" x14ac:dyDescent="0.3">
      <c r="A465" s="1">
        <f t="shared" si="3"/>
        <v>44168</v>
      </c>
      <c r="B465" s="20">
        <v>6491.7127071823206</v>
      </c>
      <c r="C465" s="20">
        <f t="shared" si="4"/>
        <v>42972.69096805188</v>
      </c>
      <c r="D465" s="21" t="str">
        <f t="shared" si="0"/>
        <v>201203</v>
      </c>
      <c r="E465" s="22">
        <f t="shared" si="5"/>
        <v>1.668291594520525</v>
      </c>
      <c r="F465" s="9">
        <f t="shared" si="6"/>
        <v>-1.2564712328767124E-3</v>
      </c>
      <c r="G465" s="14">
        <f t="shared" si="1"/>
        <v>100.1953059750401</v>
      </c>
      <c r="H465" s="24">
        <f t="shared" si="7"/>
        <v>1171.8097504009961</v>
      </c>
      <c r="I465" s="20">
        <f t="shared" si="2"/>
        <v>44144.500718452873</v>
      </c>
      <c r="J465" s="17">
        <f t="shared" si="8"/>
        <v>4.4144500718452866</v>
      </c>
    </row>
    <row r="466" spans="1:10" ht="12" customHeight="1" x14ac:dyDescent="0.3">
      <c r="A466" s="1">
        <f t="shared" si="3"/>
        <v>44169</v>
      </c>
      <c r="B466" s="20">
        <v>6560.7734806629842</v>
      </c>
      <c r="C466" s="20">
        <f t="shared" si="4"/>
        <v>43041.751741532542</v>
      </c>
      <c r="D466" s="21" t="str">
        <f t="shared" si="0"/>
        <v>201204</v>
      </c>
      <c r="E466" s="22">
        <f t="shared" si="5"/>
        <v>1.6670351232876484</v>
      </c>
      <c r="F466" s="9">
        <f t="shared" si="6"/>
        <v>-1.2564712328767124E-3</v>
      </c>
      <c r="G466" s="14">
        <f t="shared" si="1"/>
        <v>100.1933146623326</v>
      </c>
      <c r="H466" s="24">
        <f t="shared" si="7"/>
        <v>1151.8966233259675</v>
      </c>
      <c r="I466" s="20">
        <f t="shared" si="2"/>
        <v>44193.648364858513</v>
      </c>
      <c r="J466" s="17">
        <f t="shared" si="8"/>
        <v>4.4193648364858511</v>
      </c>
    </row>
    <row r="467" spans="1:10" ht="12" customHeight="1" x14ac:dyDescent="0.3">
      <c r="A467" s="1">
        <f t="shared" si="3"/>
        <v>44172</v>
      </c>
      <c r="B467" s="20">
        <v>6767.9558011049721</v>
      </c>
      <c r="C467" s="20">
        <f t="shared" si="4"/>
        <v>43248.934061974527</v>
      </c>
      <c r="D467" s="21" t="str">
        <f t="shared" si="0"/>
        <v>201207</v>
      </c>
      <c r="E467" s="22">
        <f t="shared" si="5"/>
        <v>1.6657786520547717</v>
      </c>
      <c r="F467" s="9">
        <f t="shared" si="6"/>
        <v>-3.7694136986301374E-3</v>
      </c>
      <c r="G467" s="14">
        <f t="shared" si="1"/>
        <v>100.1867263798616</v>
      </c>
      <c r="H467" s="24">
        <f t="shared" si="7"/>
        <v>1086.0137986159657</v>
      </c>
      <c r="I467" s="20">
        <f t="shared" si="2"/>
        <v>44334.947860590495</v>
      </c>
      <c r="J467" s="17">
        <f t="shared" si="8"/>
        <v>4.4334947860590495</v>
      </c>
    </row>
    <row r="468" spans="1:10" ht="12" customHeight="1" x14ac:dyDescent="0.3">
      <c r="A468" s="1">
        <f t="shared" si="3"/>
        <v>44173</v>
      </c>
      <c r="B468" s="20">
        <v>6837.0165745856357</v>
      </c>
      <c r="C468" s="20">
        <f t="shared" si="4"/>
        <v>43317.994835455189</v>
      </c>
      <c r="D468" s="21" t="str">
        <f t="shared" si="0"/>
        <v>201208</v>
      </c>
      <c r="E468" s="22">
        <f t="shared" si="5"/>
        <v>1.6620092383561416</v>
      </c>
      <c r="F468" s="9">
        <f t="shared" si="6"/>
        <v>-1.2564712328767124E-3</v>
      </c>
      <c r="G468" s="14">
        <f t="shared" si="1"/>
        <v>100.18528412698505</v>
      </c>
      <c r="H468" s="24">
        <f t="shared" si="7"/>
        <v>1071.5912698505292</v>
      </c>
      <c r="I468" s="20">
        <f t="shared" si="2"/>
        <v>44389.586105305716</v>
      </c>
      <c r="J468" s="17">
        <f t="shared" si="8"/>
        <v>4.4389586105305714</v>
      </c>
    </row>
    <row r="469" spans="1:10" ht="12" customHeight="1" x14ac:dyDescent="0.3">
      <c r="A469" s="1">
        <f t="shared" si="3"/>
        <v>44174</v>
      </c>
      <c r="B469" s="20">
        <v>6906.0773480662983</v>
      </c>
      <c r="C469" s="20">
        <f t="shared" si="4"/>
        <v>43387.055608935851</v>
      </c>
      <c r="D469" s="21" t="str">
        <f t="shared" si="0"/>
        <v>201209</v>
      </c>
      <c r="E469" s="22">
        <f t="shared" si="5"/>
        <v>1.6607527671232649</v>
      </c>
      <c r="F469" s="9">
        <f t="shared" si="6"/>
        <v>-1.2564712328767124E-3</v>
      </c>
      <c r="G469" s="14">
        <f t="shared" si="1"/>
        <v>100.18326016207486</v>
      </c>
      <c r="H469" s="24">
        <f t="shared" si="7"/>
        <v>1051.3516207485907</v>
      </c>
      <c r="I469" s="20">
        <f t="shared" si="2"/>
        <v>44438.407229684439</v>
      </c>
      <c r="J469" s="17">
        <f t="shared" si="8"/>
        <v>4.443840722968444</v>
      </c>
    </row>
    <row r="470" spans="1:10" ht="12" customHeight="1" x14ac:dyDescent="0.3">
      <c r="A470" s="1">
        <f t="shared" si="3"/>
        <v>44175</v>
      </c>
      <c r="B470" s="20">
        <v>6975.1381215469619</v>
      </c>
      <c r="C470" s="20">
        <f t="shared" si="4"/>
        <v>43456.116382416512</v>
      </c>
      <c r="D470" s="21" t="str">
        <f t="shared" si="0"/>
        <v>201210</v>
      </c>
      <c r="E470" s="22">
        <f t="shared" si="5"/>
        <v>1.6594962958903883</v>
      </c>
      <c r="F470" s="9">
        <f t="shared" si="6"/>
        <v>-1.2564712328767124E-3</v>
      </c>
      <c r="G470" s="14">
        <f t="shared" si="1"/>
        <v>100.18122966076591</v>
      </c>
      <c r="H470" s="24">
        <f t="shared" si="7"/>
        <v>1031.0466076590785</v>
      </c>
      <c r="I470" s="20">
        <f t="shared" si="2"/>
        <v>44487.162990075594</v>
      </c>
      <c r="J470" s="17">
        <f t="shared" si="8"/>
        <v>4.4487162990075593</v>
      </c>
    </row>
    <row r="471" spans="1:10" ht="12" customHeight="1" x14ac:dyDescent="0.3">
      <c r="A471" s="1">
        <f t="shared" si="3"/>
        <v>44176</v>
      </c>
      <c r="B471" s="20">
        <v>7044.1988950276245</v>
      </c>
      <c r="C471" s="20">
        <f t="shared" si="4"/>
        <v>43525.177155897174</v>
      </c>
      <c r="D471" s="21" t="str">
        <f t="shared" si="0"/>
        <v>201211</v>
      </c>
      <c r="E471" s="22">
        <f t="shared" si="5"/>
        <v>1.6582398246575116</v>
      </c>
      <c r="F471" s="9">
        <f t="shared" si="6"/>
        <v>-1.2564712328767124E-3</v>
      </c>
      <c r="G471" s="14">
        <f t="shared" si="1"/>
        <v>100.17919262107766</v>
      </c>
      <c r="H471" s="24">
        <f t="shared" si="7"/>
        <v>1010.6762107766087</v>
      </c>
      <c r="I471" s="20">
        <f t="shared" si="2"/>
        <v>44535.853366673786</v>
      </c>
      <c r="J471" s="17">
        <f t="shared" si="8"/>
        <v>4.4535853366673788</v>
      </c>
    </row>
    <row r="472" spans="1:10" ht="12" customHeight="1" x14ac:dyDescent="0.3">
      <c r="A472" s="1">
        <f t="shared" si="3"/>
        <v>44179</v>
      </c>
      <c r="B472" s="20">
        <v>7251.3812154696125</v>
      </c>
      <c r="C472" s="20">
        <f t="shared" si="4"/>
        <v>43732.359476339159</v>
      </c>
      <c r="D472" s="21" t="str">
        <f t="shared" si="0"/>
        <v>201214</v>
      </c>
      <c r="E472" s="22">
        <f t="shared" si="5"/>
        <v>1.656983353424635</v>
      </c>
      <c r="F472" s="9">
        <f t="shared" si="6"/>
        <v>-3.7694136986301374E-3</v>
      </c>
      <c r="G472" s="14">
        <f t="shared" si="1"/>
        <v>100.17251581623603</v>
      </c>
      <c r="H472" s="24">
        <f t="shared" si="7"/>
        <v>943.90816236028741</v>
      </c>
      <c r="I472" s="20">
        <f t="shared" si="2"/>
        <v>44676.26763869945</v>
      </c>
      <c r="J472" s="17">
        <f t="shared" si="8"/>
        <v>4.4676267638699452</v>
      </c>
    </row>
    <row r="473" spans="1:10" ht="12" customHeight="1" x14ac:dyDescent="0.3">
      <c r="A473" s="1">
        <f t="shared" si="3"/>
        <v>44180</v>
      </c>
      <c r="B473" s="20">
        <v>7320.441988950276</v>
      </c>
      <c r="C473" s="20">
        <f t="shared" si="4"/>
        <v>43801.420249819821</v>
      </c>
      <c r="D473" s="21" t="str">
        <f t="shared" si="0"/>
        <v>201215</v>
      </c>
      <c r="E473" s="22">
        <f t="shared" si="5"/>
        <v>1.6532139397260048</v>
      </c>
      <c r="F473" s="9">
        <f t="shared" si="6"/>
        <v>-1.2564712328767124E-3</v>
      </c>
      <c r="G473" s="14">
        <f t="shared" si="1"/>
        <v>100.17097903900142</v>
      </c>
      <c r="H473" s="24">
        <f t="shared" si="7"/>
        <v>928.54039001423416</v>
      </c>
      <c r="I473" s="20">
        <f t="shared" si="2"/>
        <v>44729.960639834055</v>
      </c>
      <c r="J473" s="17">
        <f t="shared" si="8"/>
        <v>4.4729960639834054</v>
      </c>
    </row>
    <row r="474" spans="1:10" ht="12" customHeight="1" x14ac:dyDescent="0.3">
      <c r="A474" s="1">
        <f t="shared" si="3"/>
        <v>44181</v>
      </c>
      <c r="B474" s="20">
        <v>7389.5027624309405</v>
      </c>
      <c r="C474" s="20">
        <f t="shared" si="4"/>
        <v>43870.481023300483</v>
      </c>
      <c r="D474" s="21" t="str">
        <f t="shared" si="0"/>
        <v>201216</v>
      </c>
      <c r="E474" s="22">
        <f t="shared" si="5"/>
        <v>1.6519574684931282</v>
      </c>
      <c r="F474" s="9">
        <f t="shared" si="6"/>
        <v>-1.2564712328767124E-3</v>
      </c>
      <c r="G474" s="14">
        <f t="shared" si="1"/>
        <v>100.16890927778964</v>
      </c>
      <c r="H474" s="24">
        <f t="shared" si="7"/>
        <v>907.84277789637713</v>
      </c>
      <c r="I474" s="20">
        <f t="shared" si="2"/>
        <v>44778.323801196857</v>
      </c>
      <c r="J474" s="17">
        <f t="shared" si="8"/>
        <v>4.4778323801196853</v>
      </c>
    </row>
    <row r="475" spans="1:10" ht="12" customHeight="1" x14ac:dyDescent="0.3">
      <c r="A475" s="1">
        <f t="shared" si="3"/>
        <v>44182</v>
      </c>
      <c r="B475" s="20">
        <v>7458.5635359116013</v>
      </c>
      <c r="C475" s="20">
        <f t="shared" si="4"/>
        <v>43939.541796781145</v>
      </c>
      <c r="D475" s="21" t="str">
        <f t="shared" si="0"/>
        <v>201217</v>
      </c>
      <c r="E475" s="22">
        <f t="shared" si="5"/>
        <v>1.6507009972602515</v>
      </c>
      <c r="F475" s="9">
        <f t="shared" si="6"/>
        <v>-1.2564712328767124E-3</v>
      </c>
      <c r="G475" s="14">
        <f t="shared" si="1"/>
        <v>100.16683296636415</v>
      </c>
      <c r="H475" s="24">
        <f t="shared" si="7"/>
        <v>887.07966364154345</v>
      </c>
      <c r="I475" s="20">
        <f t="shared" si="2"/>
        <v>44826.621460422684</v>
      </c>
      <c r="J475" s="17">
        <f t="shared" si="8"/>
        <v>4.4826621460422684</v>
      </c>
    </row>
    <row r="476" spans="1:10" ht="12" customHeight="1" x14ac:dyDescent="0.3">
      <c r="A476" s="1">
        <f t="shared" si="3"/>
        <v>44183</v>
      </c>
      <c r="B476" s="20">
        <v>7527.6243093922649</v>
      </c>
      <c r="C476" s="20">
        <f t="shared" si="4"/>
        <v>44008.602570261806</v>
      </c>
      <c r="D476" s="21" t="str">
        <f t="shared" si="0"/>
        <v>201218</v>
      </c>
      <c r="E476" s="22">
        <f t="shared" si="5"/>
        <v>1.6494445260273749</v>
      </c>
      <c r="F476" s="9">
        <f t="shared" si="6"/>
        <v>-1.2564712328767124E-3</v>
      </c>
      <c r="G476" s="14">
        <f t="shared" si="1"/>
        <v>100.16475010276088</v>
      </c>
      <c r="H476" s="24">
        <f t="shared" si="7"/>
        <v>866.25102760876882</v>
      </c>
      <c r="I476" s="20">
        <f t="shared" si="2"/>
        <v>44874.853597870577</v>
      </c>
      <c r="J476" s="17">
        <f t="shared" si="8"/>
        <v>4.4874853597870583</v>
      </c>
    </row>
    <row r="477" spans="1:10" ht="12" customHeight="1" x14ac:dyDescent="0.3">
      <c r="A477" s="1">
        <f t="shared" si="3"/>
        <v>44186</v>
      </c>
      <c r="B477" s="20">
        <v>7734.8066298342546</v>
      </c>
      <c r="C477" s="20">
        <f t="shared" si="4"/>
        <v>44215.784890703799</v>
      </c>
      <c r="D477" s="21" t="str">
        <f t="shared" si="0"/>
        <v>201221</v>
      </c>
      <c r="E477" s="22">
        <f t="shared" si="5"/>
        <v>1.6481880547944983</v>
      </c>
      <c r="F477" s="9">
        <f t="shared" si="6"/>
        <v>-3.7694136986301374E-3</v>
      </c>
      <c r="G477" s="14">
        <f t="shared" si="1"/>
        <v>100.15798455530641</v>
      </c>
      <c r="H477" s="24">
        <f t="shared" si="7"/>
        <v>798.59555306413199</v>
      </c>
      <c r="I477" s="20">
        <f t="shared" si="2"/>
        <v>45014.380443767928</v>
      </c>
      <c r="J477" s="17">
        <f t="shared" si="8"/>
        <v>4.5014380443767923</v>
      </c>
    </row>
    <row r="478" spans="1:10" ht="12" customHeight="1" x14ac:dyDescent="0.3">
      <c r="A478" s="1">
        <f t="shared" si="3"/>
        <v>44187</v>
      </c>
      <c r="B478" s="20">
        <v>7803.8674033149173</v>
      </c>
      <c r="C478" s="20">
        <f t="shared" si="4"/>
        <v>44284.84566418446</v>
      </c>
      <c r="D478" s="21" t="str">
        <f t="shared" si="0"/>
        <v>201222</v>
      </c>
      <c r="E478" s="22">
        <f t="shared" si="5"/>
        <v>1.6444186410958681</v>
      </c>
      <c r="F478" s="9">
        <f t="shared" si="6"/>
        <v>-1.2564712328767124E-3</v>
      </c>
      <c r="G478" s="14">
        <f t="shared" si="1"/>
        <v>100.15635308736886</v>
      </c>
      <c r="H478" s="24">
        <f t="shared" si="7"/>
        <v>782.28087368856325</v>
      </c>
      <c r="I478" s="20">
        <f t="shared" si="2"/>
        <v>45067.126537873024</v>
      </c>
      <c r="J478" s="17">
        <f t="shared" si="8"/>
        <v>4.5067126537873019</v>
      </c>
    </row>
    <row r="479" spans="1:10" ht="12" customHeight="1" x14ac:dyDescent="0.3">
      <c r="A479" s="1">
        <f t="shared" si="3"/>
        <v>44188</v>
      </c>
      <c r="B479" s="20">
        <v>7872.9281767955799</v>
      </c>
      <c r="C479" s="20">
        <f t="shared" si="4"/>
        <v>44353.906437665122</v>
      </c>
      <c r="D479" s="21" t="str">
        <f t="shared" si="0"/>
        <v>201223</v>
      </c>
      <c r="E479" s="22">
        <f t="shared" si="5"/>
        <v>1.6431621698629915</v>
      </c>
      <c r="F479" s="9">
        <f t="shared" si="6"/>
        <v>-1.2564712328767124E-3</v>
      </c>
      <c r="G479" s="14">
        <f t="shared" si="1"/>
        <v>100.15423743349665</v>
      </c>
      <c r="H479" s="24">
        <f t="shared" si="7"/>
        <v>761.12433496646759</v>
      </c>
      <c r="I479" s="20">
        <f t="shared" si="2"/>
        <v>45115.030772631588</v>
      </c>
      <c r="J479" s="17">
        <f t="shared" si="8"/>
        <v>4.5115030772631588</v>
      </c>
    </row>
    <row r="480" spans="1:10" ht="12" customHeight="1" x14ac:dyDescent="0.3">
      <c r="A480" s="1">
        <f t="shared" si="3"/>
        <v>44189</v>
      </c>
      <c r="B480" s="20">
        <v>7941.9889502762444</v>
      </c>
      <c r="C480" s="20">
        <f t="shared" si="4"/>
        <v>44422.967211145784</v>
      </c>
      <c r="D480" s="21" t="str">
        <f t="shared" si="0"/>
        <v>201224</v>
      </c>
      <c r="E480" s="22">
        <f t="shared" si="5"/>
        <v>1.6419056986301148</v>
      </c>
      <c r="F480" s="9">
        <f t="shared" si="6"/>
        <v>-1.2564712328767124E-3</v>
      </c>
      <c r="G480" s="14">
        <f t="shared" si="1"/>
        <v>100.15211521571123</v>
      </c>
      <c r="H480" s="24">
        <f t="shared" si="7"/>
        <v>739.90215711233986</v>
      </c>
      <c r="I480" s="20">
        <f t="shared" si="2"/>
        <v>45162.869368258122</v>
      </c>
      <c r="J480" s="17">
        <f t="shared" si="8"/>
        <v>4.5162869368258116</v>
      </c>
    </row>
    <row r="481" spans="1:10" ht="12" customHeight="1" x14ac:dyDescent="0.3">
      <c r="A481" s="1">
        <f t="shared" si="3"/>
        <v>44190</v>
      </c>
      <c r="B481" s="20">
        <v>8011.049723756907</v>
      </c>
      <c r="C481" s="20">
        <f t="shared" si="4"/>
        <v>44492.027984626446</v>
      </c>
      <c r="D481" s="21" t="str">
        <f t="shared" si="0"/>
        <v>201225</v>
      </c>
      <c r="E481" s="22">
        <f t="shared" si="5"/>
        <v>1.6406492273972382</v>
      </c>
      <c r="F481" s="9">
        <f t="shared" si="6"/>
        <v>-1.2564712328767124E-3</v>
      </c>
      <c r="G481" s="14">
        <f t="shared" si="1"/>
        <v>100.14998643206496</v>
      </c>
      <c r="H481" s="24">
        <f t="shared" si="7"/>
        <v>718.61432064963537</v>
      </c>
      <c r="I481" s="20">
        <f t="shared" si="2"/>
        <v>45210.64230527608</v>
      </c>
      <c r="J481" s="17">
        <f t="shared" si="8"/>
        <v>4.5210642305276076</v>
      </c>
    </row>
    <row r="482" spans="1:10" ht="12" customHeight="1" x14ac:dyDescent="0.3">
      <c r="A482" s="1">
        <f t="shared" si="3"/>
        <v>44193</v>
      </c>
      <c r="B482" s="20">
        <v>8218.2320441988941</v>
      </c>
      <c r="C482" s="20">
        <f t="shared" si="4"/>
        <v>44699.210305068431</v>
      </c>
      <c r="D482" s="21" t="str">
        <f t="shared" si="0"/>
        <v>201228</v>
      </c>
      <c r="E482" s="22">
        <f t="shared" si="5"/>
        <v>1.6393927561643615</v>
      </c>
      <c r="F482" s="9">
        <f t="shared" si="6"/>
        <v>-3.7694136986301374E-3</v>
      </c>
      <c r="G482" s="14">
        <f t="shared" si="1"/>
        <v>100.14313192328378</v>
      </c>
      <c r="H482" s="24">
        <f t="shared" si="7"/>
        <v>650.06923283775109</v>
      </c>
      <c r="I482" s="20">
        <f t="shared" si="2"/>
        <v>45349.279537906179</v>
      </c>
      <c r="J482" s="17">
        <f t="shared" si="8"/>
        <v>4.5349279537906177</v>
      </c>
    </row>
    <row r="483" spans="1:10" ht="12" customHeight="1" x14ac:dyDescent="0.3">
      <c r="A483" s="1">
        <f t="shared" si="3"/>
        <v>44194</v>
      </c>
      <c r="B483" s="20">
        <v>8287.2928176795576</v>
      </c>
      <c r="C483" s="20">
        <f t="shared" si="4"/>
        <v>44768.271078549093</v>
      </c>
      <c r="D483" s="21" t="str">
        <f t="shared" si="0"/>
        <v>201229</v>
      </c>
      <c r="E483" s="22">
        <f t="shared" si="5"/>
        <v>1.6356233424657314</v>
      </c>
      <c r="F483" s="9">
        <f t="shared" si="6"/>
        <v>-1.2564712328767124E-3</v>
      </c>
      <c r="G483" s="14">
        <f t="shared" si="1"/>
        <v>100.1414056000021</v>
      </c>
      <c r="H483" s="24">
        <f t="shared" si="7"/>
        <v>632.80600002102005</v>
      </c>
      <c r="I483" s="20">
        <f t="shared" si="2"/>
        <v>45401.07707857011</v>
      </c>
      <c r="J483" s="17">
        <f t="shared" si="8"/>
        <v>4.5401077078570111</v>
      </c>
    </row>
    <row r="484" spans="1:10" ht="12" customHeight="1" x14ac:dyDescent="0.3">
      <c r="A484" s="1">
        <f t="shared" si="3"/>
        <v>44195</v>
      </c>
      <c r="B484" s="20">
        <v>8356.3535911602194</v>
      </c>
      <c r="C484" s="20">
        <f t="shared" si="4"/>
        <v>44837.331852029754</v>
      </c>
      <c r="D484" s="21" t="str">
        <f t="shared" si="0"/>
        <v>201230</v>
      </c>
      <c r="E484" s="22">
        <f t="shared" si="5"/>
        <v>1.6343668712328547</v>
      </c>
      <c r="F484" s="9">
        <f t="shared" si="6"/>
        <v>-1.2564712328767124E-3</v>
      </c>
      <c r="G484" s="14">
        <f t="shared" si="1"/>
        <v>100.13924395792034</v>
      </c>
      <c r="H484" s="24">
        <f t="shared" si="7"/>
        <v>611.18957920342609</v>
      </c>
      <c r="I484" s="20">
        <f t="shared" si="2"/>
        <v>45448.521431233181</v>
      </c>
      <c r="J484" s="17">
        <f t="shared" si="8"/>
        <v>4.5448521431233182</v>
      </c>
    </row>
    <row r="485" spans="1:10" ht="12" customHeight="1" x14ac:dyDescent="0.3">
      <c r="A485" s="1">
        <f t="shared" si="3"/>
        <v>44196</v>
      </c>
      <c r="B485" s="20">
        <v>8425.4143646408847</v>
      </c>
      <c r="C485" s="20">
        <f t="shared" si="4"/>
        <v>44906.392625510416</v>
      </c>
      <c r="D485" s="21" t="str">
        <f t="shared" si="0"/>
        <v>201231</v>
      </c>
      <c r="E485" s="22">
        <f t="shared" si="5"/>
        <v>1.6331103999999781</v>
      </c>
      <c r="F485" s="9">
        <f t="shared" si="6"/>
        <v>-1.2564712328767124E-3</v>
      </c>
      <c r="G485" s="14">
        <f t="shared" si="1"/>
        <v>100.13707573834185</v>
      </c>
      <c r="H485" s="24">
        <f t="shared" si="7"/>
        <v>589.50738341849274</v>
      </c>
      <c r="I485" s="20">
        <f t="shared" si="2"/>
        <v>45495.900008928911</v>
      </c>
      <c r="J485" s="17">
        <f t="shared" si="8"/>
        <v>4.5495900008928913</v>
      </c>
    </row>
    <row r="486" spans="1:10" ht="12" customHeight="1" x14ac:dyDescent="0.3">
      <c r="A486" s="1">
        <f t="shared" si="3"/>
        <v>44197</v>
      </c>
      <c r="B486" s="20">
        <v>8494.4751381215483</v>
      </c>
      <c r="C486" s="20">
        <f t="shared" si="4"/>
        <v>44975.453398991078</v>
      </c>
      <c r="D486" s="21" t="str">
        <f t="shared" si="0"/>
        <v>210101</v>
      </c>
      <c r="E486" s="22">
        <f t="shared" si="5"/>
        <v>1.6318539287671014</v>
      </c>
      <c r="F486" s="9">
        <f t="shared" si="6"/>
        <v>-1.2564712328767124E-3</v>
      </c>
      <c r="G486" s="14">
        <f t="shared" si="1"/>
        <v>100.13490093933565</v>
      </c>
      <c r="H486" s="24">
        <f t="shared" si="7"/>
        <v>567.7593933565106</v>
      </c>
      <c r="I486" s="20">
        <f t="shared" si="2"/>
        <v>45543.212792347585</v>
      </c>
      <c r="J486" s="17">
        <f t="shared" si="8"/>
        <v>4.5543212792347587</v>
      </c>
    </row>
    <row r="487" spans="1:10" ht="12" customHeight="1" x14ac:dyDescent="0.3">
      <c r="A487" s="1">
        <f t="shared" si="3"/>
        <v>44200</v>
      </c>
      <c r="B487" s="20">
        <v>8701.6574585635371</v>
      </c>
      <c r="C487" s="20">
        <f t="shared" si="4"/>
        <v>45182.635719433063</v>
      </c>
      <c r="D487" s="21" t="str">
        <f t="shared" si="0"/>
        <v>210104</v>
      </c>
      <c r="E487" s="22">
        <f t="shared" si="5"/>
        <v>1.6305974575342248</v>
      </c>
      <c r="F487" s="9">
        <f t="shared" si="6"/>
        <v>-3.7694136986301374E-3</v>
      </c>
      <c r="G487" s="14">
        <f t="shared" si="1"/>
        <v>100.12795725205204</v>
      </c>
      <c r="H487" s="24">
        <f t="shared" si="7"/>
        <v>498.32252052041781</v>
      </c>
      <c r="I487" s="20">
        <f t="shared" si="2"/>
        <v>45680.958239953477</v>
      </c>
      <c r="J487" s="17">
        <f t="shared" si="8"/>
        <v>4.5680958239953471</v>
      </c>
    </row>
    <row r="488" spans="1:10" ht="12" customHeight="1" x14ac:dyDescent="0.3">
      <c r="A488" s="1">
        <f t="shared" si="3"/>
        <v>44201</v>
      </c>
      <c r="B488" s="20">
        <v>8770.7182320441989</v>
      </c>
      <c r="C488" s="20">
        <f t="shared" si="4"/>
        <v>45251.696492913725</v>
      </c>
      <c r="D488" s="21" t="str">
        <f t="shared" si="0"/>
        <v>210105</v>
      </c>
      <c r="E488" s="22">
        <f t="shared" si="5"/>
        <v>1.6268280438355947</v>
      </c>
      <c r="F488" s="9">
        <f t="shared" si="6"/>
        <v>-1.2564712328767124E-3</v>
      </c>
      <c r="G488" s="14">
        <f t="shared" si="1"/>
        <v>100.1261359104973</v>
      </c>
      <c r="H488" s="24">
        <f t="shared" si="7"/>
        <v>480.10910497296777</v>
      </c>
      <c r="I488" s="20">
        <f t="shared" si="2"/>
        <v>45731.805597886691</v>
      </c>
      <c r="J488" s="17">
        <f t="shared" si="8"/>
        <v>4.5731805597886694</v>
      </c>
    </row>
    <row r="489" spans="1:10" ht="12" customHeight="1" x14ac:dyDescent="0.3">
      <c r="A489" s="1">
        <f t="shared" si="3"/>
        <v>44202</v>
      </c>
      <c r="B489" s="20">
        <v>8839.7790055248624</v>
      </c>
      <c r="C489" s="20">
        <f t="shared" si="4"/>
        <v>45320.757266394387</v>
      </c>
      <c r="D489" s="21" t="str">
        <f t="shared" si="0"/>
        <v>210106</v>
      </c>
      <c r="E489" s="22">
        <f t="shared" si="5"/>
        <v>1.625571572602718</v>
      </c>
      <c r="F489" s="9">
        <f t="shared" si="6"/>
        <v>-1.2564712328767124E-3</v>
      </c>
      <c r="G489" s="14">
        <f t="shared" si="1"/>
        <v>100.12392818547114</v>
      </c>
      <c r="H489" s="24">
        <f t="shared" si="7"/>
        <v>458.03185471143593</v>
      </c>
      <c r="I489" s="20">
        <f t="shared" si="2"/>
        <v>45778.789121105823</v>
      </c>
      <c r="J489" s="17">
        <f t="shared" si="8"/>
        <v>4.5778789121105818</v>
      </c>
    </row>
    <row r="490" spans="1:10" ht="12" customHeight="1" x14ac:dyDescent="0.3">
      <c r="A490" s="1">
        <f t="shared" si="3"/>
        <v>44203</v>
      </c>
      <c r="B490" s="20">
        <v>8908.8397790055242</v>
      </c>
      <c r="C490" s="20">
        <f t="shared" si="4"/>
        <v>45389.818039875048</v>
      </c>
      <c r="D490" s="21" t="str">
        <f t="shared" si="0"/>
        <v>210107</v>
      </c>
      <c r="E490" s="22">
        <f t="shared" si="5"/>
        <v>1.6243151013698414</v>
      </c>
      <c r="F490" s="9">
        <f t="shared" si="6"/>
        <v>-1.2564712328767124E-3</v>
      </c>
      <c r="G490" s="14">
        <f t="shared" si="1"/>
        <v>100.12171386948144</v>
      </c>
      <c r="H490" s="24">
        <f t="shared" si="7"/>
        <v>435.88869481439474</v>
      </c>
      <c r="I490" s="20">
        <f t="shared" si="2"/>
        <v>45825.70673468944</v>
      </c>
      <c r="J490" s="17">
        <f t="shared" si="8"/>
        <v>4.5825706734689442</v>
      </c>
    </row>
    <row r="491" spans="1:10" ht="12" customHeight="1" x14ac:dyDescent="0.3">
      <c r="A491" s="1">
        <f t="shared" si="3"/>
        <v>44204</v>
      </c>
      <c r="B491" s="20">
        <v>8977.9005524861877</v>
      </c>
      <c r="C491" s="20">
        <f t="shared" si="4"/>
        <v>45458.87881335571</v>
      </c>
      <c r="D491" s="21" t="str">
        <f t="shared" si="0"/>
        <v>210108</v>
      </c>
      <c r="E491" s="22">
        <f t="shared" si="5"/>
        <v>1.6230586301369647</v>
      </c>
      <c r="F491" s="9">
        <f t="shared" si="6"/>
        <v>-1.2564712328767124E-3</v>
      </c>
      <c r="G491" s="14">
        <f t="shared" si="1"/>
        <v>100.11949296061393</v>
      </c>
      <c r="H491" s="24">
        <f t="shared" si="7"/>
        <v>413.67960613925447</v>
      </c>
      <c r="I491" s="20">
        <f t="shared" si="2"/>
        <v>45872.558419494962</v>
      </c>
      <c r="J491" s="17">
        <f t="shared" si="8"/>
        <v>4.5872558419494958</v>
      </c>
    </row>
    <row r="492" spans="1:10" ht="12" customHeight="1" x14ac:dyDescent="0.3">
      <c r="A492" s="1">
        <f t="shared" si="3"/>
        <v>44207</v>
      </c>
      <c r="B492" s="20">
        <v>9185.0828729281766</v>
      </c>
      <c r="C492" s="20">
        <f t="shared" si="4"/>
        <v>45666.061133797702</v>
      </c>
      <c r="D492" s="21" t="str">
        <f t="shared" si="0"/>
        <v>210111</v>
      </c>
      <c r="E492" s="22">
        <f t="shared" si="5"/>
        <v>1.6218021589040881</v>
      </c>
      <c r="F492" s="9">
        <f t="shared" si="6"/>
        <v>-3.7694136986301374E-3</v>
      </c>
      <c r="G492" s="14">
        <f t="shared" si="1"/>
        <v>100.1124598792004</v>
      </c>
      <c r="H492" s="24">
        <f t="shared" si="7"/>
        <v>343.34879200400792</v>
      </c>
      <c r="I492" s="20">
        <f t="shared" si="2"/>
        <v>46009.409925801709</v>
      </c>
      <c r="J492" s="17">
        <f t="shared" si="8"/>
        <v>4.6009409925801705</v>
      </c>
    </row>
    <row r="493" spans="1:10" ht="12" customHeight="1" x14ac:dyDescent="0.3">
      <c r="A493" s="1">
        <f t="shared" si="3"/>
        <v>44208</v>
      </c>
      <c r="B493" s="20">
        <v>9254.1436464088401</v>
      </c>
      <c r="C493" s="20">
        <f t="shared" si="4"/>
        <v>45735.121907278364</v>
      </c>
      <c r="D493" s="21" t="str">
        <f t="shared" si="0"/>
        <v>210112</v>
      </c>
      <c r="E493" s="22">
        <f t="shared" si="5"/>
        <v>1.6180327452054579</v>
      </c>
      <c r="F493" s="9">
        <f t="shared" si="6"/>
        <v>-1.2564712328767124E-3</v>
      </c>
      <c r="G493" s="14">
        <f t="shared" si="1"/>
        <v>100.11054335816441</v>
      </c>
      <c r="H493" s="24">
        <f t="shared" si="7"/>
        <v>324.18358164406413</v>
      </c>
      <c r="I493" s="20">
        <f t="shared" si="2"/>
        <v>46059.30548892243</v>
      </c>
      <c r="J493" s="17">
        <f t="shared" si="8"/>
        <v>4.6059305488922435</v>
      </c>
    </row>
    <row r="494" spans="1:10" ht="12" customHeight="1" x14ac:dyDescent="0.3">
      <c r="A494" s="1">
        <f t="shared" si="3"/>
        <v>44209</v>
      </c>
      <c r="B494" s="20">
        <v>9323.2044198895019</v>
      </c>
      <c r="C494" s="20">
        <f t="shared" si="4"/>
        <v>45804.182680759026</v>
      </c>
      <c r="D494" s="21" t="str">
        <f t="shared" si="0"/>
        <v>210113</v>
      </c>
      <c r="E494" s="22">
        <f t="shared" si="5"/>
        <v>1.6167762739725813</v>
      </c>
      <c r="F494" s="9">
        <f t="shared" si="6"/>
        <v>-1.2564712328767124E-3</v>
      </c>
      <c r="G494" s="14">
        <f t="shared" si="1"/>
        <v>100.10828945627783</v>
      </c>
      <c r="H494" s="24">
        <f t="shared" si="7"/>
        <v>301.64456277830709</v>
      </c>
      <c r="I494" s="20">
        <f t="shared" si="2"/>
        <v>46105.827243537336</v>
      </c>
      <c r="J494" s="17">
        <f t="shared" si="8"/>
        <v>4.6105827243537334</v>
      </c>
    </row>
    <row r="495" spans="1:10" ht="12" customHeight="1" x14ac:dyDescent="0.3">
      <c r="A495" s="1">
        <f t="shared" si="3"/>
        <v>44210</v>
      </c>
      <c r="B495" s="20">
        <v>9392.2651933701654</v>
      </c>
      <c r="C495" s="20">
        <f t="shared" si="4"/>
        <v>45873.243454239688</v>
      </c>
      <c r="D495" s="21" t="str">
        <f t="shared" si="0"/>
        <v>210114</v>
      </c>
      <c r="E495" s="22">
        <f t="shared" si="5"/>
        <v>1.6155198027397046</v>
      </c>
      <c r="F495" s="9">
        <f t="shared" si="6"/>
        <v>-1.2564712328767124E-3</v>
      </c>
      <c r="G495" s="14">
        <f t="shared" si="1"/>
        <v>100.10602895007825</v>
      </c>
      <c r="H495" s="24">
        <f t="shared" si="7"/>
        <v>279.03950078254525</v>
      </c>
      <c r="I495" s="20">
        <f t="shared" si="2"/>
        <v>46152.28295502223</v>
      </c>
      <c r="J495" s="17">
        <f t="shared" si="8"/>
        <v>4.6152282955022228</v>
      </c>
    </row>
    <row r="496" spans="1:10" ht="12" customHeight="1" x14ac:dyDescent="0.3">
      <c r="A496" s="1">
        <f t="shared" si="3"/>
        <v>44211</v>
      </c>
      <c r="B496" s="20">
        <v>9461.325966850829</v>
      </c>
      <c r="C496" s="20">
        <f t="shared" si="4"/>
        <v>45942.304227720349</v>
      </c>
      <c r="D496" s="21" t="str">
        <f t="shared" si="0"/>
        <v>210115</v>
      </c>
      <c r="E496" s="22">
        <f t="shared" si="5"/>
        <v>1.614263331506828</v>
      </c>
      <c r="F496" s="9">
        <f t="shared" si="6"/>
        <v>-1.2564712328767124E-3</v>
      </c>
      <c r="G496" s="14">
        <f t="shared" si="1"/>
        <v>100.10376183766822</v>
      </c>
      <c r="H496" s="24">
        <f t="shared" si="7"/>
        <v>256.36837668216117</v>
      </c>
      <c r="I496" s="20">
        <f t="shared" si="2"/>
        <v>46198.672604402513</v>
      </c>
      <c r="J496" s="17">
        <f t="shared" si="8"/>
        <v>4.6198672604402509</v>
      </c>
    </row>
    <row r="497" spans="1:10" ht="12" customHeight="1" x14ac:dyDescent="0.3">
      <c r="A497" s="1">
        <f t="shared" si="3"/>
        <v>44214</v>
      </c>
      <c r="B497" s="20">
        <v>9668.5082872928197</v>
      </c>
      <c r="C497" s="20">
        <f t="shared" si="4"/>
        <v>46149.486548162342</v>
      </c>
      <c r="D497" s="21" t="str">
        <f t="shared" si="0"/>
        <v>210118</v>
      </c>
      <c r="E497" s="22">
        <f t="shared" si="5"/>
        <v>1.6130068602739513</v>
      </c>
      <c r="F497" s="9">
        <f t="shared" si="6"/>
        <v>-3.7694136986301374E-3</v>
      </c>
      <c r="G497" s="14">
        <f t="shared" si="1"/>
        <v>100.09663914805517</v>
      </c>
      <c r="H497" s="24">
        <f t="shared" si="7"/>
        <v>185.14148055174925</v>
      </c>
      <c r="I497" s="20">
        <f t="shared" si="2"/>
        <v>46334.628028714091</v>
      </c>
      <c r="J497" s="17">
        <f t="shared" si="8"/>
        <v>4.6334628028714091</v>
      </c>
    </row>
    <row r="498" spans="1:10" ht="12" customHeight="1" x14ac:dyDescent="0.3">
      <c r="A498" s="1">
        <f t="shared" si="3"/>
        <v>44215</v>
      </c>
      <c r="B498" s="20">
        <v>9737.5690607734814</v>
      </c>
      <c r="C498" s="20">
        <f t="shared" si="4"/>
        <v>46218.547321643004</v>
      </c>
      <c r="D498" s="21" t="str">
        <f t="shared" si="0"/>
        <v>210119</v>
      </c>
      <c r="E498" s="22">
        <f t="shared" si="5"/>
        <v>1.6092374465753212</v>
      </c>
      <c r="F498" s="9">
        <f t="shared" si="6"/>
        <v>-1.2564712328767124E-3</v>
      </c>
      <c r="G498" s="14">
        <f t="shared" si="1"/>
        <v>100.094627288059</v>
      </c>
      <c r="H498" s="24">
        <f t="shared" si="7"/>
        <v>165.02288059001555</v>
      </c>
      <c r="I498" s="20">
        <f t="shared" si="2"/>
        <v>46383.570202233022</v>
      </c>
      <c r="J498" s="17">
        <f t="shared" si="8"/>
        <v>4.6383570202233022</v>
      </c>
    </row>
    <row r="499" spans="1:10" ht="12" customHeight="1" x14ac:dyDescent="0.3">
      <c r="A499" s="1">
        <f t="shared" si="3"/>
        <v>44216</v>
      </c>
      <c r="B499" s="20">
        <v>9806.6298342541431</v>
      </c>
      <c r="C499" s="20">
        <f t="shared" si="4"/>
        <v>46287.608095123665</v>
      </c>
      <c r="D499" s="21" t="str">
        <f t="shared" si="0"/>
        <v>210120</v>
      </c>
      <c r="E499" s="22">
        <f t="shared" si="5"/>
        <v>1.6079809753424446</v>
      </c>
      <c r="F499" s="9">
        <f t="shared" si="6"/>
        <v>-1.2564712328767124E-3</v>
      </c>
      <c r="G499" s="14">
        <f t="shared" si="1"/>
        <v>100.09232711621941</v>
      </c>
      <c r="H499" s="24">
        <f t="shared" si="7"/>
        <v>142.02116219408367</v>
      </c>
      <c r="I499" s="20">
        <f t="shared" si="2"/>
        <v>46429.629257317749</v>
      </c>
      <c r="J499" s="17">
        <f t="shared" si="8"/>
        <v>4.6429629257317746</v>
      </c>
    </row>
    <row r="500" spans="1:10" ht="12" customHeight="1" x14ac:dyDescent="0.3">
      <c r="A500" s="1">
        <f t="shared" si="3"/>
        <v>44217</v>
      </c>
      <c r="B500" s="20">
        <v>9875.6906077348049</v>
      </c>
      <c r="C500" s="20">
        <f t="shared" si="4"/>
        <v>46356.668868604327</v>
      </c>
      <c r="D500" s="21" t="str">
        <f t="shared" si="0"/>
        <v>210121</v>
      </c>
      <c r="E500" s="22">
        <f t="shared" si="5"/>
        <v>1.6067245041095679</v>
      </c>
      <c r="F500" s="9">
        <f t="shared" si="6"/>
        <v>-1.2564712328767124E-3</v>
      </c>
      <c r="G500" s="14">
        <f t="shared" si="1"/>
        <v>100.09002032683536</v>
      </c>
      <c r="H500" s="24">
        <f t="shared" si="7"/>
        <v>118.95326835357879</v>
      </c>
      <c r="I500" s="20">
        <f t="shared" si="2"/>
        <v>46475.622136957907</v>
      </c>
      <c r="J500" s="17">
        <f t="shared" si="8"/>
        <v>4.6475622136957906</v>
      </c>
    </row>
    <row r="501" spans="1:10" ht="12" customHeight="1" x14ac:dyDescent="0.3">
      <c r="A501" s="1">
        <f t="shared" si="3"/>
        <v>44218</v>
      </c>
      <c r="B501" s="20">
        <v>9944.7513812154684</v>
      </c>
      <c r="C501" s="20">
        <f t="shared" si="4"/>
        <v>46425.729642084989</v>
      </c>
      <c r="D501" s="21" t="str">
        <f t="shared" si="0"/>
        <v>210122</v>
      </c>
      <c r="E501" s="22">
        <f t="shared" si="5"/>
        <v>1.6054680328766913</v>
      </c>
      <c r="F501" s="9">
        <f t="shared" si="6"/>
        <v>-1.2564712328767124E-3</v>
      </c>
      <c r="G501" s="14">
        <f t="shared" si="1"/>
        <v>100.0877069180263</v>
      </c>
      <c r="H501" s="24">
        <f t="shared" si="7"/>
        <v>95.819180262992631</v>
      </c>
      <c r="I501" s="20">
        <f t="shared" si="2"/>
        <v>46521.548822347984</v>
      </c>
      <c r="J501" s="17">
        <f t="shared" si="8"/>
        <v>4.6521548822347984</v>
      </c>
    </row>
    <row r="502" spans="1:10" ht="12" customHeight="1" x14ac:dyDescent="0.3">
      <c r="A502" s="1">
        <f t="shared" si="3"/>
        <v>44221</v>
      </c>
      <c r="B502" s="20">
        <v>10151.933701657459</v>
      </c>
      <c r="C502" s="20">
        <f t="shared" si="4"/>
        <v>46632.911962526981</v>
      </c>
      <c r="D502" s="21" t="str">
        <f t="shared" si="0"/>
        <v>210125</v>
      </c>
      <c r="E502" s="22">
        <f t="shared" si="5"/>
        <v>1.6042115616438146</v>
      </c>
      <c r="F502" s="9">
        <f t="shared" si="6"/>
        <v>-3.7694136986301374E-3</v>
      </c>
      <c r="G502" s="14">
        <f t="shared" si="1"/>
        <v>100.08049440771192</v>
      </c>
      <c r="H502" s="24">
        <f t="shared" si="7"/>
        <v>23.694077119245094</v>
      </c>
      <c r="I502" s="20">
        <f t="shared" si="2"/>
        <v>46656.606039646227</v>
      </c>
      <c r="J502" s="17">
        <f t="shared" si="8"/>
        <v>4.6656606039646231</v>
      </c>
    </row>
    <row r="503" spans="1:10" ht="12" customHeight="1" x14ac:dyDescent="0.3">
      <c r="A503" s="1">
        <f t="shared" si="3"/>
        <v>44222</v>
      </c>
      <c r="B503" s="20">
        <v>10220.994475138121</v>
      </c>
      <c r="C503" s="20">
        <f t="shared" si="4"/>
        <v>46701.972736007643</v>
      </c>
      <c r="D503" s="21" t="str">
        <f t="shared" si="0"/>
        <v>210126</v>
      </c>
      <c r="E503" s="22">
        <f t="shared" si="5"/>
        <v>1.6004421479451845</v>
      </c>
      <c r="F503" s="9">
        <f t="shared" si="6"/>
        <v>-1.2564712328767124E-3</v>
      </c>
      <c r="G503" s="14">
        <f t="shared" si="1"/>
        <v>100.07838705101415</v>
      </c>
      <c r="H503" s="24">
        <f t="shared" si="7"/>
        <v>2.6205101414689125</v>
      </c>
      <c r="I503" s="20">
        <f t="shared" si="2"/>
        <v>46704.59324614911</v>
      </c>
      <c r="J503" s="17">
        <f t="shared" si="8"/>
        <v>4.6704593246149111</v>
      </c>
    </row>
    <row r="504" spans="1:10" ht="12" customHeight="1" x14ac:dyDescent="0.3">
      <c r="A504" s="1">
        <f t="shared" si="3"/>
        <v>44223</v>
      </c>
      <c r="B504" s="20">
        <v>10290.055248618786</v>
      </c>
      <c r="C504" s="20">
        <f t="shared" si="4"/>
        <v>46771.033509488305</v>
      </c>
      <c r="D504" s="21" t="str">
        <f t="shared" si="0"/>
        <v>210127</v>
      </c>
      <c r="E504" s="22">
        <f t="shared" si="5"/>
        <v>1.5991856767123078</v>
      </c>
      <c r="F504" s="9">
        <f t="shared" si="6"/>
        <v>-1.2564712328767124E-3</v>
      </c>
      <c r="G504" s="14">
        <f t="shared" si="1"/>
        <v>100.07604051695687</v>
      </c>
      <c r="H504" s="24">
        <f t="shared" si="7"/>
        <v>-20.844830431343553</v>
      </c>
      <c r="I504" s="20">
        <f t="shared" si="2"/>
        <v>46750.188679056962</v>
      </c>
      <c r="J504" s="17">
        <f t="shared" si="8"/>
        <v>4.6750188679056963</v>
      </c>
    </row>
    <row r="505" spans="1:10" ht="12" customHeight="1" x14ac:dyDescent="0.3">
      <c r="A505" s="1">
        <f t="shared" si="3"/>
        <v>44224</v>
      </c>
      <c r="B505" s="20">
        <v>10359.116022099448</v>
      </c>
      <c r="C505" s="20">
        <f t="shared" si="4"/>
        <v>46840.094282968967</v>
      </c>
      <c r="D505" s="21" t="str">
        <f t="shared" si="0"/>
        <v>210128</v>
      </c>
      <c r="E505" s="22">
        <f t="shared" si="5"/>
        <v>1.5979292054794312</v>
      </c>
      <c r="F505" s="9">
        <f t="shared" si="6"/>
        <v>-1.2564712328767124E-3</v>
      </c>
      <c r="G505" s="14">
        <f t="shared" si="1"/>
        <v>100.07368735224232</v>
      </c>
      <c r="H505" s="24">
        <f t="shared" si="7"/>
        <v>-44.37647757683294</v>
      </c>
      <c r="I505" s="20">
        <f t="shared" si="2"/>
        <v>46795.717805392131</v>
      </c>
      <c r="J505" s="17">
        <f t="shared" si="8"/>
        <v>4.679571780539213</v>
      </c>
    </row>
    <row r="506" spans="1:10" ht="12" customHeight="1" x14ac:dyDescent="0.3">
      <c r="A506" s="1">
        <f t="shared" si="3"/>
        <v>44225</v>
      </c>
      <c r="B506" s="20">
        <v>10428.176795580112</v>
      </c>
      <c r="C506" s="20">
        <f t="shared" si="4"/>
        <v>46909.155056449628</v>
      </c>
      <c r="D506" s="21" t="str">
        <f t="shared" si="0"/>
        <v>210129</v>
      </c>
      <c r="E506" s="22">
        <f t="shared" si="5"/>
        <v>1.5966727342465545</v>
      </c>
      <c r="F506" s="9">
        <f t="shared" si="6"/>
        <v>-1.2564712328767124E-3</v>
      </c>
      <c r="G506" s="14">
        <f t="shared" si="1"/>
        <v>100.07132755500696</v>
      </c>
      <c r="H506" s="24">
        <f t="shared" si="7"/>
        <v>-67.97444993040358</v>
      </c>
      <c r="I506" s="20">
        <f t="shared" si="2"/>
        <v>46841.180606519221</v>
      </c>
      <c r="J506" s="17">
        <f t="shared" si="8"/>
        <v>4.6841180606519224</v>
      </c>
    </row>
    <row r="507" spans="1:10" ht="12" customHeight="1" x14ac:dyDescent="0.3">
      <c r="A507" s="1">
        <f t="shared" si="3"/>
        <v>44228</v>
      </c>
      <c r="B507" s="20">
        <v>10635.3591160221</v>
      </c>
      <c r="C507" s="20">
        <f t="shared" si="4"/>
        <v>47116.337376891621</v>
      </c>
      <c r="D507" s="21" t="str">
        <f t="shared" si="0"/>
        <v>210201</v>
      </c>
      <c r="E507" s="22">
        <f t="shared" si="5"/>
        <v>1.5954162630136779</v>
      </c>
      <c r="F507" s="9">
        <f t="shared" si="6"/>
        <v>-3.7694136986301374E-3</v>
      </c>
      <c r="G507" s="14">
        <f t="shared" si="1"/>
        <v>100.0640250130668</v>
      </c>
      <c r="H507" s="24">
        <f t="shared" si="7"/>
        <v>-140.99986933203468</v>
      </c>
      <c r="I507" s="20">
        <f t="shared" si="2"/>
        <v>46975.337507559583</v>
      </c>
      <c r="J507" s="17">
        <f t="shared" si="8"/>
        <v>4.6975337507559587</v>
      </c>
    </row>
    <row r="508" spans="1:10" ht="12" customHeight="1" x14ac:dyDescent="0.3">
      <c r="A508" s="1">
        <f t="shared" si="3"/>
        <v>44229</v>
      </c>
      <c r="B508" s="20">
        <v>10704.419889502762</v>
      </c>
      <c r="C508" s="20">
        <f t="shared" si="4"/>
        <v>47185.398150372283</v>
      </c>
      <c r="D508" s="21" t="str">
        <f t="shared" si="0"/>
        <v>210202</v>
      </c>
      <c r="E508" s="22">
        <f t="shared" si="5"/>
        <v>1.5916468493150477</v>
      </c>
      <c r="F508" s="9">
        <f t="shared" si="6"/>
        <v>-1.2564712328767124E-3</v>
      </c>
      <c r="G508" s="14">
        <f t="shared" si="1"/>
        <v>100.06182200367186</v>
      </c>
      <c r="H508" s="24">
        <f t="shared" si="7"/>
        <v>-163.02996328136032</v>
      </c>
      <c r="I508" s="20">
        <f t="shared" si="2"/>
        <v>47022.36818709092</v>
      </c>
      <c r="J508" s="17">
        <f t="shared" si="8"/>
        <v>4.7022368187090917</v>
      </c>
    </row>
    <row r="509" spans="1:10" ht="12" customHeight="1" x14ac:dyDescent="0.3">
      <c r="A509" s="1">
        <f t="shared" si="3"/>
        <v>44230</v>
      </c>
      <c r="B509" s="20">
        <v>10773.480662983426</v>
      </c>
      <c r="C509" s="20">
        <f t="shared" si="4"/>
        <v>47254.458923852944</v>
      </c>
      <c r="D509" s="21" t="str">
        <f t="shared" si="0"/>
        <v>210203</v>
      </c>
      <c r="E509" s="22">
        <f t="shared" si="5"/>
        <v>1.5903903780821711</v>
      </c>
      <c r="F509" s="9">
        <f t="shared" si="6"/>
        <v>-1.2564712328767124E-3</v>
      </c>
      <c r="G509" s="14">
        <f t="shared" si="1"/>
        <v>100.05942901596468</v>
      </c>
      <c r="H509" s="24">
        <f t="shared" si="7"/>
        <v>-186.95984035318247</v>
      </c>
      <c r="I509" s="20">
        <f t="shared" si="2"/>
        <v>47067.499083499759</v>
      </c>
      <c r="J509" s="17">
        <f t="shared" si="8"/>
        <v>4.706749908349976</v>
      </c>
    </row>
    <row r="510" spans="1:10" ht="12" customHeight="1" x14ac:dyDescent="0.3">
      <c r="A510" s="1">
        <f t="shared" si="3"/>
        <v>44231</v>
      </c>
      <c r="B510" s="20">
        <v>10842.541436464087</v>
      </c>
      <c r="C510" s="20">
        <f t="shared" si="4"/>
        <v>47323.519697333606</v>
      </c>
      <c r="D510" s="21" t="str">
        <f t="shared" si="0"/>
        <v>210204</v>
      </c>
      <c r="E510" s="22">
        <f t="shared" si="5"/>
        <v>1.5891339068492945</v>
      </c>
      <c r="F510" s="9">
        <f t="shared" si="6"/>
        <v>-1.2564712328767124E-3</v>
      </c>
      <c r="G510" s="14">
        <f t="shared" si="1"/>
        <v>100.05702938460669</v>
      </c>
      <c r="H510" s="24">
        <f t="shared" si="7"/>
        <v>-210.95615393306841</v>
      </c>
      <c r="I510" s="20">
        <f t="shared" si="2"/>
        <v>47112.563543400538</v>
      </c>
      <c r="J510" s="17">
        <f t="shared" si="8"/>
        <v>4.7112563543400539</v>
      </c>
    </row>
    <row r="511" spans="1:10" ht="12" customHeight="1" x14ac:dyDescent="0.3">
      <c r="A511" s="1">
        <f t="shared" si="3"/>
        <v>44232</v>
      </c>
      <c r="B511" s="20">
        <v>10911.602209944751</v>
      </c>
      <c r="C511" s="20">
        <f t="shared" si="4"/>
        <v>47392.580470814268</v>
      </c>
      <c r="D511" s="21" t="str">
        <f t="shared" si="0"/>
        <v>210205</v>
      </c>
      <c r="E511" s="22">
        <f t="shared" si="5"/>
        <v>1.5878774356164178</v>
      </c>
      <c r="F511" s="9">
        <f t="shared" si="6"/>
        <v>-1.2564712328767124E-3</v>
      </c>
      <c r="G511" s="14">
        <f t="shared" si="1"/>
        <v>100.0546231077514</v>
      </c>
      <c r="H511" s="24">
        <f t="shared" si="7"/>
        <v>-235.0189224860344</v>
      </c>
      <c r="I511" s="20">
        <f t="shared" si="2"/>
        <v>47157.561548328231</v>
      </c>
      <c r="J511" s="17">
        <f t="shared" si="8"/>
        <v>4.7157561548328228</v>
      </c>
    </row>
    <row r="512" spans="1:10" ht="12" customHeight="1" x14ac:dyDescent="0.3">
      <c r="A512" s="1">
        <f t="shared" si="3"/>
        <v>44235</v>
      </c>
      <c r="B512" s="20">
        <v>11118.784530386742</v>
      </c>
      <c r="C512" s="20">
        <f t="shared" si="4"/>
        <v>47599.76279125626</v>
      </c>
      <c r="D512" s="21" t="str">
        <f t="shared" si="0"/>
        <v>210208</v>
      </c>
      <c r="E512" s="22">
        <f t="shared" si="5"/>
        <v>1.5866209643835412</v>
      </c>
      <c r="F512" s="9">
        <f t="shared" si="6"/>
        <v>-3.7694136986301374E-3</v>
      </c>
      <c r="G512" s="14">
        <f t="shared" si="1"/>
        <v>100.04723032484809</v>
      </c>
      <c r="H512" s="24">
        <f t="shared" si="7"/>
        <v>-308.9467515191302</v>
      </c>
      <c r="I512" s="20">
        <f t="shared" si="2"/>
        <v>47290.816039737132</v>
      </c>
      <c r="J512" s="17">
        <f t="shared" si="8"/>
        <v>4.7290816039737127</v>
      </c>
    </row>
    <row r="513" spans="1:11" ht="12" customHeight="1" x14ac:dyDescent="0.3">
      <c r="A513" s="1">
        <f t="shared" si="3"/>
        <v>44236</v>
      </c>
      <c r="B513" s="20">
        <v>11187.845303867403</v>
      </c>
      <c r="C513" s="20">
        <f t="shared" si="4"/>
        <v>47668.823564736922</v>
      </c>
      <c r="D513" s="21" t="str">
        <f t="shared" si="0"/>
        <v>210209</v>
      </c>
      <c r="E513" s="22">
        <f t="shared" si="5"/>
        <v>1.582851550684911</v>
      </c>
      <c r="F513" s="9">
        <f t="shared" si="6"/>
        <v>-1.2564712328767124E-3</v>
      </c>
      <c r="G513" s="14">
        <f t="shared" si="1"/>
        <v>100.04493150851452</v>
      </c>
      <c r="H513" s="24">
        <f t="shared" si="7"/>
        <v>-331.93491485477011</v>
      </c>
      <c r="I513" s="20">
        <f t="shared" si="2"/>
        <v>47336.888649882152</v>
      </c>
      <c r="J513" s="17">
        <f t="shared" si="8"/>
        <v>4.7336888649882152</v>
      </c>
    </row>
    <row r="514" spans="1:11" ht="12" customHeight="1" x14ac:dyDescent="0.3">
      <c r="A514" s="1">
        <f t="shared" si="3"/>
        <v>44237</v>
      </c>
      <c r="B514" s="20">
        <v>11256.906077348067</v>
      </c>
      <c r="C514" s="20">
        <f t="shared" si="4"/>
        <v>47737.884338217584</v>
      </c>
      <c r="D514" s="21" t="str">
        <f t="shared" si="0"/>
        <v>210210</v>
      </c>
      <c r="E514" s="22">
        <f t="shared" si="5"/>
        <v>1.5815950794520344</v>
      </c>
      <c r="F514" s="9">
        <f t="shared" si="6"/>
        <v>-1.2564712328767124E-3</v>
      </c>
      <c r="G514" s="14">
        <f t="shared" si="1"/>
        <v>100.04249197656205</v>
      </c>
      <c r="H514" s="24">
        <f t="shared" si="7"/>
        <v>-356.33023437952716</v>
      </c>
      <c r="I514" s="20">
        <f t="shared" si="2"/>
        <v>47381.554103838054</v>
      </c>
      <c r="J514" s="17">
        <f t="shared" si="8"/>
        <v>4.7381554103838059</v>
      </c>
    </row>
    <row r="515" spans="1:11" ht="12" customHeight="1" x14ac:dyDescent="0.3">
      <c r="A515" s="1">
        <f t="shared" si="3"/>
        <v>44238</v>
      </c>
      <c r="B515" s="20">
        <v>11325.96685082873</v>
      </c>
      <c r="C515" s="20">
        <f t="shared" si="4"/>
        <v>47806.945111698245</v>
      </c>
      <c r="D515" s="21" t="str">
        <f t="shared" si="0"/>
        <v>210211</v>
      </c>
      <c r="E515" s="22">
        <f t="shared" si="5"/>
        <v>1.5803386082191577</v>
      </c>
      <c r="F515" s="9">
        <f t="shared" si="6"/>
        <v>-1.2564712328767124E-3</v>
      </c>
      <c r="G515" s="14">
        <f t="shared" si="1"/>
        <v>100.04004578808511</v>
      </c>
      <c r="H515" s="24">
        <f t="shared" si="7"/>
        <v>-380.7921191489072</v>
      </c>
      <c r="I515" s="20">
        <f t="shared" si="2"/>
        <v>47426.152992549338</v>
      </c>
      <c r="J515" s="17">
        <f t="shared" si="8"/>
        <v>4.7426152992549344</v>
      </c>
    </row>
    <row r="516" spans="1:11" ht="12" customHeight="1" x14ac:dyDescent="0.3">
      <c r="A516" s="1">
        <f t="shared" si="3"/>
        <v>44239</v>
      </c>
      <c r="B516" s="20">
        <v>11395.027624309394</v>
      </c>
      <c r="C516" s="20">
        <f t="shared" si="4"/>
        <v>47876.005885178907</v>
      </c>
      <c r="D516" s="21" t="str">
        <f t="shared" si="0"/>
        <v>210212</v>
      </c>
      <c r="E516" s="22">
        <f t="shared" si="5"/>
        <v>1.5790821369862811</v>
      </c>
      <c r="F516" s="9">
        <f t="shared" si="6"/>
        <v>-1.2564712328767124E-3</v>
      </c>
      <c r="G516" s="14">
        <f t="shared" si="1"/>
        <v>100.03759294125447</v>
      </c>
      <c r="H516" s="24">
        <f t="shared" si="7"/>
        <v>-405.32058745526456</v>
      </c>
      <c r="I516" s="20">
        <f t="shared" si="2"/>
        <v>47470.685297723641</v>
      </c>
      <c r="J516" s="17">
        <f t="shared" si="8"/>
        <v>4.7470685297723643</v>
      </c>
    </row>
    <row r="517" spans="1:11" ht="12" customHeight="1" x14ac:dyDescent="0.3">
      <c r="A517" s="1">
        <f t="shared" si="3"/>
        <v>44242</v>
      </c>
      <c r="B517" s="20">
        <v>11602.209944751381</v>
      </c>
      <c r="C517" s="20">
        <f t="shared" si="4"/>
        <v>48083.188205620892</v>
      </c>
      <c r="D517" s="21" t="str">
        <f t="shared" si="0"/>
        <v>210215</v>
      </c>
      <c r="E517" s="22">
        <f t="shared" si="5"/>
        <v>1.5778256657534044</v>
      </c>
      <c r="F517" s="9">
        <f t="shared" si="6"/>
        <v>-3.7694136986301374E-3</v>
      </c>
      <c r="G517" s="14">
        <f t="shared" si="1"/>
        <v>100.03010970964731</v>
      </c>
      <c r="H517" s="24">
        <f t="shared" si="7"/>
        <v>-480.15290352694251</v>
      </c>
      <c r="I517" s="20">
        <f t="shared" si="2"/>
        <v>47603.035302093951</v>
      </c>
      <c r="J517" s="17">
        <f t="shared" si="8"/>
        <v>4.760303530209395</v>
      </c>
    </row>
    <row r="518" spans="1:11" ht="12" customHeight="1" x14ac:dyDescent="0.3">
      <c r="A518" s="1">
        <f t="shared" si="3"/>
        <v>44243</v>
      </c>
      <c r="B518" s="20">
        <v>11671.270718232045</v>
      </c>
      <c r="C518" s="20">
        <f t="shared" si="4"/>
        <v>48152.248979101554</v>
      </c>
      <c r="D518" s="21" t="str">
        <f t="shared" si="0"/>
        <v>210216</v>
      </c>
      <c r="E518" s="22">
        <f t="shared" si="5"/>
        <v>1.5740562520547743</v>
      </c>
      <c r="F518" s="9">
        <f t="shared" si="6"/>
        <v>-1.2564712328767124E-3</v>
      </c>
      <c r="G518" s="14">
        <f t="shared" si="1"/>
        <v>100.02771493389579</v>
      </c>
      <c r="H518" s="24">
        <f t="shared" si="7"/>
        <v>-504.10066104205953</v>
      </c>
      <c r="I518" s="20">
        <f t="shared" si="2"/>
        <v>47648.148318059495</v>
      </c>
      <c r="J518" s="17">
        <f t="shared" si="8"/>
        <v>4.7648148318059498</v>
      </c>
    </row>
    <row r="519" spans="1:11" ht="12" customHeight="1" x14ac:dyDescent="0.3">
      <c r="A519" s="1">
        <f t="shared" si="3"/>
        <v>44244</v>
      </c>
      <c r="B519" s="20">
        <v>11740.331491712706</v>
      </c>
      <c r="C519" s="20">
        <f t="shared" si="4"/>
        <v>48221.309752582216</v>
      </c>
      <c r="D519" s="21" t="str">
        <f t="shared" si="0"/>
        <v>210217</v>
      </c>
      <c r="E519" s="22">
        <f t="shared" si="5"/>
        <v>1.5727997808218976</v>
      </c>
      <c r="F519" s="9">
        <f t="shared" si="6"/>
        <v>-1.2564712328767124E-3</v>
      </c>
      <c r="G519" s="14">
        <f t="shared" si="1"/>
        <v>100.0252287679439</v>
      </c>
      <c r="H519" s="24">
        <f t="shared" si="7"/>
        <v>-528.96232056099279</v>
      </c>
      <c r="I519" s="20">
        <f t="shared" si="2"/>
        <v>47692.347432021226</v>
      </c>
      <c r="J519" s="17">
        <f t="shared" si="8"/>
        <v>4.7692347432021229</v>
      </c>
    </row>
    <row r="520" spans="1:11" ht="12" customHeight="1" x14ac:dyDescent="0.3">
      <c r="A520" s="1">
        <f t="shared" si="3"/>
        <v>44245</v>
      </c>
      <c r="B520" s="20">
        <v>11809.39226519337</v>
      </c>
      <c r="C520" s="20">
        <f t="shared" si="4"/>
        <v>48290.370526062878</v>
      </c>
      <c r="D520" s="21" t="str">
        <f t="shared" si="0"/>
        <v>210218</v>
      </c>
      <c r="E520" s="22">
        <f t="shared" si="5"/>
        <v>1.571543309589021</v>
      </c>
      <c r="F520" s="9">
        <f t="shared" si="6"/>
        <v>-1.2564712328767124E-3</v>
      </c>
      <c r="G520" s="14">
        <f t="shared" si="1"/>
        <v>100.02273593271451</v>
      </c>
      <c r="H520" s="24">
        <f t="shared" si="7"/>
        <v>-553.89067285489091</v>
      </c>
      <c r="I520" s="20">
        <f t="shared" si="2"/>
        <v>47736.479853207988</v>
      </c>
      <c r="J520" s="17">
        <f t="shared" si="8"/>
        <v>4.7736479853207987</v>
      </c>
    </row>
    <row r="521" spans="1:11" ht="12" customHeight="1" x14ac:dyDescent="0.3">
      <c r="A521" s="1">
        <f t="shared" si="3"/>
        <v>44246</v>
      </c>
      <c r="B521" s="20">
        <v>11878.453038674032</v>
      </c>
      <c r="C521" s="20">
        <f t="shared" si="4"/>
        <v>48359.431299543539</v>
      </c>
      <c r="D521" s="21" t="str">
        <f t="shared" si="0"/>
        <v>210219</v>
      </c>
      <c r="E521" s="22">
        <f t="shared" si="5"/>
        <v>1.5702868383561444</v>
      </c>
      <c r="F521" s="9">
        <f t="shared" si="6"/>
        <v>-1.2564712328767124E-3</v>
      </c>
      <c r="G521" s="14">
        <f t="shared" si="1"/>
        <v>100.02023642639557</v>
      </c>
      <c r="H521" s="24">
        <f t="shared" si="7"/>
        <v>-578.88573604429894</v>
      </c>
      <c r="I521" s="20">
        <f t="shared" si="2"/>
        <v>47780.54556349924</v>
      </c>
      <c r="J521" s="17">
        <f t="shared" si="8"/>
        <v>4.7780545563499244</v>
      </c>
    </row>
    <row r="522" spans="1:11" ht="12" customHeight="1" x14ac:dyDescent="0.3">
      <c r="A522" s="1">
        <f t="shared" si="3"/>
        <v>44249</v>
      </c>
      <c r="B522" s="20">
        <v>12085.635359116022</v>
      </c>
      <c r="C522" s="20">
        <f t="shared" si="4"/>
        <v>48566.613619985532</v>
      </c>
      <c r="D522" s="21" t="str">
        <f t="shared" si="0"/>
        <v>210222</v>
      </c>
      <c r="E522" s="22">
        <f t="shared" si="5"/>
        <v>1.5690303671232677</v>
      </c>
      <c r="F522" s="9">
        <f t="shared" si="6"/>
        <v>-3.7694136986301374E-3</v>
      </c>
      <c r="G522" s="14">
        <f t="shared" si="1"/>
        <v>100.01266253995003</v>
      </c>
      <c r="H522" s="24">
        <f t="shared" si="7"/>
        <v>-654.62460049971583</v>
      </c>
      <c r="I522" s="20">
        <f t="shared" si="2"/>
        <v>47911.989019485816</v>
      </c>
      <c r="J522" s="17">
        <f t="shared" si="8"/>
        <v>4.7911989019485821</v>
      </c>
    </row>
    <row r="523" spans="1:11" ht="12" customHeight="1" x14ac:dyDescent="0.3">
      <c r="A523" s="1">
        <f t="shared" si="3"/>
        <v>44250</v>
      </c>
      <c r="B523" s="20">
        <v>12154.696132596684</v>
      </c>
      <c r="C523" s="20">
        <f t="shared" si="4"/>
        <v>48635.674393466194</v>
      </c>
      <c r="D523" s="21" t="str">
        <f t="shared" si="0"/>
        <v>210223</v>
      </c>
      <c r="E523" s="22">
        <f t="shared" si="5"/>
        <v>1.5652609534246376</v>
      </c>
      <c r="F523" s="9">
        <f t="shared" si="6"/>
        <v>-1.2564712328767124E-3</v>
      </c>
      <c r="G523" s="14">
        <f t="shared" si="1"/>
        <v>100.01017165407151</v>
      </c>
      <c r="H523" s="24">
        <f t="shared" si="7"/>
        <v>-679.53345928486897</v>
      </c>
      <c r="I523" s="20">
        <f t="shared" si="2"/>
        <v>47956.140934181327</v>
      </c>
      <c r="J523" s="17">
        <f t="shared" si="8"/>
        <v>4.7956140934181324</v>
      </c>
    </row>
    <row r="524" spans="1:11" ht="12" customHeight="1" x14ac:dyDescent="0.3">
      <c r="A524" s="1">
        <f t="shared" si="3"/>
        <v>44251</v>
      </c>
      <c r="B524" s="20">
        <v>12223.756906077348</v>
      </c>
      <c r="C524" s="20">
        <f t="shared" si="4"/>
        <v>48704.735166946855</v>
      </c>
      <c r="D524" s="21" t="str">
        <f t="shared" si="0"/>
        <v>210224</v>
      </c>
      <c r="E524" s="22">
        <f t="shared" si="5"/>
        <v>1.5640044821917609</v>
      </c>
      <c r="F524" s="9">
        <f t="shared" si="6"/>
        <v>-1.2564712328767124E-3</v>
      </c>
      <c r="G524" s="14">
        <f t="shared" si="1"/>
        <v>100.00763876521182</v>
      </c>
      <c r="H524" s="24">
        <f t="shared" si="7"/>
        <v>-704.86234788177171</v>
      </c>
      <c r="I524" s="20">
        <f t="shared" si="2"/>
        <v>47999.872819065087</v>
      </c>
      <c r="J524" s="17">
        <f t="shared" si="8"/>
        <v>4.7999872819065086</v>
      </c>
    </row>
    <row r="525" spans="1:11" ht="12" customHeight="1" x14ac:dyDescent="0.3">
      <c r="A525" s="1">
        <f t="shared" si="3"/>
        <v>44252</v>
      </c>
      <c r="B525" s="20">
        <v>12292.817679558013</v>
      </c>
      <c r="C525" s="20">
        <f t="shared" si="4"/>
        <v>48773.795940427517</v>
      </c>
      <c r="D525" s="21" t="str">
        <f t="shared" si="0"/>
        <v>210225</v>
      </c>
      <c r="E525" s="22">
        <f t="shared" si="5"/>
        <v>1.5627480109588843</v>
      </c>
      <c r="F525" s="9">
        <f t="shared" si="6"/>
        <v>-1.2564712328767124E-3</v>
      </c>
      <c r="G525" s="14">
        <f t="shared" si="1"/>
        <v>100.00509919444266</v>
      </c>
      <c r="H525" s="24">
        <f t="shared" si="7"/>
        <v>-730.25805557335843</v>
      </c>
      <c r="I525" s="20">
        <f t="shared" si="2"/>
        <v>48043.537884854159</v>
      </c>
      <c r="J525" s="17">
        <f t="shared" si="8"/>
        <v>4.8043537884854164</v>
      </c>
    </row>
    <row r="526" spans="1:11" ht="12" customHeight="1" x14ac:dyDescent="0.3">
      <c r="A526" s="1">
        <f t="shared" si="3"/>
        <v>44253</v>
      </c>
      <c r="B526" s="20">
        <v>12361.878453038675</v>
      </c>
      <c r="C526" s="20">
        <f t="shared" si="4"/>
        <v>48842.856713908179</v>
      </c>
      <c r="D526" s="21" t="str">
        <f t="shared" si="0"/>
        <v>210226</v>
      </c>
      <c r="E526" s="22">
        <f t="shared" si="5"/>
        <v>1.5614915397260076</v>
      </c>
      <c r="F526" s="9">
        <f t="shared" si="6"/>
        <v>-1.2564712328767124E-3</v>
      </c>
      <c r="G526" s="14">
        <f t="shared" si="1"/>
        <v>100.00255293996943</v>
      </c>
      <c r="H526" s="24">
        <f t="shared" si="7"/>
        <v>-755.7206003056649</v>
      </c>
      <c r="I526" s="20">
        <f t="shared" si="2"/>
        <v>48087.136113602515</v>
      </c>
      <c r="J526" s="17">
        <f t="shared" si="8"/>
        <v>4.8087136113602513</v>
      </c>
      <c r="K526" s="9">
        <f>WEEKDAY(A526)</f>
        <v>6</v>
      </c>
    </row>
    <row r="527" spans="1:11" ht="12" customHeight="1" x14ac:dyDescent="0.3">
      <c r="A527" s="1">
        <f t="shared" si="3"/>
        <v>44256</v>
      </c>
      <c r="B527" s="20">
        <v>0</v>
      </c>
      <c r="C527" s="20">
        <f t="shared" si="4"/>
        <v>48980.978260869502</v>
      </c>
      <c r="D527" s="21" t="str">
        <f t="shared" si="0"/>
        <v>210301</v>
      </c>
      <c r="E527" s="22">
        <f t="shared" si="5"/>
        <v>1.560235068493131</v>
      </c>
      <c r="F527" s="9">
        <f t="shared" si="6"/>
        <v>-3.7694136986301374E-3</v>
      </c>
      <c r="G527" s="25">
        <v>100</v>
      </c>
      <c r="H527" s="24">
        <f t="shared" si="7"/>
        <v>-781.25</v>
      </c>
      <c r="I527" s="20">
        <f t="shared" si="2"/>
        <v>48199.728260869502</v>
      </c>
      <c r="J527" s="17">
        <f t="shared" si="8"/>
        <v>4.8199728260869508</v>
      </c>
    </row>
    <row r="528" spans="1:11" ht="12" customHeight="1" x14ac:dyDescent="0.25">
      <c r="A528" s="1"/>
      <c r="B528" s="3"/>
      <c r="C528" s="21"/>
      <c r="D528" s="3"/>
      <c r="E528" s="3"/>
      <c r="F528" s="3"/>
      <c r="G528" s="24"/>
      <c r="H528" s="20"/>
      <c r="I528" s="17"/>
    </row>
    <row r="529" spans="1:10" ht="12" customHeight="1" x14ac:dyDescent="0.25">
      <c r="A529" s="1"/>
      <c r="B529" s="3"/>
      <c r="C529" s="21"/>
      <c r="D529" s="3"/>
      <c r="E529" s="3"/>
      <c r="F529" s="3"/>
      <c r="G529" s="24"/>
      <c r="H529" s="20"/>
      <c r="I529" s="17"/>
    </row>
    <row r="530" spans="1:10" ht="12" customHeight="1" x14ac:dyDescent="0.25">
      <c r="A530" s="1"/>
      <c r="B530" s="14"/>
      <c r="C530" s="3"/>
      <c r="D530" s="21"/>
      <c r="E530" s="3"/>
      <c r="F530" s="3"/>
      <c r="G530" s="3"/>
      <c r="H530" s="24"/>
      <c r="I530" s="20"/>
      <c r="J530" s="17"/>
    </row>
    <row r="531" spans="1:10" ht="12" customHeight="1" x14ac:dyDescent="0.25">
      <c r="A531" s="1"/>
      <c r="B531" s="14"/>
      <c r="C531" s="3"/>
      <c r="D531" s="21"/>
      <c r="E531" s="3"/>
      <c r="F531" s="3"/>
      <c r="G531" s="3"/>
      <c r="H531" s="24"/>
      <c r="I531" s="20"/>
      <c r="J531" s="17"/>
    </row>
    <row r="532" spans="1:10" ht="12" customHeight="1" x14ac:dyDescent="0.25">
      <c r="A532" s="1"/>
      <c r="B532" s="14"/>
      <c r="C532" s="3"/>
      <c r="D532" s="21"/>
      <c r="E532" s="3"/>
      <c r="F532" s="3"/>
      <c r="G532" s="3"/>
      <c r="H532" s="24"/>
      <c r="I532" s="20"/>
      <c r="J532" s="17"/>
    </row>
    <row r="533" spans="1:10" ht="12" customHeight="1" x14ac:dyDescent="0.25">
      <c r="A533" s="1"/>
      <c r="B533" s="14"/>
      <c r="C533" s="3"/>
      <c r="D533" s="21"/>
      <c r="E533" s="3"/>
      <c r="F533" s="3"/>
      <c r="G533" s="3"/>
      <c r="H533" s="24"/>
      <c r="I533" s="20"/>
      <c r="J533" s="17"/>
    </row>
    <row r="534" spans="1:10" ht="12" customHeight="1" x14ac:dyDescent="0.25">
      <c r="A534" s="1"/>
      <c r="B534" s="14"/>
      <c r="C534" s="3"/>
      <c r="D534" s="21"/>
      <c r="E534" s="3"/>
      <c r="F534" s="3"/>
      <c r="G534" s="3"/>
      <c r="H534" s="24"/>
      <c r="I534" s="20"/>
      <c r="J534" s="17"/>
    </row>
    <row r="535" spans="1:10" ht="12" customHeight="1" x14ac:dyDescent="0.25">
      <c r="A535" s="1"/>
      <c r="B535" s="14"/>
      <c r="C535" s="3"/>
      <c r="D535" s="21"/>
      <c r="E535" s="3"/>
      <c r="F535" s="3"/>
      <c r="G535" s="3"/>
      <c r="H535" s="24"/>
      <c r="I535" s="20"/>
      <c r="J535" s="17"/>
    </row>
    <row r="536" spans="1:10" ht="12" customHeight="1" x14ac:dyDescent="0.25">
      <c r="A536" s="1"/>
      <c r="B536" s="14"/>
      <c r="C536" s="3"/>
      <c r="D536" s="21"/>
      <c r="E536" s="3"/>
      <c r="F536" s="3"/>
      <c r="G536" s="3"/>
      <c r="H536" s="24"/>
      <c r="I536" s="20"/>
      <c r="J536" s="17"/>
    </row>
    <row r="537" spans="1:10" ht="12" customHeight="1" x14ac:dyDescent="0.25">
      <c r="A537" s="1"/>
      <c r="B537" s="14"/>
      <c r="C537" s="3"/>
      <c r="D537" s="21"/>
      <c r="E537" s="3"/>
      <c r="F537" s="3"/>
      <c r="G537" s="3"/>
      <c r="H537" s="24"/>
      <c r="I537" s="20"/>
      <c r="J537" s="17"/>
    </row>
    <row r="538" spans="1:10" ht="12" customHeight="1" x14ac:dyDescent="0.25">
      <c r="A538" s="1"/>
      <c r="B538" s="14"/>
      <c r="C538" s="3"/>
      <c r="D538" s="21"/>
      <c r="E538" s="3"/>
      <c r="F538" s="3"/>
      <c r="G538" s="3"/>
      <c r="H538" s="24"/>
      <c r="I538" s="20"/>
      <c r="J538" s="17"/>
    </row>
    <row r="539" spans="1:10" ht="12" customHeight="1" x14ac:dyDescent="0.25">
      <c r="A539" s="1"/>
      <c r="B539" s="14"/>
      <c r="C539" s="3"/>
      <c r="D539" s="21"/>
      <c r="E539" s="3"/>
      <c r="F539" s="3"/>
      <c r="G539" s="3"/>
      <c r="H539" s="24"/>
      <c r="I539" s="20"/>
      <c r="J539" s="17"/>
    </row>
    <row r="540" spans="1:10" ht="12" customHeight="1" x14ac:dyDescent="0.25">
      <c r="A540" s="1"/>
      <c r="B540" s="14"/>
      <c r="C540" s="3"/>
      <c r="D540" s="21"/>
      <c r="E540" s="3"/>
      <c r="F540" s="3"/>
      <c r="G540" s="3"/>
      <c r="H540" s="24"/>
      <c r="I540" s="20"/>
      <c r="J540" s="17"/>
    </row>
    <row r="541" spans="1:10" ht="12" customHeight="1" x14ac:dyDescent="0.25">
      <c r="A541" s="1"/>
      <c r="B541" s="14"/>
      <c r="C541" s="3"/>
      <c r="D541" s="21"/>
      <c r="E541" s="3"/>
      <c r="F541" s="3"/>
      <c r="G541" s="3"/>
      <c r="H541" s="24"/>
      <c r="I541" s="20"/>
      <c r="J541" s="17"/>
    </row>
    <row r="542" spans="1:10" ht="12" customHeight="1" x14ac:dyDescent="0.25">
      <c r="A542" s="1"/>
      <c r="B542" s="14"/>
      <c r="C542" s="3"/>
      <c r="D542" s="21"/>
      <c r="E542" s="3"/>
      <c r="F542" s="3"/>
      <c r="G542" s="3"/>
      <c r="H542" s="24"/>
      <c r="I542" s="20"/>
      <c r="J542" s="17"/>
    </row>
    <row r="543" spans="1:10" ht="12" customHeight="1" x14ac:dyDescent="0.25">
      <c r="A543" s="1"/>
      <c r="B543" s="14"/>
      <c r="C543" s="3"/>
      <c r="D543" s="21"/>
      <c r="E543" s="3"/>
      <c r="F543" s="3"/>
      <c r="G543" s="3"/>
      <c r="H543" s="24"/>
      <c r="I543" s="20"/>
      <c r="J543" s="17"/>
    </row>
    <row r="544" spans="1:10" ht="12" customHeight="1" x14ac:dyDescent="0.25">
      <c r="A544" s="1"/>
      <c r="B544" s="14"/>
      <c r="C544" s="3"/>
      <c r="D544" s="21"/>
      <c r="E544" s="3"/>
      <c r="F544" s="3"/>
      <c r="G544" s="3"/>
      <c r="H544" s="24"/>
      <c r="I544" s="20"/>
      <c r="J544" s="17"/>
    </row>
    <row r="545" spans="1:10" ht="12" customHeight="1" x14ac:dyDescent="0.25">
      <c r="A545" s="1"/>
      <c r="B545" s="14"/>
      <c r="C545" s="3"/>
      <c r="D545" s="21"/>
      <c r="E545" s="3"/>
      <c r="F545" s="3"/>
      <c r="G545" s="3"/>
      <c r="H545" s="24"/>
      <c r="I545" s="20"/>
      <c r="J545" s="17"/>
    </row>
    <row r="546" spans="1:10" ht="12" customHeight="1" x14ac:dyDescent="0.25">
      <c r="A546" s="1"/>
      <c r="B546" s="14"/>
      <c r="C546" s="3"/>
      <c r="D546" s="21"/>
      <c r="E546" s="3"/>
      <c r="F546" s="3"/>
      <c r="G546" s="3"/>
      <c r="H546" s="24"/>
      <c r="I546" s="20"/>
      <c r="J546" s="17"/>
    </row>
    <row r="547" spans="1:10" ht="12" customHeight="1" x14ac:dyDescent="0.25">
      <c r="A547" s="1"/>
      <c r="B547" s="14"/>
      <c r="C547" s="3"/>
      <c r="D547" s="21"/>
      <c r="E547" s="3"/>
      <c r="F547" s="3"/>
      <c r="G547" s="3"/>
      <c r="H547" s="24"/>
      <c r="I547" s="20"/>
      <c r="J547" s="17"/>
    </row>
    <row r="548" spans="1:10" ht="12" customHeight="1" x14ac:dyDescent="0.25">
      <c r="A548" s="1"/>
      <c r="B548" s="14"/>
      <c r="C548" s="3"/>
      <c r="D548" s="21"/>
      <c r="E548" s="3"/>
      <c r="F548" s="3"/>
      <c r="G548" s="3"/>
      <c r="H548" s="24"/>
      <c r="I548" s="20"/>
      <c r="J548" s="17"/>
    </row>
    <row r="549" spans="1:10" ht="12" customHeight="1" x14ac:dyDescent="0.25">
      <c r="A549" s="1"/>
      <c r="B549" s="14"/>
      <c r="C549" s="3"/>
      <c r="D549" s="21"/>
      <c r="E549" s="3"/>
      <c r="F549" s="3"/>
      <c r="G549" s="3"/>
      <c r="H549" s="24"/>
      <c r="I549" s="20"/>
      <c r="J549" s="17"/>
    </row>
    <row r="550" spans="1:10" ht="12" customHeight="1" x14ac:dyDescent="0.25">
      <c r="A550" s="1"/>
      <c r="B550" s="14"/>
      <c r="C550" s="3"/>
      <c r="D550" s="21"/>
      <c r="E550" s="3"/>
      <c r="F550" s="3"/>
      <c r="G550" s="3"/>
      <c r="H550" s="24"/>
      <c r="I550" s="20"/>
      <c r="J550" s="17"/>
    </row>
    <row r="551" spans="1:10" ht="12" customHeight="1" x14ac:dyDescent="0.25">
      <c r="A551" s="1"/>
      <c r="B551" s="14"/>
      <c r="C551" s="3"/>
      <c r="D551" s="21"/>
      <c r="E551" s="3"/>
      <c r="F551" s="3"/>
      <c r="G551" s="3"/>
      <c r="H551" s="24"/>
      <c r="I551" s="20"/>
      <c r="J551" s="17"/>
    </row>
    <row r="552" spans="1:10" ht="12" customHeight="1" x14ac:dyDescent="0.25">
      <c r="A552" s="1"/>
      <c r="B552" s="14"/>
      <c r="C552" s="3"/>
      <c r="D552" s="21"/>
      <c r="E552" s="3"/>
      <c r="F552" s="3"/>
      <c r="G552" s="3"/>
      <c r="H552" s="24"/>
      <c r="I552" s="20"/>
      <c r="J552" s="17"/>
    </row>
    <row r="553" spans="1:10" ht="12" customHeight="1" x14ac:dyDescent="0.25">
      <c r="A553" s="1"/>
      <c r="B553" s="14"/>
      <c r="C553" s="3"/>
      <c r="D553" s="21"/>
      <c r="E553" s="3"/>
      <c r="F553" s="3"/>
      <c r="G553" s="3"/>
      <c r="H553" s="24"/>
      <c r="I553" s="20"/>
      <c r="J553" s="17"/>
    </row>
    <row r="554" spans="1:10" ht="12" customHeight="1" x14ac:dyDescent="0.25">
      <c r="A554" s="1"/>
      <c r="B554" s="14"/>
      <c r="C554" s="3"/>
      <c r="D554" s="21"/>
      <c r="E554" s="3"/>
      <c r="F554" s="3"/>
      <c r="G554" s="3"/>
      <c r="H554" s="24"/>
      <c r="I554" s="20"/>
      <c r="J554" s="17"/>
    </row>
    <row r="555" spans="1:10" ht="12" customHeight="1" x14ac:dyDescent="0.25">
      <c r="A555" s="1"/>
      <c r="B555" s="14"/>
      <c r="C555" s="3"/>
      <c r="D555" s="21"/>
      <c r="E555" s="3"/>
      <c r="F555" s="3"/>
      <c r="G555" s="3"/>
      <c r="H555" s="24"/>
      <c r="I555" s="20"/>
      <c r="J555" s="17"/>
    </row>
    <row r="556" spans="1:10" ht="12" customHeight="1" x14ac:dyDescent="0.25">
      <c r="A556" s="1"/>
      <c r="B556" s="14"/>
      <c r="C556" s="3"/>
      <c r="D556" s="21"/>
      <c r="E556" s="3"/>
      <c r="F556" s="3"/>
      <c r="G556" s="3"/>
      <c r="H556" s="24"/>
      <c r="I556" s="20"/>
      <c r="J556" s="17"/>
    </row>
    <row r="557" spans="1:10" ht="12" customHeight="1" x14ac:dyDescent="0.25">
      <c r="A557" s="1"/>
      <c r="B557" s="14"/>
      <c r="C557" s="3"/>
      <c r="D557" s="21"/>
      <c r="E557" s="3"/>
      <c r="F557" s="3"/>
      <c r="G557" s="3"/>
      <c r="H557" s="24"/>
      <c r="I557" s="20"/>
      <c r="J557" s="17"/>
    </row>
    <row r="558" spans="1:10" ht="12" customHeight="1" x14ac:dyDescent="0.25">
      <c r="A558" s="1"/>
      <c r="B558" s="14"/>
      <c r="C558" s="3"/>
      <c r="D558" s="21"/>
      <c r="E558" s="3"/>
      <c r="F558" s="3"/>
      <c r="G558" s="3"/>
      <c r="H558" s="24"/>
      <c r="I558" s="20"/>
      <c r="J558" s="17"/>
    </row>
    <row r="559" spans="1:10" ht="12" customHeight="1" x14ac:dyDescent="0.25">
      <c r="A559" s="1"/>
      <c r="B559" s="14"/>
      <c r="C559" s="3"/>
      <c r="D559" s="21"/>
      <c r="E559" s="3"/>
      <c r="F559" s="3"/>
      <c r="G559" s="3"/>
      <c r="H559" s="24"/>
      <c r="I559" s="20"/>
      <c r="J559" s="17"/>
    </row>
    <row r="560" spans="1:10" ht="12" customHeight="1" x14ac:dyDescent="0.25">
      <c r="A560" s="1"/>
      <c r="B560" s="14"/>
      <c r="C560" s="3"/>
      <c r="D560" s="21"/>
      <c r="E560" s="3"/>
      <c r="F560" s="3"/>
      <c r="G560" s="3"/>
      <c r="H560" s="24"/>
      <c r="I560" s="20"/>
      <c r="J560" s="17"/>
    </row>
    <row r="561" spans="1:10" ht="12" customHeight="1" x14ac:dyDescent="0.25">
      <c r="A561" s="1"/>
      <c r="B561" s="14"/>
      <c r="C561" s="3"/>
      <c r="D561" s="21"/>
      <c r="E561" s="3"/>
      <c r="F561" s="3"/>
      <c r="G561" s="3"/>
      <c r="H561" s="24"/>
      <c r="I561" s="20"/>
      <c r="J561" s="17"/>
    </row>
    <row r="562" spans="1:10" ht="12" customHeight="1" x14ac:dyDescent="0.25">
      <c r="A562" s="1"/>
      <c r="B562" s="14"/>
      <c r="C562" s="3"/>
      <c r="D562" s="21"/>
      <c r="E562" s="3"/>
      <c r="F562" s="3"/>
      <c r="G562" s="3"/>
      <c r="H562" s="24"/>
      <c r="I562" s="20"/>
      <c r="J562" s="17"/>
    </row>
    <row r="563" spans="1:10" ht="12" customHeight="1" x14ac:dyDescent="0.25">
      <c r="A563" s="1"/>
      <c r="B563" s="14"/>
      <c r="C563" s="3"/>
      <c r="D563" s="21"/>
      <c r="E563" s="3"/>
      <c r="F563" s="3"/>
      <c r="G563" s="3"/>
      <c r="H563" s="24"/>
      <c r="I563" s="20"/>
      <c r="J563" s="17"/>
    </row>
    <row r="564" spans="1:10" ht="12" customHeight="1" x14ac:dyDescent="0.25">
      <c r="A564" s="1"/>
      <c r="B564" s="14"/>
      <c r="C564" s="3"/>
      <c r="D564" s="21"/>
      <c r="E564" s="3"/>
      <c r="F564" s="3"/>
      <c r="G564" s="3"/>
      <c r="H564" s="24"/>
      <c r="I564" s="20"/>
      <c r="J564" s="17"/>
    </row>
    <row r="565" spans="1:10" ht="12" customHeight="1" x14ac:dyDescent="0.25">
      <c r="A565" s="1"/>
      <c r="B565" s="14"/>
      <c r="C565" s="3"/>
      <c r="D565" s="21"/>
      <c r="E565" s="3"/>
      <c r="F565" s="3"/>
      <c r="G565" s="3"/>
      <c r="H565" s="24"/>
      <c r="I565" s="20"/>
      <c r="J565" s="17"/>
    </row>
    <row r="566" spans="1:10" ht="12" customHeight="1" x14ac:dyDescent="0.25">
      <c r="A566" s="1"/>
      <c r="B566" s="14"/>
      <c r="C566" s="3"/>
      <c r="D566" s="21"/>
      <c r="E566" s="3"/>
      <c r="F566" s="3"/>
      <c r="G566" s="3"/>
      <c r="H566" s="24"/>
      <c r="I566" s="20"/>
      <c r="J566" s="17"/>
    </row>
    <row r="567" spans="1:10" ht="12" customHeight="1" x14ac:dyDescent="0.25">
      <c r="A567" s="1"/>
      <c r="B567" s="14"/>
      <c r="C567" s="3"/>
      <c r="D567" s="21"/>
      <c r="E567" s="3"/>
      <c r="F567" s="3"/>
      <c r="G567" s="3"/>
      <c r="H567" s="24"/>
      <c r="I567" s="20"/>
      <c r="J567" s="17"/>
    </row>
    <row r="568" spans="1:10" ht="12" customHeight="1" x14ac:dyDescent="0.25">
      <c r="A568" s="1"/>
      <c r="B568" s="14"/>
      <c r="C568" s="3"/>
      <c r="D568" s="21"/>
      <c r="E568" s="3"/>
      <c r="F568" s="3"/>
      <c r="G568" s="3"/>
      <c r="H568" s="24"/>
      <c r="I568" s="20"/>
      <c r="J568" s="17"/>
    </row>
    <row r="569" spans="1:10" ht="12" customHeight="1" x14ac:dyDescent="0.25">
      <c r="A569" s="1"/>
      <c r="B569" s="14"/>
      <c r="C569" s="3"/>
      <c r="D569" s="21"/>
      <c r="E569" s="3"/>
      <c r="F569" s="3"/>
      <c r="G569" s="3"/>
      <c r="H569" s="24"/>
      <c r="I569" s="20"/>
      <c r="J569" s="17"/>
    </row>
    <row r="570" spans="1:10" ht="12" customHeight="1" x14ac:dyDescent="0.25">
      <c r="A570" s="1"/>
      <c r="B570" s="14"/>
      <c r="C570" s="3"/>
      <c r="D570" s="21"/>
      <c r="E570" s="3"/>
      <c r="F570" s="3"/>
      <c r="G570" s="3"/>
      <c r="H570" s="24"/>
      <c r="I570" s="20"/>
      <c r="J570" s="17"/>
    </row>
    <row r="571" spans="1:10" ht="12" customHeight="1" x14ac:dyDescent="0.25">
      <c r="A571" s="1"/>
      <c r="B571" s="14"/>
      <c r="C571" s="3"/>
      <c r="D571" s="21"/>
      <c r="E571" s="3"/>
      <c r="F571" s="3"/>
      <c r="G571" s="3"/>
      <c r="H571" s="24"/>
      <c r="I571" s="20"/>
      <c r="J571" s="17"/>
    </row>
    <row r="572" spans="1:10" ht="12" customHeight="1" x14ac:dyDescent="0.25">
      <c r="A572" s="1"/>
      <c r="B572" s="14"/>
      <c r="C572" s="3"/>
      <c r="D572" s="21"/>
      <c r="E572" s="3"/>
      <c r="F572" s="3"/>
      <c r="G572" s="3"/>
      <c r="H572" s="24"/>
      <c r="I572" s="20"/>
      <c r="J572" s="17"/>
    </row>
    <row r="573" spans="1:10" ht="12" customHeight="1" x14ac:dyDescent="0.25">
      <c r="A573" s="1"/>
      <c r="B573" s="14"/>
      <c r="C573" s="3"/>
      <c r="D573" s="21"/>
      <c r="E573" s="3"/>
      <c r="F573" s="3"/>
      <c r="G573" s="3"/>
      <c r="H573" s="24"/>
      <c r="I573" s="20"/>
      <c r="J573" s="17"/>
    </row>
    <row r="574" spans="1:10" ht="12" customHeight="1" x14ac:dyDescent="0.25">
      <c r="A574" s="1"/>
      <c r="B574" s="14"/>
      <c r="C574" s="3"/>
      <c r="D574" s="21"/>
      <c r="E574" s="3"/>
      <c r="F574" s="3"/>
      <c r="G574" s="3"/>
      <c r="H574" s="24"/>
      <c r="I574" s="20"/>
      <c r="J574" s="17"/>
    </row>
    <row r="575" spans="1:10" ht="12" customHeight="1" x14ac:dyDescent="0.25">
      <c r="A575" s="1"/>
      <c r="B575" s="14"/>
      <c r="C575" s="3"/>
      <c r="D575" s="21"/>
      <c r="E575" s="3"/>
      <c r="F575" s="3"/>
      <c r="G575" s="3"/>
      <c r="H575" s="24"/>
      <c r="I575" s="20"/>
      <c r="J575" s="17"/>
    </row>
    <row r="576" spans="1:10" ht="12" customHeight="1" x14ac:dyDescent="0.25">
      <c r="A576" s="1"/>
      <c r="B576" s="14"/>
      <c r="C576" s="3"/>
      <c r="D576" s="21"/>
      <c r="E576" s="3"/>
      <c r="F576" s="3"/>
      <c r="G576" s="3"/>
      <c r="H576" s="24"/>
      <c r="I576" s="20"/>
      <c r="J576" s="17"/>
    </row>
    <row r="577" spans="1:10" ht="12" customHeight="1" x14ac:dyDescent="0.25">
      <c r="A577" s="1"/>
      <c r="B577" s="14"/>
      <c r="C577" s="3"/>
      <c r="D577" s="21"/>
      <c r="E577" s="3"/>
      <c r="F577" s="3"/>
      <c r="G577" s="3"/>
      <c r="H577" s="24"/>
      <c r="I577" s="20"/>
      <c r="J577" s="17"/>
    </row>
    <row r="578" spans="1:10" ht="12" customHeight="1" x14ac:dyDescent="0.25">
      <c r="A578" s="1"/>
      <c r="B578" s="14"/>
      <c r="C578" s="3"/>
      <c r="D578" s="21"/>
      <c r="E578" s="3"/>
      <c r="F578" s="3"/>
      <c r="G578" s="3"/>
      <c r="H578" s="24"/>
      <c r="I578" s="20"/>
      <c r="J578" s="17"/>
    </row>
    <row r="579" spans="1:10" ht="12" customHeight="1" x14ac:dyDescent="0.25">
      <c r="A579" s="1"/>
      <c r="B579" s="14"/>
      <c r="C579" s="3"/>
      <c r="D579" s="21"/>
      <c r="E579" s="3"/>
      <c r="F579" s="3"/>
      <c r="G579" s="3"/>
      <c r="H579" s="24"/>
      <c r="I579" s="20"/>
      <c r="J579" s="17"/>
    </row>
    <row r="580" spans="1:10" ht="12" customHeight="1" x14ac:dyDescent="0.25">
      <c r="A580" s="1"/>
      <c r="B580" s="14"/>
      <c r="C580" s="3"/>
      <c r="D580" s="21"/>
      <c r="E580" s="3"/>
      <c r="F580" s="3"/>
      <c r="G580" s="3"/>
      <c r="H580" s="24"/>
      <c r="I580" s="20"/>
      <c r="J580" s="17"/>
    </row>
    <row r="581" spans="1:10" ht="12" customHeight="1" x14ac:dyDescent="0.25">
      <c r="A581" s="1"/>
      <c r="B581" s="14"/>
      <c r="C581" s="3"/>
      <c r="D581" s="21"/>
      <c r="E581" s="3"/>
      <c r="F581" s="3"/>
      <c r="G581" s="3"/>
      <c r="H581" s="24"/>
      <c r="I581" s="20"/>
      <c r="J581" s="17"/>
    </row>
    <row r="582" spans="1:10" ht="12" customHeight="1" x14ac:dyDescent="0.25">
      <c r="A582" s="1"/>
      <c r="B582" s="14"/>
      <c r="C582" s="3"/>
      <c r="D582" s="21"/>
      <c r="E582" s="3"/>
      <c r="F582" s="3"/>
      <c r="G582" s="3"/>
      <c r="H582" s="24"/>
      <c r="I582" s="20"/>
      <c r="J582" s="17"/>
    </row>
    <row r="583" spans="1:10" ht="12" customHeight="1" x14ac:dyDescent="0.25">
      <c r="A583" s="1"/>
      <c r="B583" s="14"/>
      <c r="C583" s="3"/>
      <c r="D583" s="21"/>
      <c r="E583" s="3"/>
      <c r="F583" s="3"/>
      <c r="G583" s="3"/>
      <c r="H583" s="24"/>
      <c r="I583" s="20"/>
      <c r="J583" s="17"/>
    </row>
    <row r="584" spans="1:10" ht="12" customHeight="1" x14ac:dyDescent="0.25">
      <c r="A584" s="1"/>
      <c r="B584" s="14"/>
      <c r="C584" s="3"/>
      <c r="D584" s="21"/>
      <c r="E584" s="3"/>
      <c r="F584" s="3"/>
      <c r="G584" s="3"/>
      <c r="H584" s="24"/>
      <c r="I584" s="20"/>
      <c r="J584" s="17"/>
    </row>
    <row r="585" spans="1:10" ht="12" customHeight="1" x14ac:dyDescent="0.25">
      <c r="A585" s="1"/>
      <c r="B585" s="14"/>
      <c r="C585" s="3"/>
      <c r="D585" s="21"/>
      <c r="E585" s="3"/>
      <c r="F585" s="3"/>
      <c r="G585" s="3"/>
      <c r="H585" s="24"/>
      <c r="I585" s="20"/>
      <c r="J585" s="17"/>
    </row>
    <row r="586" spans="1:10" ht="12" customHeight="1" x14ac:dyDescent="0.25">
      <c r="A586" s="1"/>
      <c r="B586" s="14"/>
      <c r="C586" s="3"/>
      <c r="D586" s="21"/>
      <c r="E586" s="3"/>
      <c r="F586" s="3"/>
      <c r="G586" s="3"/>
      <c r="H586" s="24"/>
      <c r="I586" s="20"/>
      <c r="J586" s="17"/>
    </row>
    <row r="587" spans="1:10" ht="12" customHeight="1" x14ac:dyDescent="0.25">
      <c r="A587" s="1"/>
      <c r="B587" s="14"/>
      <c r="C587" s="3"/>
      <c r="D587" s="21"/>
      <c r="E587" s="3"/>
      <c r="F587" s="3"/>
      <c r="G587" s="3"/>
      <c r="H587" s="24"/>
      <c r="I587" s="20"/>
      <c r="J587" s="17"/>
    </row>
    <row r="588" spans="1:10" ht="12" customHeight="1" x14ac:dyDescent="0.25">
      <c r="A588" s="1"/>
      <c r="B588" s="14"/>
      <c r="C588" s="3"/>
      <c r="D588" s="21"/>
      <c r="E588" s="3"/>
      <c r="F588" s="3"/>
      <c r="G588" s="3"/>
      <c r="H588" s="24"/>
      <c r="I588" s="20"/>
      <c r="J588" s="17"/>
    </row>
    <row r="589" spans="1:10" ht="12" customHeight="1" x14ac:dyDescent="0.25">
      <c r="A589" s="1"/>
      <c r="B589" s="14"/>
      <c r="C589" s="3"/>
      <c r="D589" s="21"/>
      <c r="E589" s="3"/>
      <c r="F589" s="3"/>
      <c r="G589" s="3"/>
      <c r="H589" s="24"/>
      <c r="I589" s="20"/>
      <c r="J589" s="17"/>
    </row>
    <row r="590" spans="1:10" ht="12" customHeight="1" x14ac:dyDescent="0.25">
      <c r="A590" s="1"/>
      <c r="B590" s="14"/>
      <c r="C590" s="3"/>
      <c r="D590" s="21"/>
      <c r="E590" s="3"/>
      <c r="F590" s="3"/>
      <c r="G590" s="3"/>
      <c r="H590" s="24"/>
      <c r="I590" s="20"/>
      <c r="J590" s="17"/>
    </row>
    <row r="591" spans="1:10" ht="12" customHeight="1" x14ac:dyDescent="0.25">
      <c r="A591" s="1"/>
      <c r="B591" s="14"/>
      <c r="C591" s="3"/>
      <c r="D591" s="21"/>
      <c r="E591" s="3"/>
      <c r="F591" s="3"/>
      <c r="G591" s="3"/>
      <c r="H591" s="24"/>
      <c r="I591" s="20"/>
      <c r="J591" s="17"/>
    </row>
    <row r="592" spans="1:10" ht="12" customHeight="1" x14ac:dyDescent="0.25">
      <c r="A592" s="1"/>
      <c r="B592" s="14"/>
      <c r="C592" s="3"/>
      <c r="D592" s="21"/>
      <c r="E592" s="3"/>
      <c r="F592" s="3"/>
      <c r="G592" s="3"/>
      <c r="H592" s="24"/>
      <c r="I592" s="20"/>
      <c r="J592" s="17"/>
    </row>
    <row r="593" spans="1:10" ht="12" customHeight="1" x14ac:dyDescent="0.25">
      <c r="A593" s="1"/>
      <c r="B593" s="14"/>
      <c r="C593" s="3"/>
      <c r="D593" s="21"/>
      <c r="E593" s="3"/>
      <c r="F593" s="3"/>
      <c r="G593" s="3"/>
      <c r="H593" s="24"/>
      <c r="I593" s="20"/>
      <c r="J593" s="17"/>
    </row>
    <row r="594" spans="1:10" ht="12" customHeight="1" x14ac:dyDescent="0.25">
      <c r="A594" s="1"/>
      <c r="B594" s="14"/>
      <c r="C594" s="3"/>
      <c r="D594" s="21"/>
      <c r="E594" s="3"/>
      <c r="F594" s="3"/>
      <c r="G594" s="3"/>
      <c r="H594" s="24"/>
      <c r="I594" s="20"/>
      <c r="J594" s="17"/>
    </row>
    <row r="595" spans="1:10" ht="12" customHeight="1" x14ac:dyDescent="0.25">
      <c r="A595" s="1"/>
      <c r="B595" s="14"/>
      <c r="C595" s="3"/>
      <c r="D595" s="21"/>
      <c r="E595" s="3"/>
      <c r="F595" s="3"/>
      <c r="G595" s="3"/>
      <c r="H595" s="24"/>
      <c r="I595" s="20"/>
      <c r="J595" s="17"/>
    </row>
    <row r="596" spans="1:10" ht="12" customHeight="1" x14ac:dyDescent="0.25">
      <c r="A596" s="1"/>
      <c r="B596" s="14"/>
      <c r="C596" s="3"/>
      <c r="D596" s="21"/>
      <c r="E596" s="3"/>
      <c r="F596" s="3"/>
      <c r="G596" s="3"/>
      <c r="H596" s="24"/>
      <c r="I596" s="20"/>
      <c r="J596" s="17"/>
    </row>
    <row r="597" spans="1:10" ht="12" customHeight="1" x14ac:dyDescent="0.25">
      <c r="A597" s="1"/>
      <c r="B597" s="14"/>
      <c r="C597" s="3"/>
      <c r="D597" s="21"/>
      <c r="E597" s="3"/>
      <c r="F597" s="3"/>
      <c r="G597" s="3"/>
      <c r="H597" s="24"/>
      <c r="I597" s="20"/>
      <c r="J597" s="17"/>
    </row>
    <row r="598" spans="1:10" ht="12" customHeight="1" x14ac:dyDescent="0.25">
      <c r="A598" s="1"/>
      <c r="B598" s="14"/>
      <c r="C598" s="3"/>
      <c r="D598" s="21"/>
      <c r="E598" s="3"/>
      <c r="F598" s="3"/>
      <c r="G598" s="3"/>
      <c r="H598" s="24"/>
      <c r="I598" s="20"/>
      <c r="J598" s="17"/>
    </row>
    <row r="599" spans="1:10" ht="12" customHeight="1" x14ac:dyDescent="0.25">
      <c r="A599" s="1"/>
      <c r="B599" s="14"/>
      <c r="C599" s="3"/>
      <c r="D599" s="21"/>
      <c r="E599" s="3"/>
      <c r="F599" s="3"/>
      <c r="G599" s="3"/>
      <c r="H599" s="24"/>
      <c r="I599" s="20"/>
      <c r="J599" s="17"/>
    </row>
    <row r="600" spans="1:10" ht="12" customHeight="1" x14ac:dyDescent="0.25">
      <c r="A600" s="1"/>
      <c r="B600" s="14"/>
      <c r="C600" s="3"/>
      <c r="D600" s="21"/>
      <c r="E600" s="3"/>
      <c r="F600" s="3"/>
      <c r="G600" s="3"/>
      <c r="H600" s="24"/>
      <c r="I600" s="20"/>
      <c r="J600" s="17"/>
    </row>
    <row r="601" spans="1:10" ht="12" customHeight="1" x14ac:dyDescent="0.25">
      <c r="A601" s="1"/>
      <c r="B601" s="14"/>
      <c r="C601" s="3"/>
      <c r="D601" s="21"/>
      <c r="E601" s="3"/>
      <c r="F601" s="3"/>
      <c r="G601" s="3"/>
      <c r="H601" s="24"/>
      <c r="I601" s="20"/>
      <c r="J601" s="17"/>
    </row>
    <row r="602" spans="1:10" ht="12" customHeight="1" x14ac:dyDescent="0.25">
      <c r="A602" s="1"/>
      <c r="B602" s="14"/>
      <c r="C602" s="3"/>
      <c r="D602" s="21"/>
      <c r="E602" s="3"/>
      <c r="F602" s="3"/>
      <c r="G602" s="3"/>
      <c r="H602" s="24"/>
      <c r="I602" s="20"/>
      <c r="J602" s="17"/>
    </row>
    <row r="603" spans="1:10" ht="12" customHeight="1" x14ac:dyDescent="0.25">
      <c r="A603" s="1"/>
      <c r="B603" s="14"/>
      <c r="C603" s="3"/>
      <c r="D603" s="21"/>
      <c r="E603" s="3"/>
      <c r="F603" s="3"/>
      <c r="G603" s="3"/>
      <c r="H603" s="24"/>
      <c r="I603" s="20"/>
      <c r="J603" s="17"/>
    </row>
    <row r="604" spans="1:10" ht="12" customHeight="1" x14ac:dyDescent="0.25">
      <c r="A604" s="1"/>
      <c r="B604" s="14"/>
      <c r="C604" s="3"/>
      <c r="D604" s="21"/>
      <c r="E604" s="3"/>
      <c r="F604" s="3"/>
      <c r="G604" s="3"/>
      <c r="H604" s="24"/>
      <c r="I604" s="20"/>
      <c r="J604" s="17"/>
    </row>
    <row r="605" spans="1:10" ht="12" customHeight="1" x14ac:dyDescent="0.25">
      <c r="A605" s="1"/>
      <c r="B605" s="14"/>
      <c r="C605" s="3"/>
      <c r="D605" s="21"/>
      <c r="E605" s="3"/>
      <c r="F605" s="3"/>
      <c r="G605" s="3"/>
      <c r="H605" s="24"/>
      <c r="I605" s="20"/>
      <c r="J605" s="17"/>
    </row>
    <row r="606" spans="1:10" ht="12" customHeight="1" x14ac:dyDescent="0.25">
      <c r="A606" s="1"/>
      <c r="B606" s="14"/>
      <c r="C606" s="3"/>
      <c r="D606" s="21"/>
      <c r="E606" s="3"/>
      <c r="F606" s="3"/>
      <c r="G606" s="3"/>
      <c r="H606" s="24"/>
      <c r="I606" s="20"/>
      <c r="J606" s="17"/>
    </row>
    <row r="607" spans="1:10" ht="12" customHeight="1" x14ac:dyDescent="0.25">
      <c r="A607" s="1"/>
      <c r="B607" s="14"/>
      <c r="C607" s="3"/>
      <c r="D607" s="21"/>
      <c r="E607" s="3"/>
      <c r="F607" s="3"/>
      <c r="G607" s="3"/>
      <c r="H607" s="24"/>
      <c r="I607" s="20"/>
      <c r="J607" s="17"/>
    </row>
    <row r="608" spans="1:10" ht="12" customHeight="1" x14ac:dyDescent="0.25">
      <c r="A608" s="1"/>
      <c r="B608" s="14"/>
      <c r="C608" s="3"/>
      <c r="D608" s="21"/>
      <c r="E608" s="3"/>
      <c r="F608" s="3"/>
      <c r="G608" s="3"/>
      <c r="H608" s="24"/>
      <c r="I608" s="20"/>
      <c r="J608" s="17"/>
    </row>
    <row r="609" spans="1:10" ht="12" customHeight="1" x14ac:dyDescent="0.25">
      <c r="A609" s="1"/>
      <c r="B609" s="14"/>
      <c r="C609" s="3"/>
      <c r="D609" s="21"/>
      <c r="E609" s="3"/>
      <c r="F609" s="3"/>
      <c r="G609" s="3"/>
      <c r="H609" s="24"/>
      <c r="I609" s="20"/>
      <c r="J609" s="17"/>
    </row>
    <row r="610" spans="1:10" ht="12" customHeight="1" x14ac:dyDescent="0.25">
      <c r="A610" s="1"/>
      <c r="B610" s="14"/>
      <c r="C610" s="3"/>
      <c r="D610" s="21"/>
      <c r="E610" s="3"/>
      <c r="F610" s="3"/>
      <c r="G610" s="3"/>
      <c r="H610" s="24"/>
      <c r="I610" s="20"/>
      <c r="J610" s="17"/>
    </row>
    <row r="611" spans="1:10" ht="12" customHeight="1" x14ac:dyDescent="0.25">
      <c r="A611" s="1"/>
      <c r="B611" s="14"/>
      <c r="C611" s="3"/>
      <c r="D611" s="21"/>
      <c r="E611" s="3"/>
      <c r="F611" s="3"/>
      <c r="G611" s="3"/>
      <c r="H611" s="24"/>
      <c r="I611" s="20"/>
      <c r="J611" s="17"/>
    </row>
    <row r="612" spans="1:10" ht="12" customHeight="1" x14ac:dyDescent="0.25">
      <c r="A612" s="1"/>
      <c r="B612" s="14"/>
      <c r="C612" s="3"/>
      <c r="D612" s="21"/>
      <c r="E612" s="3"/>
      <c r="F612" s="3"/>
      <c r="G612" s="3"/>
      <c r="H612" s="24"/>
      <c r="I612" s="20"/>
      <c r="J612" s="17"/>
    </row>
    <row r="613" spans="1:10" ht="12" customHeight="1" x14ac:dyDescent="0.25">
      <c r="A613" s="1"/>
      <c r="B613" s="14"/>
      <c r="C613" s="3"/>
      <c r="D613" s="21"/>
      <c r="E613" s="3"/>
      <c r="F613" s="3"/>
      <c r="G613" s="3"/>
      <c r="H613" s="24"/>
      <c r="I613" s="20"/>
      <c r="J613" s="17"/>
    </row>
    <row r="614" spans="1:10" ht="12" customHeight="1" x14ac:dyDescent="0.25">
      <c r="A614" s="1"/>
      <c r="B614" s="14"/>
      <c r="C614" s="3"/>
      <c r="D614" s="21"/>
      <c r="E614" s="3"/>
      <c r="F614" s="3"/>
      <c r="G614" s="3"/>
      <c r="H614" s="24"/>
      <c r="I614" s="20"/>
      <c r="J614" s="17"/>
    </row>
    <row r="615" spans="1:10" ht="12" customHeight="1" x14ac:dyDescent="0.25">
      <c r="A615" s="1"/>
      <c r="B615" s="14"/>
      <c r="C615" s="3"/>
      <c r="D615" s="21"/>
      <c r="E615" s="3"/>
      <c r="F615" s="3"/>
      <c r="G615" s="3"/>
      <c r="H615" s="24"/>
      <c r="I615" s="20"/>
      <c r="J615" s="17"/>
    </row>
    <row r="616" spans="1:10" ht="12" customHeight="1" x14ac:dyDescent="0.25">
      <c r="A616" s="1"/>
      <c r="B616" s="14"/>
      <c r="C616" s="3"/>
      <c r="D616" s="21"/>
      <c r="E616" s="3"/>
      <c r="F616" s="3"/>
      <c r="G616" s="3"/>
      <c r="H616" s="24"/>
      <c r="I616" s="20"/>
      <c r="J616" s="17"/>
    </row>
    <row r="617" spans="1:10" ht="12" customHeight="1" x14ac:dyDescent="0.25">
      <c r="A617" s="1"/>
      <c r="B617" s="14"/>
      <c r="C617" s="3"/>
      <c r="D617" s="21"/>
      <c r="E617" s="3"/>
      <c r="F617" s="3"/>
      <c r="G617" s="3"/>
      <c r="H617" s="24"/>
      <c r="I617" s="20"/>
      <c r="J617" s="17"/>
    </row>
    <row r="618" spans="1:10" ht="12" customHeight="1" x14ac:dyDescent="0.25">
      <c r="A618" s="1"/>
      <c r="B618" s="14"/>
      <c r="C618" s="3"/>
      <c r="D618" s="21"/>
      <c r="E618" s="3"/>
      <c r="F618" s="3"/>
      <c r="G618" s="3"/>
      <c r="H618" s="24"/>
      <c r="I618" s="20"/>
      <c r="J618" s="17"/>
    </row>
    <row r="619" spans="1:10" ht="12" customHeight="1" x14ac:dyDescent="0.25">
      <c r="A619" s="1"/>
      <c r="B619" s="14"/>
      <c r="C619" s="3"/>
      <c r="D619" s="21"/>
      <c r="E619" s="3"/>
      <c r="F619" s="3"/>
      <c r="G619" s="3"/>
      <c r="H619" s="24"/>
      <c r="I619" s="20"/>
      <c r="J619" s="17"/>
    </row>
    <row r="620" spans="1:10" ht="12" customHeight="1" x14ac:dyDescent="0.25">
      <c r="A620" s="1"/>
      <c r="B620" s="14"/>
      <c r="C620" s="3"/>
      <c r="D620" s="21"/>
      <c r="E620" s="3"/>
      <c r="F620" s="3"/>
      <c r="G620" s="3"/>
      <c r="H620" s="24"/>
      <c r="I620" s="20"/>
      <c r="J620" s="17"/>
    </row>
    <row r="621" spans="1:10" ht="12" customHeight="1" x14ac:dyDescent="0.25">
      <c r="A621" s="1"/>
      <c r="B621" s="14"/>
      <c r="C621" s="3"/>
      <c r="D621" s="21"/>
      <c r="E621" s="3"/>
      <c r="F621" s="3"/>
      <c r="G621" s="3"/>
      <c r="H621" s="24"/>
      <c r="I621" s="20"/>
      <c r="J621" s="17"/>
    </row>
    <row r="622" spans="1:10" ht="12" customHeight="1" x14ac:dyDescent="0.25">
      <c r="A622" s="1"/>
      <c r="B622" s="14"/>
      <c r="C622" s="3"/>
      <c r="D622" s="21"/>
      <c r="E622" s="3"/>
      <c r="F622" s="3"/>
      <c r="G622" s="3"/>
      <c r="H622" s="24"/>
      <c r="I622" s="20"/>
      <c r="J622" s="17"/>
    </row>
    <row r="623" spans="1:10" ht="12" customHeight="1" x14ac:dyDescent="0.25">
      <c r="A623" s="1"/>
      <c r="B623" s="14"/>
      <c r="C623" s="3"/>
      <c r="D623" s="21"/>
      <c r="E623" s="3"/>
      <c r="F623" s="3"/>
      <c r="G623" s="3"/>
      <c r="H623" s="24"/>
      <c r="I623" s="20"/>
      <c r="J623" s="17"/>
    </row>
    <row r="624" spans="1:10" ht="12" customHeight="1" x14ac:dyDescent="0.25">
      <c r="A624" s="1"/>
      <c r="B624" s="14"/>
      <c r="C624" s="3"/>
      <c r="D624" s="21"/>
      <c r="E624" s="3"/>
      <c r="F624" s="3"/>
      <c r="G624" s="3"/>
      <c r="H624" s="24"/>
      <c r="I624" s="20"/>
      <c r="J624" s="17"/>
    </row>
    <row r="625" spans="1:10" ht="12" customHeight="1" x14ac:dyDescent="0.25">
      <c r="A625" s="1"/>
      <c r="B625" s="14"/>
      <c r="C625" s="3"/>
      <c r="D625" s="21"/>
      <c r="E625" s="3"/>
      <c r="F625" s="3"/>
      <c r="G625" s="3"/>
      <c r="H625" s="24"/>
      <c r="I625" s="20"/>
      <c r="J625" s="17"/>
    </row>
    <row r="626" spans="1:10" ht="12" customHeight="1" x14ac:dyDescent="0.25">
      <c r="A626" s="1"/>
      <c r="B626" s="14"/>
      <c r="C626" s="3"/>
      <c r="D626" s="21"/>
      <c r="E626" s="3"/>
      <c r="F626" s="3"/>
      <c r="G626" s="3"/>
      <c r="H626" s="24"/>
      <c r="I626" s="20"/>
      <c r="J626" s="17"/>
    </row>
    <row r="627" spans="1:10" ht="12" customHeight="1" x14ac:dyDescent="0.25">
      <c r="A627" s="1"/>
      <c r="B627" s="14"/>
      <c r="C627" s="3"/>
      <c r="D627" s="21"/>
      <c r="E627" s="3"/>
      <c r="F627" s="3"/>
      <c r="G627" s="3"/>
      <c r="H627" s="24"/>
      <c r="I627" s="20"/>
      <c r="J627" s="17"/>
    </row>
    <row r="628" spans="1:10" ht="12" customHeight="1" x14ac:dyDescent="0.25">
      <c r="A628" s="1"/>
      <c r="B628" s="14"/>
      <c r="C628" s="3"/>
      <c r="D628" s="21"/>
      <c r="E628" s="3"/>
      <c r="F628" s="3"/>
      <c r="G628" s="3"/>
      <c r="H628" s="24"/>
      <c r="I628" s="20"/>
      <c r="J628" s="17"/>
    </row>
    <row r="629" spans="1:10" ht="12" customHeight="1" x14ac:dyDescent="0.25">
      <c r="A629" s="1"/>
      <c r="B629" s="14"/>
      <c r="C629" s="3"/>
      <c r="D629" s="21"/>
      <c r="E629" s="3"/>
      <c r="F629" s="3"/>
      <c r="G629" s="3"/>
      <c r="H629" s="24"/>
      <c r="I629" s="20"/>
      <c r="J629" s="17"/>
    </row>
    <row r="630" spans="1:10" ht="12" customHeight="1" x14ac:dyDescent="0.25">
      <c r="A630" s="1"/>
      <c r="B630" s="14"/>
      <c r="C630" s="3"/>
      <c r="D630" s="21"/>
      <c r="E630" s="3"/>
      <c r="F630" s="3"/>
      <c r="G630" s="3"/>
      <c r="H630" s="24"/>
      <c r="I630" s="20"/>
      <c r="J630" s="17"/>
    </row>
    <row r="631" spans="1:10" ht="12" customHeight="1" x14ac:dyDescent="0.25">
      <c r="A631" s="1"/>
      <c r="B631" s="14"/>
      <c r="C631" s="3"/>
      <c r="D631" s="21"/>
      <c r="E631" s="3"/>
      <c r="F631" s="3"/>
      <c r="G631" s="3"/>
      <c r="H631" s="24"/>
      <c r="I631" s="20"/>
      <c r="J631" s="17"/>
    </row>
    <row r="632" spans="1:10" ht="12" customHeight="1" x14ac:dyDescent="0.25">
      <c r="A632" s="1"/>
      <c r="B632" s="14"/>
      <c r="C632" s="3"/>
      <c r="D632" s="21"/>
      <c r="E632" s="3"/>
      <c r="F632" s="3"/>
      <c r="G632" s="3"/>
      <c r="H632" s="24"/>
      <c r="I632" s="20"/>
      <c r="J632" s="17"/>
    </row>
    <row r="633" spans="1:10" ht="12" customHeight="1" x14ac:dyDescent="0.25">
      <c r="A633" s="1"/>
      <c r="B633" s="14"/>
      <c r="C633" s="3"/>
      <c r="D633" s="21"/>
      <c r="E633" s="3"/>
      <c r="F633" s="3"/>
      <c r="G633" s="3"/>
      <c r="H633" s="24"/>
      <c r="I633" s="20"/>
      <c r="J633" s="17"/>
    </row>
    <row r="634" spans="1:10" ht="12" customHeight="1" x14ac:dyDescent="0.25">
      <c r="A634" s="1"/>
      <c r="B634" s="14"/>
      <c r="C634" s="3"/>
      <c r="D634" s="21"/>
      <c r="E634" s="3"/>
      <c r="F634" s="3"/>
      <c r="G634" s="3"/>
      <c r="H634" s="24"/>
      <c r="I634" s="20"/>
      <c r="J634" s="17"/>
    </row>
    <row r="635" spans="1:10" ht="12" customHeight="1" x14ac:dyDescent="0.25">
      <c r="A635" s="1"/>
      <c r="B635" s="14"/>
      <c r="C635" s="3"/>
      <c r="D635" s="21"/>
      <c r="E635" s="3"/>
      <c r="F635" s="3"/>
      <c r="G635" s="3"/>
      <c r="H635" s="24"/>
      <c r="I635" s="20"/>
      <c r="J635" s="17"/>
    </row>
    <row r="636" spans="1:10" ht="12" customHeight="1" x14ac:dyDescent="0.25">
      <c r="A636" s="1"/>
      <c r="B636" s="14"/>
      <c r="C636" s="3"/>
      <c r="D636" s="21"/>
      <c r="E636" s="3"/>
      <c r="F636" s="3"/>
      <c r="G636" s="3"/>
      <c r="H636" s="24"/>
      <c r="I636" s="20"/>
      <c r="J636" s="17"/>
    </row>
    <row r="637" spans="1:10" ht="12" customHeight="1" x14ac:dyDescent="0.25">
      <c r="A637" s="1"/>
      <c r="B637" s="14"/>
      <c r="C637" s="3"/>
      <c r="D637" s="21"/>
      <c r="E637" s="3"/>
      <c r="F637" s="3"/>
      <c r="G637" s="3"/>
      <c r="H637" s="24"/>
      <c r="I637" s="20"/>
      <c r="J637" s="17"/>
    </row>
    <row r="638" spans="1:10" ht="12" customHeight="1" x14ac:dyDescent="0.25">
      <c r="A638" s="1"/>
      <c r="B638" s="14"/>
      <c r="C638" s="3"/>
      <c r="D638" s="21"/>
      <c r="E638" s="3"/>
      <c r="F638" s="3"/>
      <c r="G638" s="3"/>
      <c r="H638" s="24"/>
      <c r="I638" s="20"/>
      <c r="J638" s="17"/>
    </row>
    <row r="639" spans="1:10" ht="12" customHeight="1" x14ac:dyDescent="0.25">
      <c r="A639" s="1"/>
      <c r="B639" s="14"/>
      <c r="C639" s="3"/>
      <c r="D639" s="21"/>
      <c r="E639" s="3"/>
      <c r="F639" s="3"/>
      <c r="G639" s="3"/>
      <c r="H639" s="24"/>
      <c r="I639" s="20"/>
      <c r="J639" s="17"/>
    </row>
    <row r="640" spans="1:10" ht="12" customHeight="1" x14ac:dyDescent="0.25">
      <c r="A640" s="1"/>
      <c r="B640" s="14"/>
      <c r="C640" s="3"/>
      <c r="D640" s="21"/>
      <c r="E640" s="3"/>
      <c r="F640" s="3"/>
      <c r="G640" s="3"/>
      <c r="H640" s="24"/>
      <c r="I640" s="20"/>
      <c r="J640" s="17"/>
    </row>
    <row r="641" spans="1:10" ht="12" customHeight="1" x14ac:dyDescent="0.25">
      <c r="A641" s="1"/>
      <c r="B641" s="14"/>
      <c r="C641" s="3"/>
      <c r="D641" s="21"/>
      <c r="E641" s="3"/>
      <c r="F641" s="3"/>
      <c r="G641" s="3"/>
      <c r="H641" s="24"/>
      <c r="I641" s="20"/>
      <c r="J641" s="17"/>
    </row>
    <row r="642" spans="1:10" ht="12" customHeight="1" x14ac:dyDescent="0.25">
      <c r="A642" s="1"/>
      <c r="B642" s="14"/>
      <c r="C642" s="3"/>
      <c r="D642" s="21"/>
      <c r="E642" s="3"/>
      <c r="F642" s="3"/>
      <c r="G642" s="3"/>
      <c r="H642" s="24"/>
      <c r="I642" s="20"/>
      <c r="J642" s="17"/>
    </row>
    <row r="643" spans="1:10" ht="12" customHeight="1" x14ac:dyDescent="0.25">
      <c r="A643" s="1"/>
      <c r="B643" s="14"/>
      <c r="C643" s="3"/>
      <c r="D643" s="21"/>
      <c r="E643" s="3"/>
      <c r="F643" s="3"/>
      <c r="G643" s="3"/>
      <c r="H643" s="24"/>
      <c r="I643" s="20"/>
      <c r="J643" s="17"/>
    </row>
    <row r="644" spans="1:10" ht="12" customHeight="1" x14ac:dyDescent="0.25">
      <c r="A644" s="1"/>
      <c r="B644" s="14"/>
      <c r="C644" s="3"/>
      <c r="D644" s="21"/>
      <c r="E644" s="3"/>
      <c r="F644" s="3"/>
      <c r="G644" s="3"/>
      <c r="H644" s="24"/>
      <c r="I644" s="20"/>
      <c r="J644" s="17"/>
    </row>
    <row r="645" spans="1:10" ht="12" customHeight="1" x14ac:dyDescent="0.25">
      <c r="A645" s="1"/>
      <c r="B645" s="14"/>
      <c r="C645" s="3"/>
      <c r="D645" s="21"/>
      <c r="E645" s="3"/>
      <c r="F645" s="3"/>
      <c r="G645" s="3"/>
      <c r="H645" s="24"/>
      <c r="I645" s="20"/>
      <c r="J645" s="17"/>
    </row>
    <row r="646" spans="1:10" ht="12" customHeight="1" x14ac:dyDescent="0.25">
      <c r="A646" s="1"/>
      <c r="B646" s="14"/>
      <c r="C646" s="3"/>
      <c r="D646" s="21"/>
      <c r="E646" s="3"/>
      <c r="F646" s="3"/>
      <c r="G646" s="3"/>
      <c r="H646" s="24"/>
      <c r="I646" s="20"/>
      <c r="J646" s="17"/>
    </row>
    <row r="647" spans="1:10" ht="12" customHeight="1" x14ac:dyDescent="0.25">
      <c r="A647" s="1"/>
      <c r="B647" s="14"/>
      <c r="C647" s="3"/>
      <c r="D647" s="21"/>
      <c r="E647" s="3"/>
      <c r="F647" s="3"/>
      <c r="G647" s="3"/>
      <c r="H647" s="24"/>
      <c r="I647" s="20"/>
      <c r="J647" s="17"/>
    </row>
    <row r="648" spans="1:10" ht="12" customHeight="1" x14ac:dyDescent="0.25">
      <c r="A648" s="1"/>
      <c r="B648" s="14"/>
      <c r="C648" s="3"/>
      <c r="D648" s="21"/>
      <c r="E648" s="3"/>
      <c r="F648" s="3"/>
      <c r="G648" s="3"/>
      <c r="H648" s="24"/>
      <c r="I648" s="20"/>
      <c r="J648" s="17"/>
    </row>
    <row r="649" spans="1:10" ht="12" customHeight="1" x14ac:dyDescent="0.25">
      <c r="A649" s="1"/>
      <c r="B649" s="14"/>
      <c r="C649" s="3"/>
      <c r="D649" s="21"/>
      <c r="E649" s="3"/>
      <c r="F649" s="3"/>
      <c r="G649" s="3"/>
      <c r="H649" s="24"/>
      <c r="I649" s="20"/>
      <c r="J649" s="17"/>
    </row>
    <row r="650" spans="1:10" ht="12" customHeight="1" x14ac:dyDescent="0.25">
      <c r="A650" s="1"/>
      <c r="B650" s="14"/>
      <c r="C650" s="3"/>
      <c r="D650" s="21"/>
      <c r="E650" s="3"/>
      <c r="F650" s="3"/>
      <c r="G650" s="3"/>
      <c r="H650" s="24"/>
      <c r="I650" s="20"/>
      <c r="J650" s="17"/>
    </row>
    <row r="651" spans="1:10" ht="12" customHeight="1" x14ac:dyDescent="0.25">
      <c r="A651" s="1"/>
      <c r="B651" s="14"/>
      <c r="C651" s="3"/>
      <c r="D651" s="21"/>
      <c r="E651" s="3"/>
      <c r="F651" s="3"/>
      <c r="G651" s="3"/>
      <c r="H651" s="24"/>
      <c r="I651" s="20"/>
      <c r="J651" s="17"/>
    </row>
    <row r="652" spans="1:10" ht="12" customHeight="1" x14ac:dyDescent="0.25">
      <c r="A652" s="1"/>
      <c r="B652" s="14"/>
      <c r="C652" s="3"/>
      <c r="D652" s="21"/>
      <c r="E652" s="3"/>
      <c r="F652" s="3"/>
      <c r="G652" s="3"/>
      <c r="H652" s="24"/>
      <c r="I652" s="20"/>
      <c r="J652" s="17"/>
    </row>
    <row r="653" spans="1:10" ht="12" customHeight="1" x14ac:dyDescent="0.25">
      <c r="A653" s="1"/>
      <c r="B653" s="14"/>
      <c r="C653" s="3"/>
      <c r="D653" s="21"/>
      <c r="E653" s="3"/>
      <c r="F653" s="3"/>
      <c r="G653" s="3"/>
      <c r="H653" s="24"/>
      <c r="I653" s="20"/>
      <c r="J653" s="17"/>
    </row>
    <row r="654" spans="1:10" ht="12" customHeight="1" x14ac:dyDescent="0.25">
      <c r="A654" s="1"/>
      <c r="B654" s="14"/>
      <c r="C654" s="3"/>
      <c r="D654" s="21"/>
      <c r="E654" s="3"/>
      <c r="F654" s="3"/>
      <c r="G654" s="3"/>
      <c r="H654" s="24"/>
      <c r="I654" s="20"/>
      <c r="J654" s="17"/>
    </row>
    <row r="655" spans="1:10" ht="12" customHeight="1" x14ac:dyDescent="0.25">
      <c r="A655" s="1"/>
      <c r="B655" s="14"/>
      <c r="C655" s="3"/>
      <c r="D655" s="21"/>
      <c r="E655" s="3"/>
      <c r="F655" s="3"/>
      <c r="G655" s="3"/>
      <c r="H655" s="24"/>
      <c r="I655" s="20"/>
      <c r="J655" s="17"/>
    </row>
    <row r="656" spans="1:10" ht="12" customHeight="1" x14ac:dyDescent="0.25">
      <c r="A656" s="1"/>
      <c r="B656" s="14"/>
      <c r="C656" s="3"/>
      <c r="D656" s="21"/>
      <c r="E656" s="3"/>
      <c r="F656" s="3"/>
      <c r="G656" s="3"/>
      <c r="H656" s="24"/>
      <c r="I656" s="20"/>
      <c r="J656" s="17"/>
    </row>
    <row r="657" spans="1:10" ht="12" customHeight="1" x14ac:dyDescent="0.25">
      <c r="A657" s="1"/>
      <c r="B657" s="14"/>
      <c r="C657" s="3"/>
      <c r="D657" s="21"/>
      <c r="E657" s="3"/>
      <c r="F657" s="3"/>
      <c r="G657" s="3"/>
      <c r="H657" s="24"/>
      <c r="I657" s="20"/>
      <c r="J657" s="17"/>
    </row>
    <row r="658" spans="1:10" ht="12" customHeight="1" x14ac:dyDescent="0.25">
      <c r="A658" s="1"/>
      <c r="B658" s="14"/>
      <c r="C658" s="3"/>
      <c r="D658" s="21"/>
      <c r="E658" s="3"/>
      <c r="F658" s="3"/>
      <c r="G658" s="3"/>
      <c r="H658" s="24"/>
      <c r="I658" s="20"/>
      <c r="J658" s="17"/>
    </row>
    <row r="659" spans="1:10" ht="12" customHeight="1" x14ac:dyDescent="0.25">
      <c r="A659" s="1"/>
      <c r="B659" s="14"/>
      <c r="C659" s="3"/>
      <c r="D659" s="21"/>
      <c r="E659" s="3"/>
      <c r="F659" s="3"/>
      <c r="G659" s="3"/>
      <c r="H659" s="24"/>
      <c r="I659" s="20"/>
      <c r="J659" s="17"/>
    </row>
    <row r="660" spans="1:10" ht="12" customHeight="1" x14ac:dyDescent="0.25">
      <c r="A660" s="1"/>
      <c r="B660" s="14"/>
      <c r="C660" s="3"/>
      <c r="D660" s="21"/>
      <c r="E660" s="3"/>
      <c r="F660" s="3"/>
      <c r="G660" s="3"/>
      <c r="H660" s="24"/>
      <c r="I660" s="20"/>
      <c r="J660" s="17"/>
    </row>
    <row r="661" spans="1:10" ht="12" customHeight="1" x14ac:dyDescent="0.25">
      <c r="A661" s="1"/>
      <c r="B661" s="14"/>
      <c r="C661" s="3"/>
      <c r="D661" s="21"/>
      <c r="E661" s="3"/>
      <c r="F661" s="3"/>
      <c r="G661" s="3"/>
      <c r="H661" s="24"/>
      <c r="I661" s="20"/>
      <c r="J661" s="17"/>
    </row>
    <row r="662" spans="1:10" ht="12" customHeight="1" x14ac:dyDescent="0.25">
      <c r="A662" s="1"/>
      <c r="B662" s="14"/>
      <c r="C662" s="3"/>
      <c r="D662" s="21"/>
      <c r="E662" s="3"/>
      <c r="F662" s="3"/>
      <c r="G662" s="3"/>
      <c r="H662" s="24"/>
      <c r="I662" s="20"/>
      <c r="J662" s="17"/>
    </row>
    <row r="663" spans="1:10" ht="12" customHeight="1" x14ac:dyDescent="0.25">
      <c r="A663" s="1"/>
      <c r="B663" s="14"/>
      <c r="C663" s="3"/>
      <c r="D663" s="21"/>
      <c r="E663" s="3"/>
      <c r="F663" s="3"/>
      <c r="G663" s="3"/>
      <c r="H663" s="24"/>
      <c r="I663" s="20"/>
      <c r="J663" s="17"/>
    </row>
    <row r="664" spans="1:10" ht="12" customHeight="1" x14ac:dyDescent="0.25">
      <c r="A664" s="1"/>
      <c r="B664" s="14"/>
      <c r="C664" s="3"/>
      <c r="D664" s="21"/>
      <c r="E664" s="3"/>
      <c r="F664" s="3"/>
      <c r="G664" s="3"/>
      <c r="H664" s="24"/>
      <c r="I664" s="20"/>
      <c r="J664" s="17"/>
    </row>
    <row r="665" spans="1:10" ht="12" customHeight="1" x14ac:dyDescent="0.25">
      <c r="A665" s="1"/>
      <c r="B665" s="14"/>
      <c r="C665" s="3"/>
      <c r="D665" s="21"/>
      <c r="E665" s="3"/>
      <c r="F665" s="3"/>
      <c r="G665" s="3"/>
      <c r="H665" s="24"/>
      <c r="I665" s="20"/>
      <c r="J665" s="17"/>
    </row>
    <row r="666" spans="1:10" ht="12" customHeight="1" x14ac:dyDescent="0.25">
      <c r="A666" s="1"/>
      <c r="B666" s="14"/>
      <c r="C666" s="3"/>
      <c r="D666" s="21"/>
      <c r="E666" s="3"/>
      <c r="F666" s="3"/>
      <c r="G666" s="3"/>
      <c r="H666" s="24"/>
      <c r="I666" s="20"/>
      <c r="J666" s="17"/>
    </row>
    <row r="667" spans="1:10" ht="12" customHeight="1" x14ac:dyDescent="0.25">
      <c r="A667" s="1"/>
      <c r="B667" s="14"/>
      <c r="C667" s="3"/>
      <c r="D667" s="21"/>
      <c r="E667" s="3"/>
      <c r="F667" s="3"/>
      <c r="G667" s="3"/>
      <c r="H667" s="24"/>
      <c r="I667" s="20"/>
      <c r="J667" s="17"/>
    </row>
    <row r="668" spans="1:10" ht="12" customHeight="1" x14ac:dyDescent="0.25">
      <c r="A668" s="1"/>
      <c r="B668" s="14"/>
      <c r="C668" s="3"/>
      <c r="D668" s="21"/>
      <c r="E668" s="3"/>
      <c r="F668" s="3"/>
      <c r="G668" s="3"/>
      <c r="H668" s="24"/>
      <c r="I668" s="20"/>
      <c r="J668" s="17"/>
    </row>
    <row r="669" spans="1:10" ht="12" customHeight="1" x14ac:dyDescent="0.25">
      <c r="A669" s="1"/>
      <c r="B669" s="14"/>
      <c r="C669" s="3"/>
      <c r="D669" s="21"/>
      <c r="E669" s="3"/>
      <c r="F669" s="3"/>
      <c r="G669" s="3"/>
      <c r="H669" s="24"/>
      <c r="I669" s="20"/>
      <c r="J669" s="17"/>
    </row>
    <row r="670" spans="1:10" ht="12" customHeight="1" x14ac:dyDescent="0.25">
      <c r="A670" s="1"/>
      <c r="B670" s="14"/>
      <c r="C670" s="3"/>
      <c r="D670" s="21"/>
      <c r="E670" s="3"/>
      <c r="F670" s="3"/>
      <c r="G670" s="3"/>
      <c r="H670" s="24"/>
      <c r="I670" s="20"/>
      <c r="J670" s="17"/>
    </row>
    <row r="671" spans="1:10" ht="12" customHeight="1" x14ac:dyDescent="0.25">
      <c r="A671" s="1"/>
      <c r="B671" s="14"/>
      <c r="C671" s="3"/>
      <c r="D671" s="21"/>
      <c r="E671" s="3"/>
      <c r="F671" s="3"/>
      <c r="G671" s="3"/>
      <c r="H671" s="24"/>
      <c r="I671" s="20"/>
      <c r="J671" s="17"/>
    </row>
    <row r="672" spans="1:10" ht="12" customHeight="1" x14ac:dyDescent="0.25">
      <c r="A672" s="1"/>
      <c r="B672" s="14"/>
      <c r="C672" s="3"/>
      <c r="D672" s="21"/>
      <c r="E672" s="3"/>
      <c r="F672" s="3"/>
      <c r="G672" s="3"/>
      <c r="H672" s="24"/>
      <c r="I672" s="20"/>
      <c r="J672" s="17"/>
    </row>
    <row r="673" spans="1:10" ht="12" customHeight="1" x14ac:dyDescent="0.25">
      <c r="A673" s="1"/>
      <c r="B673" s="14"/>
      <c r="C673" s="3"/>
      <c r="D673" s="21"/>
      <c r="E673" s="3"/>
      <c r="F673" s="3"/>
      <c r="G673" s="3"/>
      <c r="H673" s="24"/>
      <c r="I673" s="20"/>
      <c r="J673" s="17"/>
    </row>
    <row r="674" spans="1:10" ht="12" customHeight="1" x14ac:dyDescent="0.25">
      <c r="A674" s="1"/>
      <c r="B674" s="14"/>
      <c r="C674" s="3"/>
      <c r="D674" s="21"/>
      <c r="E674" s="3"/>
      <c r="F674" s="3"/>
      <c r="G674" s="3"/>
      <c r="H674" s="24"/>
      <c r="I674" s="20"/>
      <c r="J674" s="17"/>
    </row>
    <row r="675" spans="1:10" ht="12" customHeight="1" x14ac:dyDescent="0.25">
      <c r="A675" s="1"/>
      <c r="B675" s="14"/>
      <c r="C675" s="3"/>
      <c r="D675" s="21"/>
      <c r="E675" s="3"/>
      <c r="F675" s="3"/>
      <c r="G675" s="3"/>
      <c r="H675" s="24"/>
      <c r="I675" s="20"/>
      <c r="J675" s="17"/>
    </row>
    <row r="676" spans="1:10" ht="12" customHeight="1" x14ac:dyDescent="0.25">
      <c r="A676" s="1"/>
      <c r="B676" s="14"/>
      <c r="C676" s="3"/>
      <c r="D676" s="21"/>
      <c r="E676" s="3"/>
      <c r="F676" s="3"/>
      <c r="G676" s="3"/>
      <c r="H676" s="24"/>
      <c r="I676" s="20"/>
      <c r="J676" s="17"/>
    </row>
    <row r="677" spans="1:10" ht="12" customHeight="1" x14ac:dyDescent="0.25">
      <c r="A677" s="1"/>
      <c r="B677" s="14"/>
      <c r="C677" s="3"/>
      <c r="D677" s="21"/>
      <c r="E677" s="3"/>
      <c r="F677" s="3"/>
      <c r="G677" s="3"/>
      <c r="H677" s="24"/>
      <c r="I677" s="20"/>
      <c r="J677" s="17"/>
    </row>
    <row r="678" spans="1:10" ht="12" customHeight="1" x14ac:dyDescent="0.25">
      <c r="A678" s="1"/>
      <c r="B678" s="14"/>
      <c r="C678" s="3"/>
      <c r="D678" s="21"/>
      <c r="E678" s="3"/>
      <c r="F678" s="3"/>
      <c r="G678" s="3"/>
      <c r="H678" s="24"/>
      <c r="I678" s="20"/>
      <c r="J678" s="17"/>
    </row>
    <row r="679" spans="1:10" ht="12" customHeight="1" x14ac:dyDescent="0.25">
      <c r="A679" s="1"/>
      <c r="B679" s="14"/>
      <c r="C679" s="3"/>
      <c r="D679" s="21"/>
      <c r="E679" s="3"/>
      <c r="F679" s="3"/>
      <c r="G679" s="3"/>
      <c r="H679" s="24"/>
      <c r="I679" s="20"/>
      <c r="J679" s="17"/>
    </row>
    <row r="680" spans="1:10" ht="12" customHeight="1" x14ac:dyDescent="0.25">
      <c r="A680" s="1"/>
      <c r="B680" s="14"/>
      <c r="C680" s="3"/>
      <c r="D680" s="21"/>
      <c r="E680" s="3"/>
      <c r="F680" s="3"/>
      <c r="G680" s="3"/>
      <c r="H680" s="24"/>
      <c r="I680" s="20"/>
      <c r="J680" s="17"/>
    </row>
    <row r="681" spans="1:10" ht="12" customHeight="1" x14ac:dyDescent="0.25">
      <c r="A681" s="1"/>
      <c r="B681" s="14"/>
      <c r="C681" s="3"/>
      <c r="D681" s="21"/>
      <c r="E681" s="3"/>
      <c r="F681" s="3"/>
      <c r="G681" s="3"/>
      <c r="H681" s="24"/>
      <c r="I681" s="20"/>
      <c r="J681" s="17"/>
    </row>
    <row r="682" spans="1:10" ht="12" customHeight="1" x14ac:dyDescent="0.25">
      <c r="A682" s="1"/>
      <c r="B682" s="14"/>
      <c r="C682" s="3"/>
      <c r="D682" s="21"/>
      <c r="E682" s="3"/>
      <c r="F682" s="3"/>
      <c r="G682" s="3"/>
      <c r="H682" s="24"/>
      <c r="I682" s="20"/>
      <c r="J682" s="17"/>
    </row>
    <row r="683" spans="1:10" ht="12" customHeight="1" x14ac:dyDescent="0.25">
      <c r="A683" s="1"/>
      <c r="B683" s="14"/>
      <c r="C683" s="3"/>
      <c r="D683" s="21"/>
      <c r="E683" s="3"/>
      <c r="F683" s="3"/>
      <c r="G683" s="3"/>
      <c r="H683" s="24"/>
      <c r="I683" s="20"/>
      <c r="J683" s="17"/>
    </row>
    <row r="684" spans="1:10" ht="12" customHeight="1" x14ac:dyDescent="0.25">
      <c r="A684" s="1"/>
      <c r="B684" s="14"/>
      <c r="C684" s="3"/>
      <c r="D684" s="21"/>
      <c r="E684" s="3"/>
      <c r="F684" s="3"/>
      <c r="G684" s="3"/>
      <c r="H684" s="24"/>
      <c r="I684" s="20"/>
      <c r="J684" s="17"/>
    </row>
    <row r="685" spans="1:10" ht="12" customHeight="1" x14ac:dyDescent="0.25">
      <c r="A685" s="1"/>
      <c r="B685" s="14"/>
      <c r="C685" s="3"/>
      <c r="D685" s="21"/>
      <c r="E685" s="3"/>
      <c r="F685" s="3"/>
      <c r="G685" s="3"/>
      <c r="H685" s="24"/>
      <c r="I685" s="20"/>
      <c r="J685" s="17"/>
    </row>
    <row r="686" spans="1:10" ht="12" customHeight="1" x14ac:dyDescent="0.25">
      <c r="A686" s="1"/>
      <c r="B686" s="14"/>
      <c r="C686" s="3"/>
      <c r="D686" s="21"/>
      <c r="E686" s="3"/>
      <c r="F686" s="3"/>
      <c r="G686" s="3"/>
      <c r="H686" s="24"/>
      <c r="I686" s="20"/>
      <c r="J686" s="17"/>
    </row>
    <row r="687" spans="1:10" ht="12" customHeight="1" x14ac:dyDescent="0.25">
      <c r="A687" s="1"/>
      <c r="B687" s="14"/>
      <c r="C687" s="3"/>
      <c r="D687" s="21"/>
      <c r="E687" s="3"/>
      <c r="F687" s="3"/>
      <c r="G687" s="3"/>
      <c r="H687" s="24"/>
      <c r="I687" s="20"/>
      <c r="J687" s="17"/>
    </row>
    <row r="688" spans="1:10" ht="12" customHeight="1" x14ac:dyDescent="0.25">
      <c r="A688" s="1"/>
      <c r="B688" s="14"/>
      <c r="C688" s="3"/>
      <c r="D688" s="21"/>
      <c r="E688" s="3"/>
      <c r="F688" s="3"/>
      <c r="G688" s="3"/>
      <c r="H688" s="24"/>
      <c r="I688" s="20"/>
      <c r="J688" s="17"/>
    </row>
    <row r="689" spans="1:10" ht="12" customHeight="1" x14ac:dyDescent="0.25">
      <c r="A689" s="1"/>
      <c r="B689" s="14"/>
      <c r="C689" s="3"/>
      <c r="D689" s="21"/>
      <c r="E689" s="3"/>
      <c r="F689" s="3"/>
      <c r="G689" s="3"/>
      <c r="H689" s="24"/>
      <c r="I689" s="20"/>
      <c r="J689" s="17"/>
    </row>
    <row r="690" spans="1:10" ht="12" customHeight="1" x14ac:dyDescent="0.25">
      <c r="A690" s="1"/>
      <c r="B690" s="14"/>
      <c r="C690" s="3"/>
      <c r="D690" s="21"/>
      <c r="E690" s="3"/>
      <c r="F690" s="3"/>
      <c r="G690" s="3"/>
      <c r="H690" s="24"/>
      <c r="I690" s="20"/>
      <c r="J690" s="17"/>
    </row>
    <row r="691" spans="1:10" ht="12" customHeight="1" x14ac:dyDescent="0.25">
      <c r="A691" s="1"/>
      <c r="B691" s="14"/>
      <c r="C691" s="3"/>
      <c r="D691" s="21"/>
      <c r="E691" s="3"/>
      <c r="F691" s="3"/>
      <c r="G691" s="3"/>
      <c r="H691" s="24"/>
      <c r="I691" s="20"/>
      <c r="J691" s="17"/>
    </row>
    <row r="692" spans="1:10" ht="12" customHeight="1" x14ac:dyDescent="0.25">
      <c r="A692" s="1"/>
      <c r="B692" s="14"/>
      <c r="C692" s="3"/>
      <c r="D692" s="21"/>
      <c r="E692" s="3"/>
      <c r="F692" s="3"/>
      <c r="G692" s="3"/>
      <c r="H692" s="24"/>
      <c r="I692" s="20"/>
      <c r="J692" s="17"/>
    </row>
    <row r="693" spans="1:10" ht="12" customHeight="1" x14ac:dyDescent="0.25">
      <c r="A693" s="1"/>
      <c r="B693" s="14"/>
      <c r="C693" s="3"/>
      <c r="D693" s="21"/>
      <c r="E693" s="3"/>
      <c r="F693" s="3"/>
      <c r="G693" s="3"/>
      <c r="H693" s="24"/>
      <c r="I693" s="20"/>
      <c r="J693" s="17"/>
    </row>
    <row r="694" spans="1:10" ht="12" customHeight="1" x14ac:dyDescent="0.25">
      <c r="A694" s="1"/>
      <c r="B694" s="14"/>
      <c r="C694" s="3"/>
      <c r="D694" s="21"/>
      <c r="E694" s="3"/>
      <c r="F694" s="3"/>
      <c r="G694" s="3"/>
      <c r="H694" s="24"/>
      <c r="I694" s="20"/>
      <c r="J694" s="17"/>
    </row>
    <row r="695" spans="1:10" ht="12" customHeight="1" x14ac:dyDescent="0.25">
      <c r="A695" s="1"/>
      <c r="B695" s="14"/>
      <c r="C695" s="3"/>
      <c r="D695" s="21"/>
      <c r="E695" s="3"/>
      <c r="F695" s="3"/>
      <c r="G695" s="3"/>
      <c r="H695" s="24"/>
      <c r="I695" s="20"/>
      <c r="J695" s="17"/>
    </row>
    <row r="696" spans="1:10" ht="12" customHeight="1" x14ac:dyDescent="0.25">
      <c r="A696" s="1"/>
      <c r="B696" s="14"/>
      <c r="C696" s="3"/>
      <c r="D696" s="21"/>
      <c r="E696" s="3"/>
      <c r="F696" s="3"/>
      <c r="G696" s="3"/>
      <c r="H696" s="24"/>
      <c r="I696" s="20"/>
      <c r="J696" s="17"/>
    </row>
    <row r="697" spans="1:10" ht="12" customHeight="1" x14ac:dyDescent="0.25">
      <c r="A697" s="1"/>
      <c r="B697" s="14"/>
      <c r="C697" s="3"/>
      <c r="D697" s="21"/>
      <c r="E697" s="3"/>
      <c r="F697" s="3"/>
      <c r="G697" s="3"/>
      <c r="H697" s="24"/>
      <c r="I697" s="20"/>
      <c r="J697" s="17"/>
    </row>
    <row r="698" spans="1:10" ht="12" customHeight="1" x14ac:dyDescent="0.25">
      <c r="A698" s="1"/>
      <c r="B698" s="14"/>
      <c r="C698" s="3"/>
      <c r="D698" s="21"/>
      <c r="E698" s="3"/>
      <c r="F698" s="3"/>
      <c r="G698" s="3"/>
      <c r="H698" s="24"/>
      <c r="I698" s="20"/>
      <c r="J698" s="17"/>
    </row>
    <row r="699" spans="1:10" ht="12" customHeight="1" x14ac:dyDescent="0.25">
      <c r="A699" s="1"/>
      <c r="B699" s="14"/>
      <c r="C699" s="3"/>
      <c r="D699" s="21"/>
      <c r="E699" s="3"/>
      <c r="F699" s="3"/>
      <c r="G699" s="3"/>
      <c r="H699" s="24"/>
      <c r="I699" s="20"/>
      <c r="J699" s="17"/>
    </row>
    <row r="700" spans="1:10" ht="12" customHeight="1" x14ac:dyDescent="0.25">
      <c r="A700" s="1"/>
      <c r="B700" s="14"/>
      <c r="C700" s="3"/>
      <c r="D700" s="21"/>
      <c r="E700" s="3"/>
      <c r="F700" s="3"/>
      <c r="G700" s="3"/>
      <c r="H700" s="24"/>
      <c r="I700" s="20"/>
      <c r="J700" s="17"/>
    </row>
    <row r="701" spans="1:10" ht="12" customHeight="1" x14ac:dyDescent="0.25">
      <c r="A701" s="1"/>
      <c r="B701" s="14"/>
      <c r="C701" s="3"/>
      <c r="D701" s="21"/>
      <c r="E701" s="3"/>
      <c r="F701" s="3"/>
      <c r="G701" s="3"/>
      <c r="H701" s="24"/>
      <c r="I701" s="20"/>
      <c r="J701" s="17"/>
    </row>
    <row r="702" spans="1:10" ht="12" customHeight="1" x14ac:dyDescent="0.25">
      <c r="A702" s="1"/>
      <c r="B702" s="14"/>
      <c r="C702" s="3"/>
      <c r="D702" s="21"/>
      <c r="E702" s="3"/>
      <c r="F702" s="3"/>
      <c r="G702" s="3"/>
      <c r="H702" s="24"/>
      <c r="I702" s="20"/>
      <c r="J702" s="17"/>
    </row>
    <row r="703" spans="1:10" ht="12" customHeight="1" x14ac:dyDescent="0.25">
      <c r="A703" s="1"/>
      <c r="B703" s="14"/>
      <c r="C703" s="3"/>
      <c r="D703" s="21"/>
      <c r="E703" s="3"/>
      <c r="F703" s="3"/>
      <c r="G703" s="3"/>
      <c r="H703" s="24"/>
      <c r="I703" s="20"/>
      <c r="J703" s="17"/>
    </row>
    <row r="704" spans="1:10" ht="12" customHeight="1" x14ac:dyDescent="0.25">
      <c r="A704" s="1"/>
      <c r="B704" s="14"/>
      <c r="C704" s="3"/>
      <c r="D704" s="21"/>
      <c r="E704" s="3"/>
      <c r="F704" s="3"/>
      <c r="G704" s="3"/>
      <c r="H704" s="24"/>
      <c r="I704" s="20"/>
      <c r="J704" s="17"/>
    </row>
    <row r="705" spans="1:10" ht="12" customHeight="1" x14ac:dyDescent="0.25">
      <c r="A705" s="1"/>
      <c r="B705" s="14"/>
      <c r="C705" s="3"/>
      <c r="D705" s="21"/>
      <c r="E705" s="3"/>
      <c r="F705" s="3"/>
      <c r="G705" s="3"/>
      <c r="H705" s="24"/>
      <c r="I705" s="20"/>
      <c r="J705" s="17"/>
    </row>
    <row r="706" spans="1:10" ht="12" customHeight="1" x14ac:dyDescent="0.25">
      <c r="A706" s="1"/>
      <c r="B706" s="14"/>
      <c r="C706" s="3"/>
      <c r="D706" s="21"/>
      <c r="E706" s="3"/>
      <c r="F706" s="3"/>
      <c r="G706" s="3"/>
      <c r="H706" s="24"/>
      <c r="I706" s="20"/>
      <c r="J706" s="17"/>
    </row>
    <row r="707" spans="1:10" ht="12" customHeight="1" x14ac:dyDescent="0.25">
      <c r="A707" s="1"/>
      <c r="B707" s="14"/>
      <c r="C707" s="3"/>
      <c r="D707" s="21"/>
      <c r="E707" s="3"/>
      <c r="F707" s="3"/>
      <c r="G707" s="3"/>
      <c r="H707" s="24"/>
      <c r="I707" s="20"/>
      <c r="J707" s="17"/>
    </row>
    <row r="708" spans="1:10" ht="12" customHeight="1" x14ac:dyDescent="0.25">
      <c r="A708" s="1"/>
      <c r="B708" s="14"/>
      <c r="C708" s="3"/>
      <c r="D708" s="21"/>
      <c r="E708" s="3"/>
      <c r="F708" s="3"/>
      <c r="G708" s="3"/>
      <c r="H708" s="24"/>
      <c r="I708" s="20"/>
      <c r="J708" s="17"/>
    </row>
    <row r="709" spans="1:10" ht="12" customHeight="1" x14ac:dyDescent="0.25">
      <c r="A709" s="1"/>
      <c r="B709" s="14"/>
      <c r="C709" s="3"/>
      <c r="D709" s="21"/>
      <c r="E709" s="3"/>
      <c r="F709" s="3"/>
      <c r="G709" s="3"/>
      <c r="H709" s="24"/>
      <c r="I709" s="20"/>
      <c r="J709" s="17"/>
    </row>
    <row r="710" spans="1:10" ht="12" customHeight="1" x14ac:dyDescent="0.25">
      <c r="A710" s="1"/>
      <c r="B710" s="14"/>
      <c r="C710" s="3"/>
      <c r="D710" s="21"/>
      <c r="E710" s="3"/>
      <c r="F710" s="3"/>
      <c r="G710" s="3"/>
      <c r="H710" s="24"/>
      <c r="I710" s="20"/>
      <c r="J710" s="17"/>
    </row>
    <row r="711" spans="1:10" ht="12" customHeight="1" x14ac:dyDescent="0.25">
      <c r="A711" s="1"/>
      <c r="B711" s="14"/>
      <c r="C711" s="3"/>
      <c r="D711" s="21"/>
      <c r="E711" s="3"/>
      <c r="F711" s="3"/>
      <c r="G711" s="3"/>
      <c r="H711" s="24"/>
      <c r="I711" s="20"/>
      <c r="J711" s="17"/>
    </row>
    <row r="712" spans="1:10" ht="12" customHeight="1" x14ac:dyDescent="0.25">
      <c r="A712" s="1"/>
      <c r="B712" s="14"/>
      <c r="C712" s="3"/>
      <c r="D712" s="21"/>
      <c r="E712" s="3"/>
      <c r="F712" s="3"/>
      <c r="G712" s="3"/>
      <c r="H712" s="24"/>
      <c r="I712" s="20"/>
      <c r="J712" s="17"/>
    </row>
    <row r="713" spans="1:10" ht="12" customHeight="1" x14ac:dyDescent="0.25">
      <c r="A713" s="1"/>
      <c r="B713" s="14"/>
      <c r="C713" s="3"/>
      <c r="D713" s="21"/>
      <c r="E713" s="3"/>
      <c r="F713" s="3"/>
      <c r="G713" s="3"/>
      <c r="H713" s="24"/>
      <c r="I713" s="20"/>
      <c r="J713" s="17"/>
    </row>
    <row r="714" spans="1:10" ht="12" customHeight="1" x14ac:dyDescent="0.25">
      <c r="A714" s="1"/>
      <c r="B714" s="14"/>
      <c r="C714" s="3"/>
      <c r="D714" s="21"/>
      <c r="E714" s="3"/>
      <c r="F714" s="3"/>
      <c r="G714" s="3"/>
      <c r="H714" s="24"/>
      <c r="I714" s="20"/>
      <c r="J714" s="17"/>
    </row>
    <row r="715" spans="1:10" ht="12" customHeight="1" x14ac:dyDescent="0.25">
      <c r="A715" s="1"/>
      <c r="B715" s="14"/>
      <c r="C715" s="3"/>
      <c r="D715" s="21"/>
      <c r="E715" s="3"/>
      <c r="F715" s="3"/>
      <c r="G715" s="3"/>
      <c r="H715" s="24"/>
      <c r="I715" s="20"/>
      <c r="J715" s="17"/>
    </row>
    <row r="716" spans="1:10" ht="12" customHeight="1" x14ac:dyDescent="0.25">
      <c r="A716" s="1"/>
      <c r="B716" s="14"/>
      <c r="C716" s="3"/>
      <c r="D716" s="21"/>
      <c r="E716" s="3"/>
      <c r="F716" s="3"/>
      <c r="G716" s="3"/>
      <c r="H716" s="24"/>
      <c r="I716" s="20"/>
      <c r="J716" s="17"/>
    </row>
    <row r="717" spans="1:10" ht="12" customHeight="1" x14ac:dyDescent="0.25">
      <c r="A717" s="1"/>
      <c r="B717" s="14"/>
      <c r="C717" s="3"/>
      <c r="D717" s="21"/>
      <c r="E717" s="3"/>
      <c r="F717" s="3"/>
      <c r="G717" s="3"/>
      <c r="H717" s="24"/>
      <c r="I717" s="20"/>
      <c r="J717" s="17"/>
    </row>
    <row r="718" spans="1:10" ht="12" customHeight="1" x14ac:dyDescent="0.25">
      <c r="A718" s="1"/>
      <c r="B718" s="14"/>
      <c r="C718" s="3"/>
      <c r="D718" s="21"/>
      <c r="E718" s="3"/>
      <c r="F718" s="3"/>
      <c r="G718" s="3"/>
      <c r="H718" s="24"/>
      <c r="I718" s="20"/>
      <c r="J718" s="17"/>
    </row>
    <row r="719" spans="1:10" ht="12" customHeight="1" x14ac:dyDescent="0.25">
      <c r="A719" s="1"/>
      <c r="B719" s="14"/>
      <c r="C719" s="3"/>
      <c r="D719" s="21"/>
      <c r="E719" s="3"/>
      <c r="F719" s="3"/>
      <c r="G719" s="3"/>
      <c r="H719" s="24"/>
      <c r="I719" s="20"/>
      <c r="J719" s="17"/>
    </row>
    <row r="720" spans="1:10" ht="12" customHeight="1" x14ac:dyDescent="0.25">
      <c r="A720" s="1"/>
      <c r="B720" s="14"/>
      <c r="C720" s="3"/>
      <c r="D720" s="21"/>
      <c r="E720" s="3"/>
      <c r="F720" s="3"/>
      <c r="G720" s="3"/>
      <c r="H720" s="24"/>
      <c r="I720" s="20"/>
      <c r="J720" s="17"/>
    </row>
    <row r="721" spans="1:10" ht="12" customHeight="1" x14ac:dyDescent="0.25">
      <c r="A721" s="1"/>
      <c r="B721" s="14"/>
      <c r="C721" s="3"/>
      <c r="D721" s="21"/>
      <c r="E721" s="3"/>
      <c r="F721" s="3"/>
      <c r="G721" s="3"/>
      <c r="H721" s="24"/>
      <c r="I721" s="20"/>
      <c r="J721" s="17"/>
    </row>
    <row r="722" spans="1:10" ht="12" customHeight="1" x14ac:dyDescent="0.25">
      <c r="A722" s="1"/>
      <c r="B722" s="14"/>
      <c r="C722" s="3"/>
      <c r="D722" s="21"/>
      <c r="E722" s="3"/>
      <c r="F722" s="3"/>
      <c r="G722" s="3"/>
      <c r="H722" s="24"/>
      <c r="I722" s="20"/>
      <c r="J722" s="17"/>
    </row>
    <row r="723" spans="1:10" ht="12" customHeight="1" x14ac:dyDescent="0.25">
      <c r="A723" s="1"/>
      <c r="B723" s="14"/>
      <c r="C723" s="3"/>
      <c r="D723" s="21"/>
      <c r="E723" s="3"/>
      <c r="F723" s="3"/>
      <c r="G723" s="3"/>
      <c r="H723" s="24"/>
      <c r="I723" s="20"/>
      <c r="J723" s="17"/>
    </row>
    <row r="724" spans="1:10" ht="12" customHeight="1" x14ac:dyDescent="0.25">
      <c r="A724" s="1"/>
      <c r="B724" s="14"/>
      <c r="C724" s="3"/>
      <c r="D724" s="21"/>
      <c r="E724" s="3"/>
      <c r="F724" s="3"/>
      <c r="G724" s="3"/>
      <c r="H724" s="24"/>
      <c r="I724" s="20"/>
      <c r="J724" s="17"/>
    </row>
    <row r="725" spans="1:10" ht="12" customHeight="1" x14ac:dyDescent="0.25">
      <c r="A725" s="1"/>
      <c r="B725" s="14"/>
      <c r="C725" s="3"/>
      <c r="D725" s="21"/>
      <c r="E725" s="3"/>
      <c r="F725" s="3"/>
      <c r="G725" s="3"/>
      <c r="H725" s="24"/>
      <c r="I725" s="20"/>
      <c r="J725" s="17"/>
    </row>
    <row r="726" spans="1:10" ht="12" customHeight="1" x14ac:dyDescent="0.25">
      <c r="A726" s="1"/>
      <c r="B726" s="14"/>
      <c r="C726" s="3"/>
      <c r="D726" s="21"/>
      <c r="E726" s="3"/>
      <c r="F726" s="3"/>
      <c r="G726" s="3"/>
      <c r="H726" s="24"/>
      <c r="I726" s="20"/>
      <c r="J726" s="17"/>
    </row>
    <row r="727" spans="1:10" ht="12" customHeight="1" x14ac:dyDescent="0.25">
      <c r="A727" s="1"/>
      <c r="B727" s="14"/>
      <c r="C727" s="3"/>
      <c r="D727" s="21"/>
      <c r="E727" s="3"/>
      <c r="F727" s="3"/>
      <c r="G727" s="3"/>
      <c r="H727" s="24"/>
      <c r="I727" s="20"/>
      <c r="J727" s="17"/>
    </row>
    <row r="728" spans="1:10" ht="12" customHeight="1" x14ac:dyDescent="0.25">
      <c r="A728" s="1"/>
      <c r="B728" s="3"/>
      <c r="C728" s="3"/>
      <c r="D728" s="12"/>
    </row>
    <row r="729" spans="1:10" ht="12" customHeight="1" x14ac:dyDescent="0.25">
      <c r="A729" s="1"/>
      <c r="B729" s="3"/>
      <c r="C729" s="3"/>
      <c r="D729" s="12"/>
    </row>
    <row r="730" spans="1:10" ht="12" customHeight="1" x14ac:dyDescent="0.25">
      <c r="A730" s="1"/>
      <c r="B730" s="3"/>
      <c r="C730" s="3"/>
      <c r="D730" s="12"/>
    </row>
    <row r="731" spans="1:10" ht="12" customHeight="1" x14ac:dyDescent="0.25">
      <c r="A731" s="1"/>
      <c r="B731" s="3"/>
      <c r="C731" s="3"/>
      <c r="D731" s="12"/>
    </row>
    <row r="732" spans="1:10" ht="12" customHeight="1" x14ac:dyDescent="0.25">
      <c r="A732" s="1"/>
      <c r="B732" s="3"/>
      <c r="C732" s="3"/>
      <c r="D732" s="12"/>
    </row>
    <row r="733" spans="1:10" ht="12" customHeight="1" x14ac:dyDescent="0.25">
      <c r="A733" s="1"/>
      <c r="B733" s="3"/>
      <c r="C733" s="3"/>
      <c r="D733" s="12"/>
    </row>
    <row r="734" spans="1:10" ht="12" customHeight="1" x14ac:dyDescent="0.25">
      <c r="A734" s="1"/>
      <c r="B734" s="3"/>
      <c r="C734" s="3"/>
      <c r="D734" s="12"/>
    </row>
    <row r="735" spans="1:10" ht="12" customHeight="1" x14ac:dyDescent="0.25">
      <c r="A735" s="1"/>
      <c r="B735" s="3"/>
      <c r="C735" s="3"/>
      <c r="D735" s="12"/>
    </row>
    <row r="736" spans="1:10" ht="12" customHeight="1" x14ac:dyDescent="0.25">
      <c r="A736" s="1"/>
      <c r="B736" s="3"/>
      <c r="C736" s="3"/>
      <c r="D736" s="12"/>
    </row>
    <row r="737" spans="1:4" ht="12" customHeight="1" x14ac:dyDescent="0.25">
      <c r="A737" s="1"/>
      <c r="B737" s="3"/>
      <c r="C737" s="3"/>
      <c r="D737" s="12"/>
    </row>
    <row r="738" spans="1:4" ht="12" customHeight="1" x14ac:dyDescent="0.25">
      <c r="A738" s="1"/>
      <c r="B738" s="3"/>
      <c r="C738" s="3"/>
      <c r="D738" s="12"/>
    </row>
    <row r="739" spans="1:4" ht="12" customHeight="1" x14ac:dyDescent="0.25">
      <c r="A739" s="1"/>
      <c r="B739" s="3"/>
      <c r="C739" s="3"/>
      <c r="D739" s="12"/>
    </row>
    <row r="740" spans="1:4" ht="12" customHeight="1" x14ac:dyDescent="0.25">
      <c r="A740" s="1"/>
      <c r="B740" s="3"/>
      <c r="C740" s="3"/>
      <c r="D740" s="12"/>
    </row>
    <row r="741" spans="1:4" ht="12" customHeight="1" x14ac:dyDescent="0.25">
      <c r="A741" s="1"/>
      <c r="B741" s="3"/>
      <c r="C741" s="3"/>
      <c r="D741" s="12"/>
    </row>
    <row r="742" spans="1:4" ht="12" customHeight="1" x14ac:dyDescent="0.25">
      <c r="A742" s="1"/>
      <c r="B742" s="3"/>
      <c r="C742" s="3"/>
      <c r="D742" s="12"/>
    </row>
    <row r="743" spans="1:4" ht="12" customHeight="1" x14ac:dyDescent="0.25">
      <c r="A743" s="1"/>
      <c r="B743" s="3"/>
      <c r="C743" s="3"/>
      <c r="D743" s="12"/>
    </row>
    <row r="744" spans="1:4" ht="12" customHeight="1" x14ac:dyDescent="0.25">
      <c r="A744" s="1"/>
      <c r="B744" s="3"/>
      <c r="C744" s="3"/>
      <c r="D744" s="12"/>
    </row>
    <row r="745" spans="1:4" ht="12" customHeight="1" x14ac:dyDescent="0.25">
      <c r="A745" s="1"/>
      <c r="B745" s="3"/>
      <c r="C745" s="3"/>
      <c r="D745" s="12"/>
    </row>
    <row r="746" spans="1:4" ht="12" customHeight="1" x14ac:dyDescent="0.25">
      <c r="A746" s="1"/>
      <c r="B746" s="3"/>
      <c r="C746" s="3"/>
      <c r="D746" s="12"/>
    </row>
    <row r="747" spans="1:4" ht="12" customHeight="1" x14ac:dyDescent="0.25">
      <c r="A747" s="1"/>
      <c r="B747" s="3"/>
      <c r="C747" s="3"/>
      <c r="D747" s="12"/>
    </row>
    <row r="748" spans="1:4" ht="12" customHeight="1" x14ac:dyDescent="0.25">
      <c r="A748" s="1"/>
      <c r="B748" s="3"/>
      <c r="C748" s="3"/>
      <c r="D748" s="12"/>
    </row>
    <row r="749" spans="1:4" ht="12" customHeight="1" x14ac:dyDescent="0.25">
      <c r="A749" s="1"/>
      <c r="B749" s="3"/>
      <c r="C749" s="3"/>
      <c r="D749" s="12"/>
    </row>
    <row r="750" spans="1:4" ht="12" customHeight="1" x14ac:dyDescent="0.25">
      <c r="A750" s="1"/>
      <c r="B750" s="3"/>
      <c r="C750" s="3"/>
      <c r="D750" s="12"/>
    </row>
    <row r="751" spans="1:4" ht="12" customHeight="1" x14ac:dyDescent="0.25">
      <c r="A751" s="1"/>
      <c r="B751" s="3"/>
      <c r="C751" s="3"/>
      <c r="D751" s="12"/>
    </row>
    <row r="752" spans="1:4" ht="12" customHeight="1" x14ac:dyDescent="0.25">
      <c r="A752" s="1"/>
      <c r="B752" s="3"/>
      <c r="C752" s="3"/>
      <c r="D752" s="12"/>
    </row>
    <row r="753" spans="1:4" ht="12" customHeight="1" x14ac:dyDescent="0.25">
      <c r="A753" s="1"/>
      <c r="B753" s="3"/>
      <c r="C753" s="3"/>
      <c r="D753" s="12"/>
    </row>
    <row r="754" spans="1:4" ht="12" customHeight="1" x14ac:dyDescent="0.25">
      <c r="A754" s="1"/>
      <c r="B754" s="3"/>
      <c r="C754" s="3"/>
      <c r="D754" s="12"/>
    </row>
    <row r="755" spans="1:4" ht="12" customHeight="1" x14ac:dyDescent="0.25">
      <c r="A755" s="1"/>
      <c r="B755" s="3"/>
      <c r="C755" s="3"/>
      <c r="D755" s="12"/>
    </row>
    <row r="756" spans="1:4" ht="12" customHeight="1" x14ac:dyDescent="0.25">
      <c r="A756" s="1"/>
      <c r="B756" s="3"/>
      <c r="C756" s="3"/>
      <c r="D756" s="12"/>
    </row>
    <row r="757" spans="1:4" ht="12" customHeight="1" x14ac:dyDescent="0.25">
      <c r="A757" s="1"/>
      <c r="B757" s="3"/>
      <c r="C757" s="3"/>
      <c r="D757" s="12"/>
    </row>
    <row r="758" spans="1:4" ht="12" customHeight="1" x14ac:dyDescent="0.25">
      <c r="A758" s="1"/>
      <c r="B758" s="3"/>
      <c r="C758" s="3"/>
      <c r="D758" s="12"/>
    </row>
    <row r="759" spans="1:4" ht="12" customHeight="1" x14ac:dyDescent="0.25">
      <c r="A759" s="1"/>
      <c r="B759" s="3"/>
      <c r="C759" s="3"/>
      <c r="D759" s="12"/>
    </row>
    <row r="760" spans="1:4" ht="12" customHeight="1" x14ac:dyDescent="0.25">
      <c r="A760" s="1"/>
      <c r="B760" s="3"/>
      <c r="C760" s="3"/>
      <c r="D760" s="12"/>
    </row>
    <row r="761" spans="1:4" ht="12" customHeight="1" x14ac:dyDescent="0.25">
      <c r="A761" s="1"/>
      <c r="B761" s="3"/>
      <c r="C761" s="3"/>
      <c r="D761" s="12"/>
    </row>
    <row r="762" spans="1:4" ht="12" customHeight="1" x14ac:dyDescent="0.25">
      <c r="A762" s="1"/>
      <c r="B762" s="3"/>
      <c r="C762" s="3"/>
      <c r="D762" s="12"/>
    </row>
    <row r="763" spans="1:4" ht="12" customHeight="1" x14ac:dyDescent="0.25">
      <c r="A763" s="1"/>
      <c r="B763" s="3"/>
      <c r="C763" s="3"/>
      <c r="D763" s="12"/>
    </row>
    <row r="764" spans="1:4" ht="12" customHeight="1" x14ac:dyDescent="0.25">
      <c r="A764" s="1"/>
      <c r="B764" s="3"/>
      <c r="C764" s="3"/>
      <c r="D764" s="12"/>
    </row>
    <row r="765" spans="1:4" ht="12" customHeight="1" x14ac:dyDescent="0.25">
      <c r="A765" s="1"/>
      <c r="B765" s="3"/>
      <c r="C765" s="3"/>
      <c r="D765" s="12"/>
    </row>
    <row r="766" spans="1:4" ht="12" customHeight="1" x14ac:dyDescent="0.25">
      <c r="A766" s="1"/>
      <c r="B766" s="3"/>
      <c r="C766" s="3"/>
      <c r="D766" s="12"/>
    </row>
    <row r="767" spans="1:4" ht="12" customHeight="1" x14ac:dyDescent="0.25">
      <c r="A767" s="1"/>
      <c r="B767" s="3"/>
      <c r="C767" s="3"/>
      <c r="D767" s="12"/>
    </row>
    <row r="768" spans="1:4" ht="12" customHeight="1" x14ac:dyDescent="0.25">
      <c r="A768" s="1"/>
      <c r="B768" s="3"/>
      <c r="C768" s="3"/>
      <c r="D768" s="12"/>
    </row>
    <row r="769" spans="1:4" ht="12" customHeight="1" x14ac:dyDescent="0.25">
      <c r="A769" s="1"/>
      <c r="B769" s="3"/>
      <c r="C769" s="3"/>
      <c r="D769" s="12"/>
    </row>
    <row r="770" spans="1:4" ht="12" customHeight="1" x14ac:dyDescent="0.25">
      <c r="A770" s="1"/>
      <c r="B770" s="3"/>
      <c r="C770" s="3"/>
      <c r="D770" s="12"/>
    </row>
    <row r="771" spans="1:4" ht="12" customHeight="1" x14ac:dyDescent="0.25">
      <c r="A771" s="1"/>
      <c r="B771" s="3"/>
      <c r="C771" s="3"/>
      <c r="D771" s="12"/>
    </row>
    <row r="772" spans="1:4" ht="12" customHeight="1" x14ac:dyDescent="0.25">
      <c r="A772" s="1"/>
      <c r="B772" s="3"/>
      <c r="C772" s="3"/>
      <c r="D772" s="12"/>
    </row>
    <row r="773" spans="1:4" ht="12" customHeight="1" x14ac:dyDescent="0.25">
      <c r="A773" s="1"/>
      <c r="B773" s="3"/>
      <c r="C773" s="3"/>
      <c r="D773" s="12"/>
    </row>
    <row r="774" spans="1:4" ht="12" customHeight="1" x14ac:dyDescent="0.25">
      <c r="A774" s="1"/>
      <c r="B774" s="3"/>
      <c r="C774" s="3"/>
      <c r="D774" s="12"/>
    </row>
    <row r="775" spans="1:4" ht="12" customHeight="1" x14ac:dyDescent="0.25">
      <c r="A775" s="1"/>
      <c r="B775" s="3"/>
      <c r="C775" s="3"/>
      <c r="D775" s="12"/>
    </row>
    <row r="776" spans="1:4" ht="12" customHeight="1" x14ac:dyDescent="0.25">
      <c r="A776" s="1"/>
      <c r="B776" s="3"/>
      <c r="C776" s="3"/>
      <c r="D776" s="12"/>
    </row>
    <row r="777" spans="1:4" ht="12" customHeight="1" x14ac:dyDescent="0.25">
      <c r="A777" s="1"/>
      <c r="B777" s="3"/>
      <c r="C777" s="3"/>
      <c r="D777" s="12"/>
    </row>
    <row r="778" spans="1:4" ht="12" customHeight="1" x14ac:dyDescent="0.25">
      <c r="A778" s="1"/>
      <c r="B778" s="3"/>
      <c r="C778" s="3"/>
      <c r="D778" s="12"/>
    </row>
    <row r="779" spans="1:4" ht="12" customHeight="1" x14ac:dyDescent="0.25">
      <c r="A779" s="1"/>
      <c r="B779" s="3"/>
      <c r="C779" s="3"/>
      <c r="D779" s="12"/>
    </row>
    <row r="780" spans="1:4" ht="12" customHeight="1" x14ac:dyDescent="0.25">
      <c r="A780" s="1"/>
      <c r="B780" s="3"/>
      <c r="C780" s="3"/>
      <c r="D780" s="12"/>
    </row>
    <row r="781" spans="1:4" ht="12" customHeight="1" x14ac:dyDescent="0.25">
      <c r="A781" s="1"/>
      <c r="B781" s="3"/>
      <c r="C781" s="3"/>
      <c r="D781" s="12"/>
    </row>
    <row r="782" spans="1:4" ht="12" customHeight="1" x14ac:dyDescent="0.25">
      <c r="A782" s="1"/>
      <c r="B782" s="3"/>
      <c r="C782" s="3"/>
      <c r="D782" s="12"/>
    </row>
    <row r="783" spans="1:4" ht="12" customHeight="1" x14ac:dyDescent="0.25">
      <c r="A783" s="1"/>
      <c r="B783" s="3"/>
      <c r="C783" s="3"/>
      <c r="D783" s="12"/>
    </row>
    <row r="784" spans="1:4" ht="12" customHeight="1" x14ac:dyDescent="0.25">
      <c r="A784" s="1"/>
      <c r="B784" s="3"/>
      <c r="C784" s="3"/>
      <c r="D784" s="12"/>
    </row>
    <row r="785" spans="1:4" ht="12" customHeight="1" x14ac:dyDescent="0.25">
      <c r="A785" s="1"/>
      <c r="B785" s="3"/>
      <c r="C785" s="3"/>
      <c r="D785" s="12"/>
    </row>
    <row r="786" spans="1:4" ht="12" customHeight="1" x14ac:dyDescent="0.25">
      <c r="A786" s="1"/>
      <c r="B786" s="3"/>
      <c r="C786" s="3"/>
      <c r="D786" s="12"/>
    </row>
    <row r="787" spans="1:4" ht="12" customHeight="1" x14ac:dyDescent="0.25">
      <c r="A787" s="1"/>
      <c r="B787" s="3"/>
      <c r="C787" s="3"/>
      <c r="D787" s="12"/>
    </row>
    <row r="788" spans="1:4" ht="12" customHeight="1" x14ac:dyDescent="0.25">
      <c r="A788" s="1"/>
      <c r="B788" s="3"/>
      <c r="C788" s="3"/>
      <c r="D788" s="12"/>
    </row>
    <row r="789" spans="1:4" ht="12" customHeight="1" x14ac:dyDescent="0.25">
      <c r="A789" s="1"/>
      <c r="B789" s="3"/>
      <c r="C789" s="3"/>
      <c r="D789" s="12"/>
    </row>
    <row r="790" spans="1:4" ht="12" customHeight="1" x14ac:dyDescent="0.25">
      <c r="A790" s="1"/>
      <c r="B790" s="3"/>
      <c r="C790" s="3"/>
      <c r="D790" s="12"/>
    </row>
    <row r="791" spans="1:4" ht="12" customHeight="1" x14ac:dyDescent="0.25">
      <c r="A791" s="1"/>
      <c r="B791" s="3"/>
      <c r="C791" s="3"/>
      <c r="D791" s="12"/>
    </row>
    <row r="792" spans="1:4" ht="12" customHeight="1" x14ac:dyDescent="0.25">
      <c r="A792" s="1"/>
      <c r="B792" s="3"/>
      <c r="C792" s="3"/>
      <c r="D792" s="12"/>
    </row>
    <row r="793" spans="1:4" ht="12" customHeight="1" x14ac:dyDescent="0.25">
      <c r="A793" s="1"/>
      <c r="B793" s="3"/>
      <c r="C793" s="3"/>
      <c r="D793" s="12"/>
    </row>
    <row r="794" spans="1:4" ht="12" customHeight="1" x14ac:dyDescent="0.25">
      <c r="A794" s="1"/>
      <c r="B794" s="3"/>
      <c r="C794" s="3"/>
      <c r="D794" s="12"/>
    </row>
    <row r="795" spans="1:4" ht="12" customHeight="1" x14ac:dyDescent="0.25">
      <c r="A795" s="1"/>
      <c r="B795" s="3"/>
      <c r="C795" s="3"/>
      <c r="D795" s="12"/>
    </row>
    <row r="796" spans="1:4" ht="12" customHeight="1" x14ac:dyDescent="0.25">
      <c r="A796" s="1"/>
      <c r="B796" s="3"/>
      <c r="C796" s="3"/>
      <c r="D796" s="12"/>
    </row>
    <row r="797" spans="1:4" ht="12" customHeight="1" x14ac:dyDescent="0.25">
      <c r="A797" s="1"/>
      <c r="B797" s="3"/>
      <c r="C797" s="3"/>
      <c r="D797" s="12"/>
    </row>
    <row r="798" spans="1:4" ht="12" customHeight="1" x14ac:dyDescent="0.25">
      <c r="A798" s="1"/>
      <c r="B798" s="3"/>
      <c r="C798" s="3"/>
      <c r="D798" s="12"/>
    </row>
    <row r="799" spans="1:4" ht="12" customHeight="1" x14ac:dyDescent="0.25">
      <c r="A799" s="1"/>
      <c r="B799" s="3"/>
      <c r="C799" s="3"/>
      <c r="D799" s="12"/>
    </row>
    <row r="800" spans="1:4" ht="12" customHeight="1" x14ac:dyDescent="0.25">
      <c r="A800" s="1"/>
      <c r="B800" s="3"/>
      <c r="C800" s="3"/>
      <c r="D800" s="12"/>
    </row>
    <row r="801" spans="1:4" ht="12" customHeight="1" x14ac:dyDescent="0.25">
      <c r="A801" s="1"/>
      <c r="B801" s="3"/>
      <c r="C801" s="3"/>
      <c r="D801" s="12"/>
    </row>
    <row r="802" spans="1:4" ht="12" customHeight="1" x14ac:dyDescent="0.25">
      <c r="A802" s="1"/>
      <c r="B802" s="3"/>
      <c r="C802" s="3"/>
      <c r="D802" s="12"/>
    </row>
    <row r="803" spans="1:4" ht="12" customHeight="1" x14ac:dyDescent="0.25">
      <c r="A803" s="1"/>
      <c r="B803" s="3"/>
      <c r="C803" s="3"/>
      <c r="D803" s="12"/>
    </row>
    <row r="804" spans="1:4" ht="12" customHeight="1" x14ac:dyDescent="0.25">
      <c r="A804" s="1"/>
      <c r="B804" s="3"/>
      <c r="C804" s="3"/>
      <c r="D804" s="12"/>
    </row>
    <row r="805" spans="1:4" ht="12" customHeight="1" x14ac:dyDescent="0.25">
      <c r="A805" s="1"/>
      <c r="B805" s="3"/>
      <c r="C805" s="3"/>
      <c r="D805" s="12"/>
    </row>
    <row r="806" spans="1:4" ht="12" customHeight="1" x14ac:dyDescent="0.25">
      <c r="A806" s="1"/>
      <c r="B806" s="3"/>
      <c r="C806" s="3"/>
      <c r="D806" s="12"/>
    </row>
    <row r="807" spans="1:4" ht="12" customHeight="1" x14ac:dyDescent="0.25">
      <c r="A807" s="1"/>
      <c r="B807" s="3"/>
      <c r="C807" s="3"/>
      <c r="D807" s="12"/>
    </row>
    <row r="808" spans="1:4" ht="12" customHeight="1" x14ac:dyDescent="0.25">
      <c r="A808" s="1"/>
      <c r="B808" s="3"/>
      <c r="C808" s="3"/>
      <c r="D808" s="12"/>
    </row>
    <row r="809" spans="1:4" ht="12" customHeight="1" x14ac:dyDescent="0.25">
      <c r="A809" s="1"/>
      <c r="B809" s="3"/>
      <c r="C809" s="3"/>
      <c r="D809" s="12"/>
    </row>
    <row r="810" spans="1:4" ht="12" customHeight="1" x14ac:dyDescent="0.25">
      <c r="A810" s="1"/>
      <c r="B810" s="3"/>
      <c r="C810" s="3"/>
      <c r="D810" s="12"/>
    </row>
    <row r="811" spans="1:4" ht="12" customHeight="1" x14ac:dyDescent="0.25">
      <c r="A811" s="1"/>
      <c r="B811" s="3"/>
      <c r="C811" s="3"/>
      <c r="D811" s="12"/>
    </row>
    <row r="812" spans="1:4" ht="12" customHeight="1" x14ac:dyDescent="0.25">
      <c r="A812" s="1"/>
      <c r="B812" s="3"/>
      <c r="C812" s="3"/>
      <c r="D812" s="12"/>
    </row>
    <row r="813" spans="1:4" ht="12" customHeight="1" x14ac:dyDescent="0.25">
      <c r="A813" s="1"/>
      <c r="B813" s="3"/>
      <c r="C813" s="3"/>
      <c r="D813" s="12"/>
    </row>
    <row r="814" spans="1:4" ht="12" customHeight="1" x14ac:dyDescent="0.25">
      <c r="A814" s="1"/>
      <c r="B814" s="3"/>
      <c r="C814" s="3"/>
      <c r="D814" s="12"/>
    </row>
    <row r="815" spans="1:4" ht="12" customHeight="1" x14ac:dyDescent="0.25">
      <c r="A815" s="1"/>
      <c r="B815" s="3"/>
      <c r="C815" s="3"/>
      <c r="D815" s="12"/>
    </row>
    <row r="816" spans="1:4" ht="12" customHeight="1" x14ac:dyDescent="0.25">
      <c r="A816" s="1"/>
      <c r="B816" s="3"/>
      <c r="C816" s="3"/>
      <c r="D816" s="12"/>
    </row>
    <row r="817" spans="1:4" ht="12" customHeight="1" x14ac:dyDescent="0.25">
      <c r="A817" s="1"/>
      <c r="B817" s="3"/>
      <c r="C817" s="3"/>
      <c r="D817" s="12"/>
    </row>
    <row r="818" spans="1:4" ht="12" customHeight="1" x14ac:dyDescent="0.25">
      <c r="A818" s="1"/>
      <c r="B818" s="3"/>
      <c r="C818" s="3"/>
      <c r="D818" s="12"/>
    </row>
    <row r="819" spans="1:4" ht="12" customHeight="1" x14ac:dyDescent="0.25">
      <c r="A819" s="1"/>
      <c r="B819" s="3"/>
      <c r="C819" s="3"/>
      <c r="D819" s="12"/>
    </row>
    <row r="820" spans="1:4" ht="12" customHeight="1" x14ac:dyDescent="0.25">
      <c r="A820" s="1"/>
      <c r="B820" s="3"/>
      <c r="C820" s="3"/>
      <c r="D820" s="12"/>
    </row>
    <row r="821" spans="1:4" ht="12" customHeight="1" x14ac:dyDescent="0.25">
      <c r="A821" s="1"/>
      <c r="B821" s="3"/>
      <c r="C821" s="3"/>
      <c r="D821" s="12"/>
    </row>
    <row r="822" spans="1:4" ht="12" customHeight="1" x14ac:dyDescent="0.25">
      <c r="A822" s="1"/>
      <c r="B822" s="3"/>
      <c r="C822" s="3"/>
      <c r="D822" s="12"/>
    </row>
    <row r="823" spans="1:4" ht="12" customHeight="1" x14ac:dyDescent="0.25">
      <c r="A823" s="1"/>
      <c r="B823" s="3"/>
      <c r="C823" s="3"/>
      <c r="D823" s="12"/>
    </row>
    <row r="824" spans="1:4" ht="12" customHeight="1" x14ac:dyDescent="0.25">
      <c r="A824" s="1"/>
      <c r="B824" s="3"/>
      <c r="C824" s="3"/>
      <c r="D824" s="12"/>
    </row>
    <row r="825" spans="1:4" ht="12" customHeight="1" x14ac:dyDescent="0.25">
      <c r="A825" s="1"/>
      <c r="B825" s="3"/>
      <c r="C825" s="3"/>
      <c r="D825" s="12"/>
    </row>
    <row r="826" spans="1:4" ht="12" customHeight="1" x14ac:dyDescent="0.25">
      <c r="A826" s="1"/>
      <c r="B826" s="3"/>
      <c r="C826" s="3"/>
      <c r="D826" s="12"/>
    </row>
    <row r="827" spans="1:4" ht="12" customHeight="1" x14ac:dyDescent="0.25">
      <c r="A827" s="1"/>
      <c r="B827" s="3"/>
      <c r="C827" s="3"/>
      <c r="D827" s="12"/>
    </row>
    <row r="828" spans="1:4" ht="12" customHeight="1" x14ac:dyDescent="0.25">
      <c r="A828" s="1"/>
      <c r="B828" s="3"/>
      <c r="C828" s="3"/>
      <c r="D828" s="12"/>
    </row>
    <row r="829" spans="1:4" ht="12" customHeight="1" x14ac:dyDescent="0.25">
      <c r="A829" s="1"/>
      <c r="B829" s="3"/>
      <c r="C829" s="3"/>
      <c r="D829" s="12"/>
    </row>
    <row r="830" spans="1:4" ht="12" customHeight="1" x14ac:dyDescent="0.25">
      <c r="A830" s="1"/>
      <c r="B830" s="3"/>
      <c r="C830" s="3"/>
      <c r="D830" s="12"/>
    </row>
    <row r="831" spans="1:4" ht="12" customHeight="1" x14ac:dyDescent="0.25">
      <c r="A831" s="1"/>
      <c r="B831" s="3"/>
      <c r="C831" s="3"/>
      <c r="D831" s="12"/>
    </row>
    <row r="832" spans="1:4" ht="12" customHeight="1" x14ac:dyDescent="0.25">
      <c r="A832" s="1"/>
      <c r="B832" s="3"/>
      <c r="C832" s="3"/>
      <c r="D832" s="12"/>
    </row>
    <row r="833" spans="1:4" ht="12" customHeight="1" x14ac:dyDescent="0.25">
      <c r="A833" s="1"/>
      <c r="B833" s="3"/>
      <c r="C833" s="3"/>
      <c r="D833" s="12"/>
    </row>
    <row r="834" spans="1:4" ht="12" customHeight="1" x14ac:dyDescent="0.25">
      <c r="A834" s="1"/>
      <c r="B834" s="3"/>
      <c r="C834" s="3"/>
      <c r="D834" s="12"/>
    </row>
    <row r="835" spans="1:4" ht="12" customHeight="1" x14ac:dyDescent="0.25">
      <c r="A835" s="1"/>
      <c r="B835" s="3"/>
      <c r="C835" s="3"/>
      <c r="D835" s="12"/>
    </row>
    <row r="836" spans="1:4" ht="12" customHeight="1" x14ac:dyDescent="0.25">
      <c r="A836" s="1"/>
      <c r="B836" s="3"/>
      <c r="C836" s="3"/>
      <c r="D836" s="12"/>
    </row>
    <row r="837" spans="1:4" ht="12" customHeight="1" x14ac:dyDescent="0.25">
      <c r="A837" s="1"/>
      <c r="B837" s="3"/>
      <c r="C837" s="3"/>
      <c r="D837" s="12"/>
    </row>
    <row r="838" spans="1:4" ht="12" customHeight="1" x14ac:dyDescent="0.25">
      <c r="A838" s="1"/>
      <c r="B838" s="3"/>
      <c r="C838" s="3"/>
      <c r="D838" s="12"/>
    </row>
    <row r="839" spans="1:4" ht="12" customHeight="1" x14ac:dyDescent="0.25">
      <c r="A839" s="1"/>
      <c r="B839" s="3"/>
      <c r="C839" s="3"/>
      <c r="D839" s="12"/>
    </row>
    <row r="840" spans="1:4" ht="12" customHeight="1" x14ac:dyDescent="0.25">
      <c r="A840" s="1"/>
      <c r="B840" s="3"/>
      <c r="C840" s="3"/>
      <c r="D840" s="12"/>
    </row>
    <row r="841" spans="1:4" ht="12" customHeight="1" x14ac:dyDescent="0.25">
      <c r="A841" s="1"/>
      <c r="B841" s="3"/>
      <c r="C841" s="3"/>
      <c r="D841" s="12"/>
    </row>
    <row r="842" spans="1:4" ht="12" customHeight="1" x14ac:dyDescent="0.25">
      <c r="A842" s="1"/>
      <c r="B842" s="3"/>
      <c r="C842" s="3"/>
      <c r="D842" s="12"/>
    </row>
    <row r="843" spans="1:4" ht="12" customHeight="1" x14ac:dyDescent="0.25">
      <c r="A843" s="1"/>
      <c r="B843" s="3"/>
      <c r="C843" s="3"/>
      <c r="D843" s="12"/>
    </row>
    <row r="844" spans="1:4" ht="12" customHeight="1" x14ac:dyDescent="0.25">
      <c r="A844" s="1"/>
      <c r="B844" s="3"/>
      <c r="C844" s="3"/>
      <c r="D844" s="12"/>
    </row>
    <row r="845" spans="1:4" ht="12" customHeight="1" x14ac:dyDescent="0.25">
      <c r="A845" s="1"/>
      <c r="B845" s="3"/>
      <c r="C845" s="3"/>
      <c r="D845" s="12"/>
    </row>
    <row r="846" spans="1:4" ht="12" customHeight="1" x14ac:dyDescent="0.25">
      <c r="A846" s="1"/>
      <c r="B846" s="3"/>
      <c r="C846" s="3"/>
      <c r="D846" s="12"/>
    </row>
    <row r="847" spans="1:4" ht="12" customHeight="1" x14ac:dyDescent="0.25">
      <c r="A847" s="1"/>
      <c r="B847" s="3"/>
      <c r="C847" s="3"/>
      <c r="D847" s="12"/>
    </row>
    <row r="848" spans="1:4" ht="12" customHeight="1" x14ac:dyDescent="0.25">
      <c r="A848" s="1"/>
      <c r="B848" s="3"/>
      <c r="C848" s="3"/>
      <c r="D848" s="12"/>
    </row>
    <row r="849" spans="1:4" ht="12" customHeight="1" x14ac:dyDescent="0.25">
      <c r="A849" s="1"/>
      <c r="B849" s="3"/>
      <c r="C849" s="3"/>
      <c r="D849" s="12"/>
    </row>
    <row r="850" spans="1:4" ht="12" customHeight="1" x14ac:dyDescent="0.25">
      <c r="A850" s="1"/>
      <c r="B850" s="3"/>
      <c r="C850" s="3"/>
      <c r="D850" s="12"/>
    </row>
    <row r="851" spans="1:4" ht="12" customHeight="1" x14ac:dyDescent="0.25">
      <c r="A851" s="1"/>
      <c r="B851" s="3"/>
      <c r="C851" s="3"/>
      <c r="D851" s="12"/>
    </row>
    <row r="852" spans="1:4" ht="12" customHeight="1" x14ac:dyDescent="0.25">
      <c r="A852" s="1"/>
      <c r="B852" s="3"/>
      <c r="C852" s="3"/>
      <c r="D852" s="12"/>
    </row>
    <row r="853" spans="1:4" ht="12" customHeight="1" x14ac:dyDescent="0.25">
      <c r="A853" s="1"/>
      <c r="B853" s="3"/>
      <c r="C853" s="3"/>
      <c r="D853" s="12"/>
    </row>
    <row r="854" spans="1:4" ht="12" customHeight="1" x14ac:dyDescent="0.25">
      <c r="A854" s="1"/>
      <c r="B854" s="3"/>
      <c r="C854" s="3"/>
      <c r="D854" s="12"/>
    </row>
    <row r="855" spans="1:4" ht="12" customHeight="1" x14ac:dyDescent="0.25">
      <c r="A855" s="1"/>
      <c r="B855" s="3"/>
      <c r="C855" s="3"/>
      <c r="D855" s="12"/>
    </row>
    <row r="856" spans="1:4" ht="12" customHeight="1" x14ac:dyDescent="0.25">
      <c r="A856" s="1"/>
      <c r="B856" s="3"/>
      <c r="C856" s="3"/>
      <c r="D856" s="12"/>
    </row>
    <row r="857" spans="1:4" ht="12" customHeight="1" x14ac:dyDescent="0.25">
      <c r="A857" s="1"/>
      <c r="B857" s="3"/>
      <c r="C857" s="3"/>
      <c r="D857" s="12"/>
    </row>
    <row r="858" spans="1:4" ht="12" customHeight="1" x14ac:dyDescent="0.25">
      <c r="A858" s="1"/>
      <c r="B858" s="3"/>
      <c r="C858" s="3"/>
      <c r="D858" s="12"/>
    </row>
    <row r="859" spans="1:4" ht="12" customHeight="1" x14ac:dyDescent="0.25">
      <c r="A859" s="1"/>
      <c r="B859" s="3"/>
      <c r="C859" s="3"/>
      <c r="D859" s="12"/>
    </row>
    <row r="860" spans="1:4" ht="12" customHeight="1" x14ac:dyDescent="0.25">
      <c r="A860" s="1"/>
      <c r="B860" s="3"/>
      <c r="C860" s="3"/>
      <c r="D860" s="12"/>
    </row>
    <row r="861" spans="1:4" ht="12" customHeight="1" x14ac:dyDescent="0.25">
      <c r="A861" s="1"/>
      <c r="B861" s="3"/>
      <c r="C861" s="3"/>
      <c r="D861" s="12"/>
    </row>
    <row r="862" spans="1:4" ht="12" customHeight="1" x14ac:dyDescent="0.25">
      <c r="A862" s="1"/>
      <c r="B862" s="3"/>
      <c r="C862" s="3"/>
      <c r="D862" s="12"/>
    </row>
    <row r="863" spans="1:4" ht="12" customHeight="1" x14ac:dyDescent="0.25">
      <c r="A863" s="1"/>
      <c r="B863" s="3"/>
      <c r="C863" s="3"/>
      <c r="D863" s="12"/>
    </row>
    <row r="864" spans="1:4" ht="12" customHeight="1" x14ac:dyDescent="0.25">
      <c r="A864" s="1"/>
      <c r="B864" s="3"/>
      <c r="C864" s="3"/>
      <c r="D864" s="12"/>
    </row>
    <row r="865" spans="1:4" ht="12" customHeight="1" x14ac:dyDescent="0.25">
      <c r="A865" s="1"/>
      <c r="B865" s="3"/>
      <c r="C865" s="3"/>
      <c r="D865" s="12"/>
    </row>
    <row r="866" spans="1:4" ht="12" customHeight="1" x14ac:dyDescent="0.25">
      <c r="A866" s="1"/>
      <c r="B866" s="3"/>
      <c r="C866" s="3"/>
      <c r="D866" s="12"/>
    </row>
    <row r="867" spans="1:4" ht="12" customHeight="1" x14ac:dyDescent="0.25">
      <c r="A867" s="1"/>
      <c r="B867" s="3"/>
      <c r="C867" s="3"/>
      <c r="D867" s="12"/>
    </row>
    <row r="868" spans="1:4" ht="12" customHeight="1" x14ac:dyDescent="0.25">
      <c r="A868" s="1"/>
      <c r="B868" s="3"/>
      <c r="C868" s="3"/>
      <c r="D868" s="12"/>
    </row>
    <row r="869" spans="1:4" ht="12" customHeight="1" x14ac:dyDescent="0.25">
      <c r="A869" s="1"/>
      <c r="B869" s="3"/>
      <c r="C869" s="3"/>
      <c r="D869" s="12"/>
    </row>
    <row r="870" spans="1:4" ht="12" customHeight="1" x14ac:dyDescent="0.25">
      <c r="A870" s="1"/>
      <c r="B870" s="3"/>
      <c r="C870" s="3"/>
      <c r="D870" s="12"/>
    </row>
    <row r="871" spans="1:4" ht="12" customHeight="1" x14ac:dyDescent="0.25">
      <c r="A871" s="1"/>
      <c r="B871" s="3"/>
      <c r="C871" s="3"/>
      <c r="D871" s="12"/>
    </row>
    <row r="872" spans="1:4" ht="12" customHeight="1" x14ac:dyDescent="0.25">
      <c r="A872" s="1"/>
      <c r="B872" s="3"/>
      <c r="C872" s="3"/>
      <c r="D872" s="12"/>
    </row>
    <row r="873" spans="1:4" ht="12" customHeight="1" x14ac:dyDescent="0.25">
      <c r="A873" s="1"/>
      <c r="B873" s="3"/>
      <c r="C873" s="3"/>
      <c r="D873" s="12"/>
    </row>
    <row r="874" spans="1:4" ht="12" customHeight="1" x14ac:dyDescent="0.25">
      <c r="A874" s="1"/>
      <c r="B874" s="3"/>
      <c r="C874" s="3"/>
      <c r="D874" s="12"/>
    </row>
    <row r="875" spans="1:4" ht="12" customHeight="1" x14ac:dyDescent="0.25">
      <c r="A875" s="1"/>
      <c r="B875" s="3"/>
      <c r="C875" s="3"/>
      <c r="D875" s="12"/>
    </row>
    <row r="876" spans="1:4" ht="12" customHeight="1" x14ac:dyDescent="0.25">
      <c r="A876" s="1"/>
      <c r="B876" s="3"/>
      <c r="C876" s="3"/>
      <c r="D876" s="12"/>
    </row>
    <row r="877" spans="1:4" ht="12" customHeight="1" x14ac:dyDescent="0.25">
      <c r="A877" s="1"/>
      <c r="B877" s="3"/>
      <c r="C877" s="3"/>
      <c r="D877" s="12"/>
    </row>
    <row r="878" spans="1:4" ht="12" customHeight="1" x14ac:dyDescent="0.25">
      <c r="A878" s="1"/>
      <c r="B878" s="3"/>
      <c r="C878" s="3"/>
      <c r="D878" s="12"/>
    </row>
    <row r="879" spans="1:4" ht="12" customHeight="1" x14ac:dyDescent="0.25">
      <c r="A879" s="1"/>
      <c r="B879" s="3"/>
      <c r="C879" s="3"/>
      <c r="D879" s="12"/>
    </row>
    <row r="880" spans="1:4" ht="12" customHeight="1" x14ac:dyDescent="0.25">
      <c r="A880" s="1"/>
      <c r="B880" s="3"/>
      <c r="C880" s="3"/>
      <c r="D880" s="12"/>
    </row>
    <row r="881" spans="1:4" ht="12" customHeight="1" x14ac:dyDescent="0.25">
      <c r="A881" s="1"/>
      <c r="B881" s="3"/>
      <c r="C881" s="3"/>
      <c r="D881" s="12"/>
    </row>
    <row r="882" spans="1:4" ht="12" customHeight="1" x14ac:dyDescent="0.25">
      <c r="A882" s="1"/>
      <c r="B882" s="3"/>
      <c r="C882" s="3"/>
      <c r="D882" s="12"/>
    </row>
    <row r="883" spans="1:4" ht="12" customHeight="1" x14ac:dyDescent="0.25">
      <c r="A883" s="1"/>
      <c r="B883" s="3"/>
      <c r="C883" s="3"/>
      <c r="D883" s="12"/>
    </row>
    <row r="884" spans="1:4" ht="12" customHeight="1" x14ac:dyDescent="0.25">
      <c r="A884" s="1"/>
      <c r="B884" s="3"/>
      <c r="C884" s="3"/>
      <c r="D884" s="12"/>
    </row>
    <row r="885" spans="1:4" ht="12" customHeight="1" x14ac:dyDescent="0.25">
      <c r="A885" s="1"/>
      <c r="B885" s="3"/>
      <c r="C885" s="3"/>
      <c r="D885" s="12"/>
    </row>
    <row r="886" spans="1:4" ht="12" customHeight="1" x14ac:dyDescent="0.25">
      <c r="A886" s="1"/>
      <c r="B886" s="3"/>
      <c r="C886" s="3"/>
      <c r="D886" s="12"/>
    </row>
    <row r="887" spans="1:4" ht="12" customHeight="1" x14ac:dyDescent="0.25">
      <c r="A887" s="1"/>
      <c r="B887" s="3"/>
      <c r="C887" s="3"/>
      <c r="D887" s="12"/>
    </row>
    <row r="888" spans="1:4" ht="12" customHeight="1" x14ac:dyDescent="0.25">
      <c r="A888" s="1"/>
      <c r="B888" s="3"/>
      <c r="C888" s="3"/>
      <c r="D888" s="12"/>
    </row>
    <row r="889" spans="1:4" ht="12" customHeight="1" x14ac:dyDescent="0.25">
      <c r="A889" s="1"/>
      <c r="B889" s="3"/>
      <c r="C889" s="3"/>
      <c r="D889" s="12"/>
    </row>
    <row r="890" spans="1:4" ht="12" customHeight="1" x14ac:dyDescent="0.25">
      <c r="A890" s="1"/>
      <c r="B890" s="3"/>
      <c r="C890" s="3"/>
      <c r="D890" s="12"/>
    </row>
    <row r="891" spans="1:4" ht="12" customHeight="1" x14ac:dyDescent="0.25">
      <c r="A891" s="1"/>
      <c r="B891" s="3"/>
      <c r="C891" s="3"/>
      <c r="D891" s="12"/>
    </row>
    <row r="892" spans="1:4" ht="12" customHeight="1" x14ac:dyDescent="0.25">
      <c r="A892" s="1"/>
      <c r="B892" s="3"/>
      <c r="C892" s="3"/>
      <c r="D892" s="12"/>
    </row>
    <row r="893" spans="1:4" ht="12" customHeight="1" x14ac:dyDescent="0.25">
      <c r="A893" s="1"/>
      <c r="B893" s="3"/>
      <c r="C893" s="3"/>
      <c r="D893" s="12"/>
    </row>
    <row r="894" spans="1:4" ht="12" customHeight="1" x14ac:dyDescent="0.25">
      <c r="A894" s="1"/>
      <c r="B894" s="3"/>
      <c r="C894" s="3"/>
      <c r="D894" s="12"/>
    </row>
    <row r="895" spans="1:4" ht="12" customHeight="1" x14ac:dyDescent="0.25">
      <c r="A895" s="1"/>
      <c r="B895" s="3"/>
      <c r="C895" s="3"/>
      <c r="D895" s="12"/>
    </row>
    <row r="896" spans="1:4" ht="12" customHeight="1" x14ac:dyDescent="0.25">
      <c r="A896" s="1"/>
      <c r="B896" s="3"/>
      <c r="C896" s="3"/>
      <c r="D896" s="12"/>
    </row>
    <row r="897" spans="1:4" ht="12" customHeight="1" x14ac:dyDescent="0.25">
      <c r="A897" s="1"/>
      <c r="B897" s="3"/>
      <c r="C897" s="3"/>
      <c r="D897" s="12"/>
    </row>
    <row r="898" spans="1:4" ht="12" customHeight="1" x14ac:dyDescent="0.25">
      <c r="A898" s="1"/>
      <c r="B898" s="3"/>
      <c r="C898" s="3"/>
      <c r="D898" s="12"/>
    </row>
    <row r="899" spans="1:4" ht="12" customHeight="1" x14ac:dyDescent="0.25">
      <c r="A899" s="1"/>
      <c r="B899" s="3"/>
      <c r="C899" s="3"/>
      <c r="D899" s="12"/>
    </row>
    <row r="900" spans="1:4" ht="12" customHeight="1" x14ac:dyDescent="0.25">
      <c r="A900" s="1"/>
      <c r="B900" s="3"/>
      <c r="C900" s="3"/>
      <c r="D900" s="12"/>
    </row>
    <row r="901" spans="1:4" ht="12" customHeight="1" x14ac:dyDescent="0.25">
      <c r="A901" s="1"/>
      <c r="B901" s="3"/>
      <c r="C901" s="3"/>
      <c r="D901" s="12"/>
    </row>
    <row r="902" spans="1:4" ht="12" customHeight="1" x14ac:dyDescent="0.25">
      <c r="A902" s="1"/>
      <c r="B902" s="3"/>
      <c r="C902" s="3"/>
      <c r="D902" s="12"/>
    </row>
    <row r="903" spans="1:4" ht="12" customHeight="1" x14ac:dyDescent="0.25">
      <c r="A903" s="1"/>
      <c r="B903" s="3"/>
      <c r="C903" s="3"/>
      <c r="D903" s="12"/>
    </row>
    <row r="904" spans="1:4" ht="12" customHeight="1" x14ac:dyDescent="0.25">
      <c r="A904" s="1"/>
      <c r="B904" s="3"/>
      <c r="C904" s="3"/>
      <c r="D904" s="12"/>
    </row>
    <row r="905" spans="1:4" ht="12" customHeight="1" x14ac:dyDescent="0.25">
      <c r="A905" s="1"/>
      <c r="B905" s="3"/>
      <c r="C905" s="3"/>
      <c r="D905" s="12"/>
    </row>
    <row r="906" spans="1:4" ht="12" customHeight="1" x14ac:dyDescent="0.25">
      <c r="A906" s="1"/>
      <c r="B906" s="3"/>
      <c r="C906" s="3"/>
      <c r="D906" s="12"/>
    </row>
    <row r="907" spans="1:4" ht="12" customHeight="1" x14ac:dyDescent="0.25">
      <c r="A907" s="1"/>
      <c r="B907" s="3"/>
      <c r="C907" s="3"/>
      <c r="D907" s="12"/>
    </row>
    <row r="908" spans="1:4" ht="12" customHeight="1" x14ac:dyDescent="0.25">
      <c r="A908" s="1"/>
      <c r="B908" s="3"/>
      <c r="C908" s="3"/>
      <c r="D908" s="12"/>
    </row>
    <row r="909" spans="1:4" ht="12" customHeight="1" x14ac:dyDescent="0.25">
      <c r="A909" s="1"/>
      <c r="B909" s="3"/>
      <c r="C909" s="3"/>
      <c r="D909" s="12"/>
    </row>
    <row r="910" spans="1:4" ht="12" customHeight="1" x14ac:dyDescent="0.25">
      <c r="A910" s="1"/>
      <c r="B910" s="3"/>
      <c r="C910" s="3"/>
      <c r="D910" s="12"/>
    </row>
    <row r="911" spans="1:4" ht="12" customHeight="1" x14ac:dyDescent="0.25">
      <c r="A911" s="1"/>
      <c r="B911" s="3"/>
      <c r="C911" s="3"/>
      <c r="D911" s="12"/>
    </row>
    <row r="912" spans="1:4" ht="12" customHeight="1" x14ac:dyDescent="0.25">
      <c r="A912" s="1"/>
      <c r="B912" s="3"/>
      <c r="C912" s="3"/>
      <c r="D912" s="12"/>
    </row>
    <row r="913" spans="1:4" ht="12" customHeight="1" x14ac:dyDescent="0.25">
      <c r="A913" s="1"/>
      <c r="B913" s="3"/>
      <c r="C913" s="3"/>
      <c r="D913" s="12"/>
    </row>
    <row r="914" spans="1:4" ht="12" customHeight="1" x14ac:dyDescent="0.25">
      <c r="A914" s="1"/>
      <c r="B914" s="3"/>
      <c r="C914" s="3"/>
      <c r="D914" s="12"/>
    </row>
    <row r="915" spans="1:4" ht="12" customHeight="1" x14ac:dyDescent="0.25">
      <c r="A915" s="1"/>
      <c r="B915" s="3"/>
      <c r="C915" s="3"/>
      <c r="D915" s="12"/>
    </row>
    <row r="916" spans="1:4" ht="12" customHeight="1" x14ac:dyDescent="0.25">
      <c r="A916" s="1"/>
      <c r="B916" s="3"/>
      <c r="C916" s="3"/>
      <c r="D916" s="12"/>
    </row>
    <row r="917" spans="1:4" ht="12" customHeight="1" x14ac:dyDescent="0.25">
      <c r="A917" s="1"/>
      <c r="B917" s="3"/>
      <c r="C917" s="3"/>
      <c r="D917" s="12"/>
    </row>
    <row r="918" spans="1:4" ht="12" customHeight="1" x14ac:dyDescent="0.25">
      <c r="A918" s="1"/>
      <c r="B918" s="3"/>
      <c r="C918" s="3"/>
      <c r="D918" s="12"/>
    </row>
    <row r="919" spans="1:4" ht="12" customHeight="1" x14ac:dyDescent="0.25">
      <c r="A919" s="1"/>
      <c r="B919" s="3"/>
      <c r="C919" s="3"/>
      <c r="D919" s="12"/>
    </row>
    <row r="920" spans="1:4" ht="12" customHeight="1" x14ac:dyDescent="0.25">
      <c r="A920" s="1"/>
      <c r="B920" s="3"/>
      <c r="C920" s="3"/>
      <c r="D920" s="12"/>
    </row>
    <row r="921" spans="1:4" ht="12" customHeight="1" x14ac:dyDescent="0.25">
      <c r="A921" s="1"/>
      <c r="B921" s="3"/>
      <c r="C921" s="3"/>
      <c r="D921" s="12"/>
    </row>
    <row r="922" spans="1:4" ht="12" customHeight="1" x14ac:dyDescent="0.25">
      <c r="A922" s="1"/>
      <c r="B922" s="3"/>
      <c r="C922" s="3"/>
      <c r="D922" s="12"/>
    </row>
    <row r="923" spans="1:4" ht="12" customHeight="1" x14ac:dyDescent="0.25">
      <c r="A923" s="1"/>
      <c r="B923" s="3"/>
      <c r="C923" s="3"/>
      <c r="D923" s="12"/>
    </row>
    <row r="924" spans="1:4" ht="12" customHeight="1" x14ac:dyDescent="0.25">
      <c r="A924" s="1"/>
      <c r="B924" s="3"/>
      <c r="C924" s="3"/>
      <c r="D924" s="12"/>
    </row>
    <row r="925" spans="1:4" ht="12" customHeight="1" x14ac:dyDescent="0.25">
      <c r="A925" s="1"/>
      <c r="B925" s="3"/>
      <c r="C925" s="3"/>
      <c r="D925" s="12"/>
    </row>
    <row r="926" spans="1:4" ht="12" customHeight="1" x14ac:dyDescent="0.25">
      <c r="A926" s="1"/>
      <c r="B926" s="3"/>
      <c r="C926" s="3"/>
      <c r="D926" s="12"/>
    </row>
    <row r="927" spans="1:4" ht="12" customHeight="1" x14ac:dyDescent="0.25">
      <c r="A927" s="1"/>
      <c r="B927" s="3"/>
      <c r="C927" s="3"/>
      <c r="D927" s="12"/>
    </row>
    <row r="928" spans="1:4" ht="12" customHeight="1" x14ac:dyDescent="0.25">
      <c r="A928" s="1"/>
      <c r="B928" s="3"/>
      <c r="C928" s="3"/>
      <c r="D928" s="12"/>
    </row>
    <row r="929" spans="1:4" ht="12" customHeight="1" x14ac:dyDescent="0.25">
      <c r="A929" s="1"/>
      <c r="B929" s="3"/>
      <c r="C929" s="3"/>
      <c r="D929" s="12"/>
    </row>
    <row r="930" spans="1:4" ht="12" customHeight="1" x14ac:dyDescent="0.25">
      <c r="A930" s="1"/>
      <c r="B930" s="3"/>
      <c r="C930" s="3"/>
      <c r="D930" s="12"/>
    </row>
    <row r="931" spans="1:4" ht="12" customHeight="1" x14ac:dyDescent="0.25">
      <c r="A931" s="1"/>
      <c r="B931" s="3"/>
      <c r="C931" s="3"/>
      <c r="D931" s="12"/>
    </row>
    <row r="932" spans="1:4" ht="12" customHeight="1" x14ac:dyDescent="0.25">
      <c r="A932" s="1"/>
      <c r="B932" s="3"/>
      <c r="C932" s="3"/>
      <c r="D932" s="12"/>
    </row>
    <row r="933" spans="1:4" ht="12" customHeight="1" x14ac:dyDescent="0.25">
      <c r="A933" s="1"/>
      <c r="B933" s="3"/>
      <c r="C933" s="3"/>
      <c r="D933" s="12"/>
    </row>
    <row r="934" spans="1:4" ht="12" customHeight="1" x14ac:dyDescent="0.25">
      <c r="A934" s="1"/>
      <c r="B934" s="3"/>
      <c r="C934" s="3"/>
      <c r="D934" s="12"/>
    </row>
    <row r="935" spans="1:4" ht="12" customHeight="1" x14ac:dyDescent="0.25">
      <c r="A935" s="1"/>
      <c r="B935" s="3"/>
      <c r="C935" s="3"/>
      <c r="D935" s="12"/>
    </row>
    <row r="936" spans="1:4" ht="12" customHeight="1" x14ac:dyDescent="0.25">
      <c r="A936" s="1"/>
      <c r="B936" s="3"/>
      <c r="C936" s="3"/>
      <c r="D936" s="12"/>
    </row>
    <row r="937" spans="1:4" ht="12" customHeight="1" x14ac:dyDescent="0.25">
      <c r="A937" s="1"/>
      <c r="B937" s="3"/>
      <c r="C937" s="3"/>
      <c r="D937" s="12"/>
    </row>
    <row r="938" spans="1:4" ht="12" customHeight="1" x14ac:dyDescent="0.25">
      <c r="A938" s="1"/>
      <c r="B938" s="3"/>
      <c r="C938" s="3"/>
      <c r="D938" s="12"/>
    </row>
    <row r="939" spans="1:4" ht="12" customHeight="1" x14ac:dyDescent="0.25">
      <c r="A939" s="1"/>
      <c r="B939" s="3"/>
      <c r="C939" s="3"/>
      <c r="D939" s="12"/>
    </row>
    <row r="940" spans="1:4" ht="12" customHeight="1" x14ac:dyDescent="0.25">
      <c r="A940" s="1"/>
      <c r="B940" s="3"/>
      <c r="C940" s="3"/>
      <c r="D940" s="12"/>
    </row>
    <row r="941" spans="1:4" ht="12" customHeight="1" x14ac:dyDescent="0.25">
      <c r="A941" s="1"/>
      <c r="B941" s="3"/>
      <c r="C941" s="3"/>
      <c r="D941" s="12"/>
    </row>
    <row r="942" spans="1:4" ht="12" customHeight="1" x14ac:dyDescent="0.25">
      <c r="A942" s="1"/>
      <c r="B942" s="3"/>
      <c r="C942" s="3"/>
      <c r="D942" s="12"/>
    </row>
    <row r="943" spans="1:4" ht="12" customHeight="1" x14ac:dyDescent="0.25">
      <c r="A943" s="1"/>
      <c r="B943" s="3"/>
      <c r="C943" s="3"/>
      <c r="D943" s="12"/>
    </row>
    <row r="944" spans="1:4" ht="12" customHeight="1" x14ac:dyDescent="0.25">
      <c r="A944" s="1"/>
      <c r="B944" s="3"/>
      <c r="C944" s="3"/>
      <c r="D944" s="12"/>
    </row>
    <row r="945" spans="1:4" ht="12" customHeight="1" x14ac:dyDescent="0.25">
      <c r="A945" s="1"/>
      <c r="B945" s="3"/>
      <c r="C945" s="3"/>
      <c r="D945" s="12"/>
    </row>
    <row r="946" spans="1:4" ht="12" customHeight="1" x14ac:dyDescent="0.25">
      <c r="A946" s="1"/>
      <c r="B946" s="3"/>
      <c r="C946" s="3"/>
      <c r="D946" s="12"/>
    </row>
    <row r="947" spans="1:4" ht="12" customHeight="1" x14ac:dyDescent="0.25">
      <c r="A947" s="1"/>
      <c r="B947" s="3"/>
      <c r="C947" s="3"/>
      <c r="D947" s="12"/>
    </row>
    <row r="948" spans="1:4" ht="12" customHeight="1" x14ac:dyDescent="0.25">
      <c r="A948" s="1"/>
      <c r="B948" s="3"/>
      <c r="C948" s="3"/>
      <c r="D948" s="12"/>
    </row>
    <row r="949" spans="1:4" ht="12" customHeight="1" x14ac:dyDescent="0.25">
      <c r="A949" s="1"/>
      <c r="B949" s="3"/>
      <c r="C949" s="3"/>
      <c r="D949" s="12"/>
    </row>
    <row r="950" spans="1:4" ht="12" customHeight="1" x14ac:dyDescent="0.25">
      <c r="A950" s="1"/>
      <c r="B950" s="3"/>
      <c r="C950" s="3"/>
      <c r="D950" s="12"/>
    </row>
    <row r="951" spans="1:4" ht="12" customHeight="1" x14ac:dyDescent="0.25">
      <c r="A951" s="1"/>
      <c r="B951" s="3"/>
      <c r="C951" s="3"/>
      <c r="D951" s="12"/>
    </row>
    <row r="952" spans="1:4" ht="12" customHeight="1" x14ac:dyDescent="0.25">
      <c r="A952" s="1"/>
      <c r="B952" s="3"/>
      <c r="C952" s="3"/>
      <c r="D952" s="12"/>
    </row>
    <row r="953" spans="1:4" ht="12" customHeight="1" x14ac:dyDescent="0.25">
      <c r="A953" s="1"/>
      <c r="B953" s="3"/>
      <c r="C953" s="3"/>
      <c r="D953" s="12"/>
    </row>
    <row r="954" spans="1:4" ht="12" customHeight="1" x14ac:dyDescent="0.25">
      <c r="A954" s="1"/>
      <c r="B954" s="3"/>
      <c r="C954" s="3"/>
      <c r="D954" s="12"/>
    </row>
    <row r="955" spans="1:4" ht="12" customHeight="1" x14ac:dyDescent="0.25">
      <c r="A955" s="1"/>
      <c r="B955" s="3"/>
      <c r="C955" s="3"/>
      <c r="D955" s="12"/>
    </row>
    <row r="956" spans="1:4" ht="12" customHeight="1" x14ac:dyDescent="0.25">
      <c r="A956" s="1"/>
      <c r="B956" s="3"/>
      <c r="C956" s="3"/>
      <c r="D956" s="12"/>
    </row>
    <row r="957" spans="1:4" ht="12" customHeight="1" x14ac:dyDescent="0.25">
      <c r="A957" s="1"/>
      <c r="B957" s="3"/>
      <c r="C957" s="3"/>
      <c r="D957" s="12"/>
    </row>
    <row r="958" spans="1:4" ht="12" customHeight="1" x14ac:dyDescent="0.25">
      <c r="A958" s="1"/>
      <c r="B958" s="3"/>
      <c r="C958" s="3"/>
      <c r="D958" s="12"/>
    </row>
    <row r="959" spans="1:4" ht="12" customHeight="1" x14ac:dyDescent="0.25">
      <c r="A959" s="1"/>
      <c r="B959" s="3"/>
      <c r="C959" s="3"/>
      <c r="D959" s="12"/>
    </row>
    <row r="960" spans="1:4" ht="12" customHeight="1" x14ac:dyDescent="0.25">
      <c r="A960" s="1"/>
      <c r="B960" s="3"/>
      <c r="C960" s="3"/>
      <c r="D960" s="12"/>
    </row>
    <row r="961" spans="1:4" ht="12" customHeight="1" x14ac:dyDescent="0.25">
      <c r="A961" s="1"/>
      <c r="B961" s="3"/>
      <c r="C961" s="3"/>
      <c r="D961" s="12"/>
    </row>
    <row r="962" spans="1:4" ht="12" customHeight="1" x14ac:dyDescent="0.25">
      <c r="A962" s="1"/>
      <c r="B962" s="3"/>
      <c r="C962" s="3"/>
      <c r="D962" s="12"/>
    </row>
    <row r="963" spans="1:4" ht="12" customHeight="1" x14ac:dyDescent="0.25">
      <c r="A963" s="1"/>
      <c r="B963" s="3"/>
      <c r="C963" s="3"/>
      <c r="D963" s="12"/>
    </row>
    <row r="964" spans="1:4" ht="12" customHeight="1" x14ac:dyDescent="0.25">
      <c r="A964" s="1"/>
      <c r="B964" s="3"/>
      <c r="C964" s="3"/>
      <c r="D964" s="12"/>
    </row>
    <row r="965" spans="1:4" ht="12" customHeight="1" x14ac:dyDescent="0.25">
      <c r="A965" s="1"/>
      <c r="B965" s="3"/>
      <c r="C965" s="3"/>
      <c r="D965" s="12"/>
    </row>
    <row r="966" spans="1:4" ht="12" customHeight="1" x14ac:dyDescent="0.25">
      <c r="A966" s="1"/>
      <c r="B966" s="3"/>
      <c r="C966" s="3"/>
      <c r="D966" s="12"/>
    </row>
    <row r="967" spans="1:4" ht="12" customHeight="1" x14ac:dyDescent="0.25">
      <c r="A967" s="1"/>
      <c r="B967" s="3"/>
      <c r="C967" s="3"/>
      <c r="D967" s="12"/>
    </row>
    <row r="968" spans="1:4" ht="12" customHeight="1" x14ac:dyDescent="0.25">
      <c r="A968" s="1"/>
      <c r="B968" s="3"/>
      <c r="C968" s="3"/>
      <c r="D968" s="12"/>
    </row>
    <row r="969" spans="1:4" ht="12" customHeight="1" x14ac:dyDescent="0.25">
      <c r="A969" s="1"/>
      <c r="B969" s="3"/>
      <c r="C969" s="3"/>
      <c r="D969" s="12"/>
    </row>
    <row r="970" spans="1:4" ht="12" customHeight="1" x14ac:dyDescent="0.25">
      <c r="A970" s="1"/>
      <c r="B970" s="3"/>
      <c r="C970" s="3"/>
      <c r="D970" s="12"/>
    </row>
    <row r="971" spans="1:4" ht="12" customHeight="1" x14ac:dyDescent="0.25">
      <c r="A971" s="1"/>
      <c r="B971" s="3"/>
      <c r="C971" s="3"/>
      <c r="D971" s="12"/>
    </row>
    <row r="972" spans="1:4" ht="12" customHeight="1" x14ac:dyDescent="0.25">
      <c r="A972" s="1"/>
      <c r="B972" s="3"/>
      <c r="C972" s="3"/>
      <c r="D972" s="12"/>
    </row>
    <row r="973" spans="1:4" ht="12" customHeight="1" x14ac:dyDescent="0.25">
      <c r="A973" s="1"/>
      <c r="B973" s="3"/>
      <c r="C973" s="3"/>
      <c r="D973" s="12"/>
    </row>
    <row r="974" spans="1:4" ht="12" customHeight="1" x14ac:dyDescent="0.25">
      <c r="A974" s="1"/>
      <c r="B974" s="3"/>
      <c r="C974" s="3"/>
      <c r="D974" s="12"/>
    </row>
    <row r="975" spans="1:4" ht="12" customHeight="1" x14ac:dyDescent="0.25">
      <c r="A975" s="1"/>
      <c r="B975" s="3"/>
      <c r="C975" s="3"/>
      <c r="D975" s="12"/>
    </row>
    <row r="976" spans="1:4" ht="12" customHeight="1" x14ac:dyDescent="0.25">
      <c r="A976" s="1"/>
      <c r="B976" s="3"/>
      <c r="C976" s="3"/>
      <c r="D976" s="12"/>
    </row>
    <row r="977" spans="1:4" ht="12" customHeight="1" x14ac:dyDescent="0.25">
      <c r="A977" s="1"/>
      <c r="B977" s="3"/>
      <c r="C977" s="3"/>
      <c r="D977" s="12"/>
    </row>
    <row r="978" spans="1:4" ht="12" customHeight="1" x14ac:dyDescent="0.25">
      <c r="A978" s="1"/>
      <c r="B978" s="3"/>
      <c r="C978" s="3"/>
      <c r="D978" s="12"/>
    </row>
    <row r="979" spans="1:4" ht="12" customHeight="1" x14ac:dyDescent="0.25">
      <c r="A979" s="1"/>
      <c r="B979" s="3"/>
      <c r="C979" s="3"/>
      <c r="D979" s="12"/>
    </row>
    <row r="980" spans="1:4" ht="12" customHeight="1" x14ac:dyDescent="0.25">
      <c r="A980" s="1"/>
      <c r="B980" s="3"/>
      <c r="C980" s="3"/>
      <c r="D980" s="12"/>
    </row>
    <row r="981" spans="1:4" ht="12" customHeight="1" x14ac:dyDescent="0.25">
      <c r="A981" s="1"/>
      <c r="B981" s="3"/>
      <c r="C981" s="3"/>
      <c r="D981" s="12"/>
    </row>
    <row r="982" spans="1:4" ht="12" customHeight="1" x14ac:dyDescent="0.25">
      <c r="A982" s="1"/>
      <c r="B982" s="3"/>
      <c r="C982" s="3"/>
      <c r="D982" s="12"/>
    </row>
    <row r="983" spans="1:4" ht="12" customHeight="1" x14ac:dyDescent="0.25">
      <c r="A983" s="1"/>
      <c r="B983" s="3"/>
      <c r="C983" s="3"/>
      <c r="D983" s="12"/>
    </row>
    <row r="984" spans="1:4" ht="12" customHeight="1" x14ac:dyDescent="0.25">
      <c r="A984" s="1"/>
      <c r="B984" s="3"/>
      <c r="C984" s="3"/>
      <c r="D984" s="12"/>
    </row>
    <row r="985" spans="1:4" ht="12" customHeight="1" x14ac:dyDescent="0.25">
      <c r="A985" s="1"/>
      <c r="B985" s="3"/>
      <c r="C985" s="3"/>
      <c r="D985" s="12"/>
    </row>
    <row r="986" spans="1:4" ht="12" customHeight="1" x14ac:dyDescent="0.25">
      <c r="A986" s="1"/>
      <c r="B986" s="3"/>
      <c r="C986" s="3"/>
      <c r="D986" s="12"/>
    </row>
    <row r="987" spans="1:4" ht="12" customHeight="1" x14ac:dyDescent="0.25">
      <c r="A987" s="1"/>
      <c r="B987" s="3"/>
      <c r="C987" s="3"/>
      <c r="D987" s="12"/>
    </row>
    <row r="988" spans="1:4" ht="12" customHeight="1" x14ac:dyDescent="0.25">
      <c r="A988" s="1"/>
      <c r="B988" s="3"/>
      <c r="C988" s="3"/>
      <c r="D988" s="12"/>
    </row>
    <row r="989" spans="1:4" ht="12" customHeight="1" x14ac:dyDescent="0.25">
      <c r="A989" s="1"/>
      <c r="B989" s="3"/>
      <c r="C989" s="3"/>
      <c r="D989" s="12"/>
    </row>
    <row r="990" spans="1:4" ht="12" customHeight="1" x14ac:dyDescent="0.25">
      <c r="A990" s="1"/>
      <c r="B990" s="3"/>
      <c r="C990" s="3"/>
      <c r="D990" s="12"/>
    </row>
    <row r="991" spans="1:4" ht="12" customHeight="1" x14ac:dyDescent="0.25">
      <c r="A991" s="1"/>
      <c r="B991" s="3"/>
      <c r="C991" s="3"/>
      <c r="D991" s="12"/>
    </row>
    <row r="992" spans="1:4" ht="12" customHeight="1" x14ac:dyDescent="0.25">
      <c r="A992" s="1"/>
      <c r="B992" s="3"/>
      <c r="C992" s="3"/>
      <c r="D992" s="12"/>
    </row>
    <row r="993" spans="1:4" ht="12" customHeight="1" x14ac:dyDescent="0.25">
      <c r="A993" s="1"/>
      <c r="B993" s="3"/>
      <c r="C993" s="3"/>
      <c r="D993" s="12"/>
    </row>
    <row r="994" spans="1:4" ht="12" customHeight="1" x14ac:dyDescent="0.25">
      <c r="A994" s="1"/>
      <c r="B994" s="3"/>
      <c r="C994" s="3"/>
      <c r="D994" s="12"/>
    </row>
    <row r="995" spans="1:4" ht="12" customHeight="1" x14ac:dyDescent="0.25">
      <c r="A995" s="1"/>
      <c r="B995" s="3"/>
      <c r="C995" s="3"/>
      <c r="D995" s="12"/>
    </row>
    <row r="996" spans="1:4" ht="12" customHeight="1" x14ac:dyDescent="0.25">
      <c r="A996" s="1"/>
      <c r="B996" s="3"/>
      <c r="C996" s="3"/>
      <c r="D996" s="12"/>
    </row>
    <row r="997" spans="1:4" ht="12" customHeight="1" x14ac:dyDescent="0.25">
      <c r="A997" s="1"/>
      <c r="B997" s="3"/>
      <c r="C997" s="3"/>
      <c r="D997" s="12"/>
    </row>
    <row r="998" spans="1:4" ht="12" customHeight="1" x14ac:dyDescent="0.25">
      <c r="A998" s="1"/>
      <c r="B998" s="3"/>
      <c r="C998" s="3"/>
      <c r="D998" s="12"/>
    </row>
    <row r="999" spans="1:4" ht="12" customHeight="1" x14ac:dyDescent="0.25">
      <c r="A999" s="1"/>
      <c r="B999" s="3"/>
      <c r="C999" s="3"/>
      <c r="D999" s="12"/>
    </row>
    <row r="1000" spans="1:4" ht="12" customHeight="1" x14ac:dyDescent="0.25">
      <c r="A1000" s="1"/>
      <c r="B1000" s="3"/>
      <c r="C1000" s="3"/>
      <c r="D1000" s="12"/>
    </row>
  </sheetData>
  <mergeCells count="2">
    <mergeCell ref="A14:A15"/>
    <mergeCell ref="B14:C14"/>
  </mergeCells>
  <pageMargins left="0.7" right="0.7" top="0.75" bottom="0.75" header="0" footer="0"/>
  <pageSetup orientation="portrait"/>
  <headerFooter>
    <oddFooter>&amp;C# Propietaria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G16" sqref="G16"/>
    </sheetView>
  </sheetViews>
  <sheetFormatPr baseColWidth="10" defaultColWidth="14.453125" defaultRowHeight="15" customHeight="1" x14ac:dyDescent="0.25"/>
  <cols>
    <col min="1" max="1" width="17.54296875" customWidth="1"/>
    <col min="2" max="2" width="14.54296875" customWidth="1"/>
    <col min="3" max="4" width="11.453125" customWidth="1"/>
    <col min="5" max="5" width="9.81640625" customWidth="1"/>
    <col min="6" max="6" width="9" customWidth="1"/>
    <col min="7" max="7" width="16.08984375" customWidth="1"/>
    <col min="8" max="8" width="11.453125" customWidth="1"/>
    <col min="9" max="9" width="12.81640625" customWidth="1"/>
    <col min="10" max="10" width="12.453125" customWidth="1"/>
    <col min="11" max="26" width="11.453125" customWidth="1"/>
  </cols>
  <sheetData>
    <row r="1" spans="1:11" ht="12" customHeight="1" x14ac:dyDescent="0.2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</row>
    <row r="2" spans="1:11" ht="12" customHeight="1" x14ac:dyDescent="0.25">
      <c r="A2" s="1" t="s">
        <v>3</v>
      </c>
      <c r="B2" s="2" t="s">
        <v>4</v>
      </c>
      <c r="C2" s="3"/>
      <c r="D2" s="6" t="s">
        <v>5</v>
      </c>
      <c r="E2" s="7">
        <f>B8+365</f>
        <v>43904</v>
      </c>
      <c r="F2" s="5"/>
      <c r="G2" s="8" t="s">
        <v>6</v>
      </c>
      <c r="H2" s="5">
        <f>-(B9-E3)/(E2-B8)</f>
        <v>6.9627068493150687E-3</v>
      </c>
    </row>
    <row r="3" spans="1:11" ht="12" customHeight="1" x14ac:dyDescent="0.3">
      <c r="A3" s="9" t="s">
        <v>7</v>
      </c>
      <c r="B3" s="2" t="s">
        <v>8</v>
      </c>
      <c r="C3" s="3"/>
      <c r="D3" s="6" t="s">
        <v>9</v>
      </c>
      <c r="E3" s="26">
        <v>5</v>
      </c>
      <c r="F3" s="5"/>
      <c r="G3" s="5" t="s">
        <v>10</v>
      </c>
      <c r="H3" s="11">
        <f>J277</f>
        <v>2.4669031213414412</v>
      </c>
    </row>
    <row r="4" spans="1:11" ht="12" customHeight="1" x14ac:dyDescent="0.25">
      <c r="A4" s="1" t="s">
        <v>11</v>
      </c>
      <c r="B4" s="2">
        <v>2.5</v>
      </c>
      <c r="C4" s="3"/>
      <c r="D4" s="3" t="s">
        <v>12</v>
      </c>
      <c r="K4" s="3" t="s">
        <v>13</v>
      </c>
    </row>
    <row r="5" spans="1:11" ht="12" customHeight="1" x14ac:dyDescent="0.25">
      <c r="A5" s="1" t="s">
        <v>14</v>
      </c>
      <c r="B5" s="2">
        <v>2</v>
      </c>
      <c r="C5" s="3"/>
      <c r="D5" s="12"/>
    </row>
    <row r="6" spans="1:11" ht="12" customHeight="1" x14ac:dyDescent="0.25">
      <c r="A6" s="1" t="s">
        <v>15</v>
      </c>
      <c r="B6" s="13">
        <v>1000000</v>
      </c>
      <c r="C6" s="14"/>
      <c r="D6" s="12"/>
    </row>
    <row r="7" spans="1:11" ht="12" customHeight="1" x14ac:dyDescent="0.25">
      <c r="A7" s="1" t="s">
        <v>16</v>
      </c>
      <c r="B7" s="13">
        <f>B4/B5*$B$6/100</f>
        <v>12500</v>
      </c>
      <c r="C7" s="3"/>
      <c r="D7" s="12"/>
    </row>
    <row r="8" spans="1:11" ht="12" customHeight="1" x14ac:dyDescent="0.25">
      <c r="A8" s="1" t="s">
        <v>17</v>
      </c>
      <c r="B8" s="15">
        <v>43539</v>
      </c>
      <c r="C8" s="3"/>
      <c r="D8" s="12"/>
    </row>
    <row r="9" spans="1:11" ht="12" customHeight="1" x14ac:dyDescent="0.25">
      <c r="A9" s="1" t="s">
        <v>18</v>
      </c>
      <c r="B9" s="2">
        <v>2.458612</v>
      </c>
      <c r="C9" s="3"/>
      <c r="D9" s="12"/>
    </row>
    <row r="10" spans="1:11" ht="12" customHeight="1" x14ac:dyDescent="0.25">
      <c r="A10" s="1" t="s">
        <v>19</v>
      </c>
      <c r="B10" s="16">
        <v>100.078125</v>
      </c>
      <c r="C10" s="3"/>
      <c r="D10" s="12"/>
    </row>
    <row r="11" spans="1:11" ht="12" customHeight="1" x14ac:dyDescent="0.25">
      <c r="A11" s="1"/>
      <c r="B11" s="3"/>
      <c r="C11" s="17"/>
      <c r="D11" s="12"/>
    </row>
    <row r="12" spans="1:11" ht="12" customHeight="1" x14ac:dyDescent="0.25">
      <c r="A12" s="1"/>
      <c r="B12" s="3"/>
      <c r="C12" s="17"/>
      <c r="D12" s="12"/>
    </row>
    <row r="13" spans="1:11" ht="12" customHeight="1" x14ac:dyDescent="0.25">
      <c r="A13" s="1"/>
      <c r="B13" s="3"/>
      <c r="C13" s="3"/>
      <c r="D13" s="12"/>
    </row>
    <row r="14" spans="1:11" ht="12" customHeight="1" x14ac:dyDescent="0.25">
      <c r="A14" s="27" t="s">
        <v>20</v>
      </c>
      <c r="B14" s="29" t="s">
        <v>21</v>
      </c>
      <c r="C14" s="30"/>
      <c r="D14" s="18" t="s">
        <v>22</v>
      </c>
      <c r="I14" s="13"/>
    </row>
    <row r="15" spans="1:11" ht="12" customHeight="1" x14ac:dyDescent="0.3">
      <c r="A15" s="28"/>
      <c r="B15" s="5" t="s">
        <v>23</v>
      </c>
      <c r="C15" s="5" t="s">
        <v>24</v>
      </c>
      <c r="D15" s="12" t="s">
        <v>25</v>
      </c>
      <c r="E15" s="19" t="s">
        <v>26</v>
      </c>
      <c r="F15" s="19" t="s">
        <v>27</v>
      </c>
      <c r="G15" s="9" t="s">
        <v>28</v>
      </c>
      <c r="H15" s="9" t="s">
        <v>29</v>
      </c>
      <c r="I15" s="9" t="s">
        <v>30</v>
      </c>
      <c r="J15" s="9" t="s">
        <v>10</v>
      </c>
    </row>
    <row r="16" spans="1:11" ht="12" customHeight="1" x14ac:dyDescent="0.3">
      <c r="A16" s="1">
        <f>B8</f>
        <v>43539</v>
      </c>
      <c r="B16" s="20">
        <v>1019.0217391304349</v>
      </c>
      <c r="C16" s="20">
        <v>0</v>
      </c>
      <c r="D16" s="21" t="str">
        <f t="shared" ref="D16:D527" si="0">TEXT(WORKDAY(A16,0),$D$14&amp;"mmdd")</f>
        <v>190315</v>
      </c>
      <c r="E16" s="22">
        <f>B9</f>
        <v>2.458612</v>
      </c>
      <c r="F16" s="9">
        <v>0</v>
      </c>
      <c r="G16" s="31">
        <f t="shared" ref="G16:G526" si="1">PRICE(A16,$B$3,$B$4%,E16%,100,2,2)</f>
        <v>100.07807789534182</v>
      </c>
      <c r="H16" s="23">
        <v>0</v>
      </c>
      <c r="I16" s="20">
        <f t="shared" ref="I16:I527" si="2">C16+H16</f>
        <v>0</v>
      </c>
    </row>
    <row r="17" spans="1:11" ht="12" customHeight="1" x14ac:dyDescent="0.3">
      <c r="A17" s="1">
        <f t="shared" ref="A17:A527" si="3">WORKDAY(A16,1)</f>
        <v>43542</v>
      </c>
      <c r="B17" s="20">
        <v>1222.8260869565217</v>
      </c>
      <c r="C17" s="20">
        <f t="shared" ref="C17:C527" si="4">IF(B17&gt;B16,C16+(B17-B16),C16+($B$7-B16)+B17)</f>
        <v>203.80434782608688</v>
      </c>
      <c r="D17" s="21" t="str">
        <f t="shared" si="0"/>
        <v>190318</v>
      </c>
      <c r="E17" s="22">
        <f t="shared" ref="E17:E527" si="5">E16+F16</f>
        <v>2.458612</v>
      </c>
      <c r="F17" s="9">
        <v>0</v>
      </c>
      <c r="G17" s="14">
        <f t="shared" si="1"/>
        <v>100.07764727391361</v>
      </c>
      <c r="H17" s="24">
        <f t="shared" ref="H17:H527" si="6">(G17-$B$10)*$B$6/100</f>
        <v>-4.777260863875199</v>
      </c>
      <c r="I17" s="20">
        <f t="shared" si="2"/>
        <v>199.02708696221168</v>
      </c>
      <c r="J17" s="17">
        <f t="shared" ref="J17:J527" si="7">I17/$B$6*100</f>
        <v>1.9902708696221169E-2</v>
      </c>
      <c r="K17" s="3"/>
    </row>
    <row r="18" spans="1:11" ht="12" customHeight="1" x14ac:dyDescent="0.3">
      <c r="A18" s="1">
        <f t="shared" si="3"/>
        <v>43543</v>
      </c>
      <c r="B18" s="20">
        <v>1290.7608695652173</v>
      </c>
      <c r="C18" s="20">
        <f t="shared" si="4"/>
        <v>271.7391304347824</v>
      </c>
      <c r="D18" s="21" t="str">
        <f t="shared" si="0"/>
        <v>190319</v>
      </c>
      <c r="E18" s="22">
        <f t="shared" si="5"/>
        <v>2.458612</v>
      </c>
      <c r="F18" s="9">
        <v>0</v>
      </c>
      <c r="G18" s="14">
        <f t="shared" si="1"/>
        <v>100.07750465675888</v>
      </c>
      <c r="H18" s="24">
        <f t="shared" si="6"/>
        <v>-6.2034324112403283</v>
      </c>
      <c r="I18" s="20">
        <f t="shared" si="2"/>
        <v>265.53569802354207</v>
      </c>
      <c r="J18" s="17">
        <f t="shared" si="7"/>
        <v>2.655356980235421E-2</v>
      </c>
    </row>
    <row r="19" spans="1:11" ht="12" customHeight="1" x14ac:dyDescent="0.3">
      <c r="A19" s="1">
        <f t="shared" si="3"/>
        <v>43544</v>
      </c>
      <c r="B19" s="20">
        <v>1358.695652173913</v>
      </c>
      <c r="C19" s="20">
        <f t="shared" si="4"/>
        <v>339.67391304347814</v>
      </c>
      <c r="D19" s="21" t="str">
        <f t="shared" si="0"/>
        <v>190320</v>
      </c>
      <c r="E19" s="22">
        <f t="shared" si="5"/>
        <v>2.458612</v>
      </c>
      <c r="F19" s="9">
        <v>0</v>
      </c>
      <c r="G19" s="14">
        <f t="shared" si="1"/>
        <v>100.07736250131703</v>
      </c>
      <c r="H19" s="24">
        <f t="shared" si="6"/>
        <v>-7.6249868297395551</v>
      </c>
      <c r="I19" s="20">
        <f t="shared" si="2"/>
        <v>332.04892621373858</v>
      </c>
      <c r="J19" s="17">
        <f t="shared" si="7"/>
        <v>3.3204892621373855E-2</v>
      </c>
    </row>
    <row r="20" spans="1:11" ht="12" customHeight="1" x14ac:dyDescent="0.3">
      <c r="A20" s="1">
        <f t="shared" si="3"/>
        <v>43545</v>
      </c>
      <c r="B20" s="20">
        <v>1426.6304347826087</v>
      </c>
      <c r="C20" s="20">
        <f t="shared" si="4"/>
        <v>407.60869565217388</v>
      </c>
      <c r="D20" s="21" t="str">
        <f t="shared" si="0"/>
        <v>190321</v>
      </c>
      <c r="E20" s="22">
        <f t="shared" si="5"/>
        <v>2.458612</v>
      </c>
      <c r="F20" s="9">
        <v>0</v>
      </c>
      <c r="G20" s="14">
        <f t="shared" si="1"/>
        <v>100.07722080761941</v>
      </c>
      <c r="H20" s="24">
        <f t="shared" si="6"/>
        <v>-9.0419238058814244</v>
      </c>
      <c r="I20" s="20">
        <f t="shared" si="2"/>
        <v>398.56677184629245</v>
      </c>
      <c r="J20" s="17">
        <f t="shared" si="7"/>
        <v>3.9856677184629243E-2</v>
      </c>
    </row>
    <row r="21" spans="1:11" ht="12" customHeight="1" x14ac:dyDescent="0.3">
      <c r="A21" s="1">
        <f t="shared" si="3"/>
        <v>43546</v>
      </c>
      <c r="B21" s="20">
        <v>1494.5652173913043</v>
      </c>
      <c r="C21" s="20">
        <f t="shared" si="4"/>
        <v>475.54347826086939</v>
      </c>
      <c r="D21" s="21" t="str">
        <f t="shared" si="0"/>
        <v>190322</v>
      </c>
      <c r="E21" s="22">
        <f t="shared" si="5"/>
        <v>2.458612</v>
      </c>
      <c r="F21" s="9">
        <v>0</v>
      </c>
      <c r="G21" s="14">
        <f t="shared" si="1"/>
        <v>100.0770795756974</v>
      </c>
      <c r="H21" s="24">
        <f t="shared" si="6"/>
        <v>-10.454243026032373</v>
      </c>
      <c r="I21" s="20">
        <f t="shared" si="2"/>
        <v>465.08923523483702</v>
      </c>
      <c r="J21" s="17">
        <f t="shared" si="7"/>
        <v>4.6508923523483701E-2</v>
      </c>
    </row>
    <row r="22" spans="1:11" ht="12" customHeight="1" x14ac:dyDescent="0.3">
      <c r="A22" s="1">
        <f t="shared" si="3"/>
        <v>43549</v>
      </c>
      <c r="B22" s="20">
        <v>1698.3695652173913</v>
      </c>
      <c r="C22" s="20">
        <f t="shared" si="4"/>
        <v>679.34782608695639</v>
      </c>
      <c r="D22" s="21" t="str">
        <f t="shared" si="0"/>
        <v>190325</v>
      </c>
      <c r="E22" s="22">
        <f t="shared" si="5"/>
        <v>2.458612</v>
      </c>
      <c r="F22" s="9">
        <v>0</v>
      </c>
      <c r="G22" s="14">
        <f t="shared" si="1"/>
        <v>100.07665865089827</v>
      </c>
      <c r="H22" s="24">
        <f t="shared" si="6"/>
        <v>-14.663491017330443</v>
      </c>
      <c r="I22" s="20">
        <f t="shared" si="2"/>
        <v>664.68433506962594</v>
      </c>
      <c r="J22" s="17">
        <f t="shared" si="7"/>
        <v>6.646843350696259E-2</v>
      </c>
    </row>
    <row r="23" spans="1:11" ht="12" customHeight="1" x14ac:dyDescent="0.3">
      <c r="A23" s="1">
        <f t="shared" si="3"/>
        <v>43550</v>
      </c>
      <c r="B23" s="20">
        <v>1766.3043478260868</v>
      </c>
      <c r="C23" s="20">
        <f t="shared" si="4"/>
        <v>747.2826086956519</v>
      </c>
      <c r="D23" s="21" t="str">
        <f t="shared" si="0"/>
        <v>190326</v>
      </c>
      <c r="E23" s="22">
        <f t="shared" si="5"/>
        <v>2.458612</v>
      </c>
      <c r="F23" s="9">
        <v>0</v>
      </c>
      <c r="G23" s="14">
        <f t="shared" si="1"/>
        <v>100.07651926639203</v>
      </c>
      <c r="H23" s="24">
        <f t="shared" si="6"/>
        <v>-16.057336079740026</v>
      </c>
      <c r="I23" s="20">
        <f t="shared" si="2"/>
        <v>731.22527261591188</v>
      </c>
      <c r="J23" s="17">
        <f t="shared" si="7"/>
        <v>7.3122527261591186E-2</v>
      </c>
    </row>
    <row r="24" spans="1:11" ht="12" customHeight="1" x14ac:dyDescent="0.3">
      <c r="A24" s="1">
        <f t="shared" si="3"/>
        <v>43551</v>
      </c>
      <c r="B24" s="20">
        <v>1834.2391304347827</v>
      </c>
      <c r="C24" s="20">
        <f t="shared" si="4"/>
        <v>815.21739130434787</v>
      </c>
      <c r="D24" s="21" t="str">
        <f t="shared" si="0"/>
        <v>190327</v>
      </c>
      <c r="E24" s="22">
        <f t="shared" si="5"/>
        <v>2.458612</v>
      </c>
      <c r="F24" s="9">
        <v>0</v>
      </c>
      <c r="G24" s="14">
        <f t="shared" si="1"/>
        <v>100.07638034381814</v>
      </c>
      <c r="H24" s="24">
        <f t="shared" si="6"/>
        <v>-17.446561818559303</v>
      </c>
      <c r="I24" s="20">
        <f t="shared" si="2"/>
        <v>797.77082948578857</v>
      </c>
      <c r="J24" s="17">
        <f t="shared" si="7"/>
        <v>7.9777082948578854E-2</v>
      </c>
    </row>
    <row r="25" spans="1:11" ht="12" customHeight="1" x14ac:dyDescent="0.3">
      <c r="A25" s="1">
        <f t="shared" si="3"/>
        <v>43552</v>
      </c>
      <c r="B25" s="20">
        <v>1902.1739130434785</v>
      </c>
      <c r="C25" s="20">
        <f t="shared" si="4"/>
        <v>883.15217391304361</v>
      </c>
      <c r="D25" s="21" t="str">
        <f t="shared" si="0"/>
        <v>190328</v>
      </c>
      <c r="E25" s="22">
        <f t="shared" si="5"/>
        <v>2.458612</v>
      </c>
      <c r="F25" s="9">
        <v>0</v>
      </c>
      <c r="G25" s="14">
        <f t="shared" si="1"/>
        <v>100.07624188320794</v>
      </c>
      <c r="H25" s="24">
        <f t="shared" si="6"/>
        <v>-18.831167920581038</v>
      </c>
      <c r="I25" s="20">
        <f t="shared" si="2"/>
        <v>864.32100599246257</v>
      </c>
      <c r="J25" s="17">
        <f t="shared" si="7"/>
        <v>8.6432100599246248E-2</v>
      </c>
    </row>
    <row r="26" spans="1:11" ht="12" customHeight="1" x14ac:dyDescent="0.3">
      <c r="A26" s="1">
        <f t="shared" si="3"/>
        <v>43553</v>
      </c>
      <c r="B26" s="20">
        <v>1970.108695652174</v>
      </c>
      <c r="C26" s="20">
        <f t="shared" si="4"/>
        <v>951.08695652173913</v>
      </c>
      <c r="D26" s="21" t="str">
        <f t="shared" si="0"/>
        <v>190329</v>
      </c>
      <c r="E26" s="22">
        <f t="shared" si="5"/>
        <v>2.458612</v>
      </c>
      <c r="F26" s="9">
        <v>0</v>
      </c>
      <c r="G26" s="14">
        <f t="shared" si="1"/>
        <v>100.07610388459278</v>
      </c>
      <c r="H26" s="24">
        <f t="shared" si="6"/>
        <v>-20.211154072171666</v>
      </c>
      <c r="I26" s="20">
        <f t="shared" si="2"/>
        <v>930.87580244956746</v>
      </c>
      <c r="J26" s="17">
        <f t="shared" si="7"/>
        <v>9.3087580244956752E-2</v>
      </c>
    </row>
    <row r="27" spans="1:11" ht="12" customHeight="1" x14ac:dyDescent="0.3">
      <c r="A27" s="1">
        <f t="shared" si="3"/>
        <v>43556</v>
      </c>
      <c r="B27" s="20">
        <v>2173.913043478261</v>
      </c>
      <c r="C27" s="20">
        <f t="shared" si="4"/>
        <v>1154.891304347826</v>
      </c>
      <c r="D27" s="21" t="str">
        <f t="shared" si="0"/>
        <v>190401</v>
      </c>
      <c r="E27" s="22">
        <f t="shared" si="5"/>
        <v>2.458612</v>
      </c>
      <c r="F27" s="9">
        <v>0</v>
      </c>
      <c r="G27" s="14">
        <f t="shared" si="1"/>
        <v>100.07569266103118</v>
      </c>
      <c r="H27" s="24">
        <f t="shared" si="6"/>
        <v>-24.323389688163388</v>
      </c>
      <c r="I27" s="20">
        <f t="shared" si="2"/>
        <v>1130.5679146596626</v>
      </c>
      <c r="J27" s="17">
        <f t="shared" si="7"/>
        <v>0.11305679146596626</v>
      </c>
    </row>
    <row r="28" spans="1:11" ht="12" customHeight="1" x14ac:dyDescent="0.3">
      <c r="A28" s="1">
        <f t="shared" si="3"/>
        <v>43557</v>
      </c>
      <c r="B28" s="20">
        <v>2241.8478260869565</v>
      </c>
      <c r="C28" s="20">
        <f t="shared" si="4"/>
        <v>1222.8260869565215</v>
      </c>
      <c r="D28" s="21" t="str">
        <f t="shared" si="0"/>
        <v>190402</v>
      </c>
      <c r="E28" s="22">
        <f t="shared" si="5"/>
        <v>2.458612</v>
      </c>
      <c r="F28" s="9">
        <v>0</v>
      </c>
      <c r="G28" s="14">
        <f t="shared" si="1"/>
        <v>100.07555651070983</v>
      </c>
      <c r="H28" s="24">
        <f t="shared" si="6"/>
        <v>-25.684892901693956</v>
      </c>
      <c r="I28" s="20">
        <f t="shared" si="2"/>
        <v>1197.1411940548276</v>
      </c>
      <c r="J28" s="17">
        <f t="shared" si="7"/>
        <v>0.11971411940548277</v>
      </c>
    </row>
    <row r="29" spans="1:11" ht="12" customHeight="1" x14ac:dyDescent="0.3">
      <c r="A29" s="1">
        <f t="shared" si="3"/>
        <v>43558</v>
      </c>
      <c r="B29" s="20">
        <v>2309.782608695652</v>
      </c>
      <c r="C29" s="20">
        <f t="shared" si="4"/>
        <v>1290.760869565217</v>
      </c>
      <c r="D29" s="21" t="str">
        <f t="shared" si="0"/>
        <v>190403</v>
      </c>
      <c r="E29" s="22">
        <f t="shared" si="5"/>
        <v>2.458612</v>
      </c>
      <c r="F29" s="9">
        <v>0</v>
      </c>
      <c r="G29" s="14">
        <f t="shared" si="1"/>
        <v>100.07542082254037</v>
      </c>
      <c r="H29" s="24">
        <f t="shared" si="6"/>
        <v>-27.041774596341384</v>
      </c>
      <c r="I29" s="20">
        <f t="shared" si="2"/>
        <v>1263.7190949688757</v>
      </c>
      <c r="J29" s="17">
        <f t="shared" si="7"/>
        <v>0.12637190949688756</v>
      </c>
    </row>
    <row r="30" spans="1:11" ht="12" customHeight="1" x14ac:dyDescent="0.3">
      <c r="A30" s="1">
        <f t="shared" si="3"/>
        <v>43559</v>
      </c>
      <c r="B30" s="20">
        <v>2377.717391304348</v>
      </c>
      <c r="C30" s="20">
        <f t="shared" si="4"/>
        <v>1358.695652173913</v>
      </c>
      <c r="D30" s="21" t="str">
        <f t="shared" si="0"/>
        <v>190404</v>
      </c>
      <c r="E30" s="22">
        <f t="shared" si="5"/>
        <v>2.458612</v>
      </c>
      <c r="F30" s="9">
        <v>0</v>
      </c>
      <c r="G30" s="14">
        <f t="shared" si="1"/>
        <v>100.07528559655411</v>
      </c>
      <c r="H30" s="24">
        <f t="shared" si="6"/>
        <v>-28.394034458898432</v>
      </c>
      <c r="I30" s="20">
        <f t="shared" si="2"/>
        <v>1330.3016177150146</v>
      </c>
      <c r="J30" s="17">
        <f t="shared" si="7"/>
        <v>0.13303016177150145</v>
      </c>
    </row>
    <row r="31" spans="1:11" ht="12" customHeight="1" x14ac:dyDescent="0.3">
      <c r="A31" s="1">
        <f t="shared" si="3"/>
        <v>43560</v>
      </c>
      <c r="B31" s="20">
        <v>2445.6521739130435</v>
      </c>
      <c r="C31" s="20">
        <f t="shared" si="4"/>
        <v>1426.6304347826085</v>
      </c>
      <c r="D31" s="21" t="str">
        <f t="shared" si="0"/>
        <v>190405</v>
      </c>
      <c r="E31" s="22">
        <f t="shared" si="5"/>
        <v>2.458612</v>
      </c>
      <c r="F31" s="9">
        <v>0</v>
      </c>
      <c r="G31" s="14">
        <f t="shared" si="1"/>
        <v>100.0751508327825</v>
      </c>
      <c r="H31" s="24">
        <f t="shared" si="6"/>
        <v>-29.741672175020994</v>
      </c>
      <c r="I31" s="20">
        <f t="shared" si="2"/>
        <v>1396.8887626075875</v>
      </c>
      <c r="J31" s="17">
        <f t="shared" si="7"/>
        <v>0.13968887626075877</v>
      </c>
    </row>
    <row r="32" spans="1:11" ht="12" customHeight="1" x14ac:dyDescent="0.3">
      <c r="A32" s="1">
        <f t="shared" si="3"/>
        <v>43563</v>
      </c>
      <c r="B32" s="20">
        <v>2649.45652173913</v>
      </c>
      <c r="C32" s="20">
        <f t="shared" si="4"/>
        <v>1630.4347826086951</v>
      </c>
      <c r="D32" s="21" t="str">
        <f t="shared" si="0"/>
        <v>190408</v>
      </c>
      <c r="E32" s="22">
        <f t="shared" si="5"/>
        <v>2.458612</v>
      </c>
      <c r="F32" s="9">
        <v>0</v>
      </c>
      <c r="G32" s="14">
        <f t="shared" si="1"/>
        <v>100.07474931506904</v>
      </c>
      <c r="H32" s="24">
        <f t="shared" si="6"/>
        <v>-33.756849309583004</v>
      </c>
      <c r="I32" s="20">
        <f t="shared" si="2"/>
        <v>1596.6779332991121</v>
      </c>
      <c r="J32" s="17">
        <f t="shared" si="7"/>
        <v>0.15966779332991121</v>
      </c>
    </row>
    <row r="33" spans="1:10" ht="12" customHeight="1" x14ac:dyDescent="0.3">
      <c r="A33" s="1">
        <f t="shared" si="3"/>
        <v>43564</v>
      </c>
      <c r="B33" s="20">
        <v>2717.391304347826</v>
      </c>
      <c r="C33" s="20">
        <f t="shared" si="4"/>
        <v>1698.369565217391</v>
      </c>
      <c r="D33" s="21" t="str">
        <f t="shared" si="0"/>
        <v>190409</v>
      </c>
      <c r="E33" s="22">
        <f t="shared" si="5"/>
        <v>2.458612</v>
      </c>
      <c r="F33" s="9">
        <v>0</v>
      </c>
      <c r="G33" s="14">
        <f t="shared" si="1"/>
        <v>100.07461640046967</v>
      </c>
      <c r="H33" s="24">
        <f t="shared" si="6"/>
        <v>-35.085995303347772</v>
      </c>
      <c r="I33" s="20">
        <f t="shared" si="2"/>
        <v>1663.2835699140433</v>
      </c>
      <c r="J33" s="17">
        <f t="shared" si="7"/>
        <v>0.16632835699140433</v>
      </c>
    </row>
    <row r="34" spans="1:10" ht="12" customHeight="1" x14ac:dyDescent="0.3">
      <c r="A34" s="1">
        <f t="shared" si="3"/>
        <v>43565</v>
      </c>
      <c r="B34" s="20">
        <v>2785.3260869565215</v>
      </c>
      <c r="C34" s="20">
        <f t="shared" si="4"/>
        <v>1766.3043478260865</v>
      </c>
      <c r="D34" s="21" t="str">
        <f t="shared" si="0"/>
        <v>190410</v>
      </c>
      <c r="E34" s="22">
        <f t="shared" si="5"/>
        <v>2.458612</v>
      </c>
      <c r="F34" s="9">
        <v>0</v>
      </c>
      <c r="G34" s="14">
        <f t="shared" si="1"/>
        <v>100.07448394824175</v>
      </c>
      <c r="H34" s="24">
        <f t="shared" si="6"/>
        <v>-36.410517582510238</v>
      </c>
      <c r="I34" s="20">
        <f t="shared" si="2"/>
        <v>1729.8938302435763</v>
      </c>
      <c r="J34" s="17">
        <f t="shared" si="7"/>
        <v>0.17298938302435762</v>
      </c>
    </row>
    <row r="35" spans="1:10" ht="12" customHeight="1" x14ac:dyDescent="0.3">
      <c r="A35" s="1">
        <f t="shared" si="3"/>
        <v>43566</v>
      </c>
      <c r="B35" s="20">
        <v>2853.2608695652175</v>
      </c>
      <c r="C35" s="20">
        <f t="shared" si="4"/>
        <v>1834.2391304347825</v>
      </c>
      <c r="D35" s="21" t="str">
        <f t="shared" si="0"/>
        <v>190411</v>
      </c>
      <c r="E35" s="22">
        <f t="shared" si="5"/>
        <v>2.458612</v>
      </c>
      <c r="F35" s="9">
        <v>0</v>
      </c>
      <c r="G35" s="14">
        <f t="shared" si="1"/>
        <v>100.0743519584168</v>
      </c>
      <c r="H35" s="24">
        <f t="shared" si="6"/>
        <v>-37.730415832015751</v>
      </c>
      <c r="I35" s="20">
        <f t="shared" si="2"/>
        <v>1796.5087146027668</v>
      </c>
      <c r="J35" s="17">
        <f t="shared" si="7"/>
        <v>0.17965087146027667</v>
      </c>
    </row>
    <row r="36" spans="1:10" ht="12" customHeight="1" x14ac:dyDescent="0.3">
      <c r="A36" s="1">
        <f t="shared" si="3"/>
        <v>43567</v>
      </c>
      <c r="B36" s="20">
        <v>2921.195652173913</v>
      </c>
      <c r="C36" s="20">
        <f t="shared" si="4"/>
        <v>1902.173913043478</v>
      </c>
      <c r="D36" s="21" t="str">
        <f t="shared" si="0"/>
        <v>190412</v>
      </c>
      <c r="E36" s="22">
        <f t="shared" si="5"/>
        <v>2.458612</v>
      </c>
      <c r="F36" s="9">
        <v>0</v>
      </c>
      <c r="G36" s="14">
        <f t="shared" si="1"/>
        <v>100.07422043102608</v>
      </c>
      <c r="H36" s="24">
        <f t="shared" si="6"/>
        <v>-39.045689739225509</v>
      </c>
      <c r="I36" s="20">
        <f t="shared" si="2"/>
        <v>1863.1282233042525</v>
      </c>
      <c r="J36" s="17">
        <f t="shared" si="7"/>
        <v>0.18631282233042526</v>
      </c>
    </row>
    <row r="37" spans="1:10" ht="12" customHeight="1" x14ac:dyDescent="0.3">
      <c r="A37" s="1">
        <f t="shared" si="3"/>
        <v>43570</v>
      </c>
      <c r="B37" s="20">
        <v>3125</v>
      </c>
      <c r="C37" s="20">
        <f t="shared" si="4"/>
        <v>2105.978260869565</v>
      </c>
      <c r="D37" s="21" t="str">
        <f t="shared" si="0"/>
        <v>190415</v>
      </c>
      <c r="E37" s="22">
        <f t="shared" si="5"/>
        <v>2.458612</v>
      </c>
      <c r="F37" s="9">
        <v>0</v>
      </c>
      <c r="G37" s="14">
        <f t="shared" si="1"/>
        <v>100.07382862377364</v>
      </c>
      <c r="H37" s="24">
        <f t="shared" si="6"/>
        <v>-42.963762263639182</v>
      </c>
      <c r="I37" s="20">
        <f t="shared" si="2"/>
        <v>2063.0144986059258</v>
      </c>
      <c r="J37" s="17">
        <f t="shared" si="7"/>
        <v>0.20630144986059257</v>
      </c>
    </row>
    <row r="38" spans="1:10" ht="12" customHeight="1" x14ac:dyDescent="0.3">
      <c r="A38" s="1">
        <f t="shared" si="3"/>
        <v>43571</v>
      </c>
      <c r="B38" s="20">
        <v>3192.9347826086964</v>
      </c>
      <c r="C38" s="20">
        <f t="shared" si="4"/>
        <v>2173.9130434782614</v>
      </c>
      <c r="D38" s="21" t="str">
        <f t="shared" si="0"/>
        <v>190416</v>
      </c>
      <c r="E38" s="22">
        <f t="shared" si="5"/>
        <v>2.458612</v>
      </c>
      <c r="F38" s="9">
        <v>0</v>
      </c>
      <c r="G38" s="14">
        <f t="shared" si="1"/>
        <v>100.07369894643399</v>
      </c>
      <c r="H38" s="24">
        <f t="shared" si="6"/>
        <v>-44.260535660072264</v>
      </c>
      <c r="I38" s="20">
        <f t="shared" si="2"/>
        <v>2129.6525078181894</v>
      </c>
      <c r="J38" s="17">
        <f t="shared" si="7"/>
        <v>0.21296525078181894</v>
      </c>
    </row>
    <row r="39" spans="1:10" ht="12" customHeight="1" x14ac:dyDescent="0.3">
      <c r="A39" s="1">
        <f t="shared" si="3"/>
        <v>43572</v>
      </c>
      <c r="B39" s="20">
        <v>3260.8695652173915</v>
      </c>
      <c r="C39" s="20">
        <f t="shared" si="4"/>
        <v>2241.8478260869565</v>
      </c>
      <c r="D39" s="21" t="str">
        <f t="shared" si="0"/>
        <v>190417</v>
      </c>
      <c r="E39" s="22">
        <f t="shared" si="5"/>
        <v>2.458612</v>
      </c>
      <c r="F39" s="9">
        <v>0</v>
      </c>
      <c r="G39" s="14">
        <f t="shared" si="1"/>
        <v>100.07356973168564</v>
      </c>
      <c r="H39" s="24">
        <f t="shared" si="6"/>
        <v>-45.552683143625927</v>
      </c>
      <c r="I39" s="20">
        <f t="shared" si="2"/>
        <v>2196.2951429433306</v>
      </c>
      <c r="J39" s="17">
        <f t="shared" si="7"/>
        <v>0.21962951429433303</v>
      </c>
    </row>
    <row r="40" spans="1:10" ht="12" customHeight="1" x14ac:dyDescent="0.3">
      <c r="A40" s="1">
        <f t="shared" si="3"/>
        <v>43573</v>
      </c>
      <c r="B40" s="20">
        <v>3328.804347826087</v>
      </c>
      <c r="C40" s="20">
        <f t="shared" si="4"/>
        <v>2309.782608695652</v>
      </c>
      <c r="D40" s="21" t="str">
        <f t="shared" si="0"/>
        <v>190418</v>
      </c>
      <c r="E40" s="22">
        <f t="shared" si="5"/>
        <v>2.458612</v>
      </c>
      <c r="F40" s="9">
        <v>0</v>
      </c>
      <c r="G40" s="14">
        <f t="shared" si="1"/>
        <v>100.07344097955995</v>
      </c>
      <c r="H40" s="24">
        <f t="shared" si="6"/>
        <v>-46.840204400524499</v>
      </c>
      <c r="I40" s="20">
        <f t="shared" si="2"/>
        <v>2262.9424042951277</v>
      </c>
      <c r="J40" s="17">
        <f t="shared" si="7"/>
        <v>0.22629424042951277</v>
      </c>
    </row>
    <row r="41" spans="1:10" ht="12" customHeight="1" x14ac:dyDescent="0.3">
      <c r="A41" s="1">
        <f t="shared" si="3"/>
        <v>43574</v>
      </c>
      <c r="B41" s="20">
        <v>3396.7391304347825</v>
      </c>
      <c r="C41" s="20">
        <f t="shared" si="4"/>
        <v>2377.7173913043475</v>
      </c>
      <c r="D41" s="21" t="str">
        <f t="shared" si="0"/>
        <v>190419</v>
      </c>
      <c r="E41" s="22">
        <f t="shared" si="5"/>
        <v>2.458612</v>
      </c>
      <c r="F41" s="9">
        <v>0</v>
      </c>
      <c r="G41" s="14">
        <f t="shared" si="1"/>
        <v>100.07331269008829</v>
      </c>
      <c r="H41" s="24">
        <f t="shared" si="6"/>
        <v>-48.123099117134416</v>
      </c>
      <c r="I41" s="20">
        <f t="shared" si="2"/>
        <v>2329.5942921872129</v>
      </c>
      <c r="J41" s="17">
        <f t="shared" si="7"/>
        <v>0.23295942921872126</v>
      </c>
    </row>
    <row r="42" spans="1:10" ht="12" customHeight="1" x14ac:dyDescent="0.3">
      <c r="A42" s="1">
        <f t="shared" si="3"/>
        <v>43577</v>
      </c>
      <c r="B42" s="20">
        <v>3600.54347826087</v>
      </c>
      <c r="C42" s="20">
        <f t="shared" si="4"/>
        <v>2581.521739130435</v>
      </c>
      <c r="D42" s="21" t="str">
        <f t="shared" si="0"/>
        <v>190422</v>
      </c>
      <c r="E42" s="22">
        <f t="shared" si="5"/>
        <v>2.458612</v>
      </c>
      <c r="F42" s="9">
        <v>0</v>
      </c>
      <c r="G42" s="14">
        <f t="shared" si="1"/>
        <v>100.07293059791182</v>
      </c>
      <c r="H42" s="24">
        <f t="shared" si="6"/>
        <v>-51.944020881791175</v>
      </c>
      <c r="I42" s="20">
        <f t="shared" si="2"/>
        <v>2529.5777182486436</v>
      </c>
      <c r="J42" s="17">
        <f t="shared" si="7"/>
        <v>0.25295777182486434</v>
      </c>
    </row>
    <row r="43" spans="1:10" ht="12" customHeight="1" x14ac:dyDescent="0.3">
      <c r="A43" s="1">
        <f t="shared" si="3"/>
        <v>43578</v>
      </c>
      <c r="B43" s="20">
        <v>3668.4782608695655</v>
      </c>
      <c r="C43" s="20">
        <f t="shared" si="4"/>
        <v>2649.4565217391305</v>
      </c>
      <c r="D43" s="21" t="str">
        <f t="shared" si="0"/>
        <v>190423</v>
      </c>
      <c r="E43" s="22">
        <f t="shared" si="5"/>
        <v>2.458612</v>
      </c>
      <c r="F43" s="9">
        <v>0</v>
      </c>
      <c r="G43" s="14">
        <f t="shared" si="1"/>
        <v>100.07280415937053</v>
      </c>
      <c r="H43" s="24">
        <f t="shared" si="6"/>
        <v>-53.208406294658062</v>
      </c>
      <c r="I43" s="20">
        <f t="shared" si="2"/>
        <v>2596.2481154444722</v>
      </c>
      <c r="J43" s="17">
        <f t="shared" si="7"/>
        <v>0.25962481154444722</v>
      </c>
    </row>
    <row r="44" spans="1:10" ht="12" customHeight="1" x14ac:dyDescent="0.3">
      <c r="A44" s="1">
        <f t="shared" si="3"/>
        <v>43579</v>
      </c>
      <c r="B44" s="20">
        <v>3736.4130434782605</v>
      </c>
      <c r="C44" s="20">
        <f t="shared" si="4"/>
        <v>2717.3913043478256</v>
      </c>
      <c r="D44" s="21" t="str">
        <f t="shared" si="0"/>
        <v>190424</v>
      </c>
      <c r="E44" s="22">
        <f t="shared" si="5"/>
        <v>2.458612</v>
      </c>
      <c r="F44" s="9">
        <v>0</v>
      </c>
      <c r="G44" s="14">
        <f t="shared" si="1"/>
        <v>100.07267818364032</v>
      </c>
      <c r="H44" s="24">
        <f t="shared" si="6"/>
        <v>-54.468163596794739</v>
      </c>
      <c r="I44" s="20">
        <f t="shared" si="2"/>
        <v>2662.9231407510306</v>
      </c>
      <c r="J44" s="17">
        <f t="shared" si="7"/>
        <v>0.26629231407510306</v>
      </c>
    </row>
    <row r="45" spans="1:10" ht="12" customHeight="1" x14ac:dyDescent="0.3">
      <c r="A45" s="1">
        <f t="shared" si="3"/>
        <v>43580</v>
      </c>
      <c r="B45" s="20">
        <v>3804.347826086957</v>
      </c>
      <c r="C45" s="20">
        <f t="shared" si="4"/>
        <v>2785.326086956522</v>
      </c>
      <c r="D45" s="21" t="str">
        <f t="shared" si="0"/>
        <v>190425</v>
      </c>
      <c r="E45" s="22">
        <f t="shared" si="5"/>
        <v>2.458612</v>
      </c>
      <c r="F45" s="9">
        <v>0</v>
      </c>
      <c r="G45" s="14">
        <f t="shared" si="1"/>
        <v>100.07255267075267</v>
      </c>
      <c r="H45" s="24">
        <f t="shared" si="6"/>
        <v>-55.723292473288666</v>
      </c>
      <c r="I45" s="20">
        <f t="shared" si="2"/>
        <v>2729.6027944832331</v>
      </c>
      <c r="J45" s="17">
        <f t="shared" si="7"/>
        <v>0.2729602794483233</v>
      </c>
    </row>
    <row r="46" spans="1:10" ht="12" customHeight="1" x14ac:dyDescent="0.3">
      <c r="A46" s="1">
        <f t="shared" si="3"/>
        <v>43581</v>
      </c>
      <c r="B46" s="20">
        <v>3872.282608695652</v>
      </c>
      <c r="C46" s="20">
        <f t="shared" si="4"/>
        <v>2853.260869565217</v>
      </c>
      <c r="D46" s="21" t="str">
        <f t="shared" si="0"/>
        <v>190426</v>
      </c>
      <c r="E46" s="22">
        <f t="shared" si="5"/>
        <v>2.458612</v>
      </c>
      <c r="F46" s="9">
        <v>0</v>
      </c>
      <c r="G46" s="14">
        <f t="shared" si="1"/>
        <v>100.07242762073894</v>
      </c>
      <c r="H46" s="24">
        <f t="shared" si="6"/>
        <v>-56.973792610648388</v>
      </c>
      <c r="I46" s="20">
        <f t="shared" si="2"/>
        <v>2796.2870769545689</v>
      </c>
      <c r="J46" s="17">
        <f t="shared" si="7"/>
        <v>0.27962870769545689</v>
      </c>
    </row>
    <row r="47" spans="1:10" ht="12" customHeight="1" x14ac:dyDescent="0.3">
      <c r="A47" s="1">
        <f t="shared" si="3"/>
        <v>43584</v>
      </c>
      <c r="B47" s="20">
        <v>4076.0869565217395</v>
      </c>
      <c r="C47" s="20">
        <f t="shared" si="4"/>
        <v>3057.0652173913045</v>
      </c>
      <c r="D47" s="21" t="str">
        <f t="shared" si="0"/>
        <v>190429</v>
      </c>
      <c r="E47" s="22">
        <f t="shared" si="5"/>
        <v>2.458612</v>
      </c>
      <c r="F47" s="9">
        <v>0</v>
      </c>
      <c r="G47" s="14">
        <f t="shared" si="1"/>
        <v>100.07205524825564</v>
      </c>
      <c r="H47" s="24">
        <f t="shared" si="6"/>
        <v>-60.697517443628612</v>
      </c>
      <c r="I47" s="20">
        <f t="shared" si="2"/>
        <v>2996.3676999476756</v>
      </c>
      <c r="J47" s="17">
        <f t="shared" si="7"/>
        <v>0.29963676999476757</v>
      </c>
    </row>
    <row r="48" spans="1:10" ht="12" customHeight="1" x14ac:dyDescent="0.3">
      <c r="A48" s="1">
        <f t="shared" si="3"/>
        <v>43585</v>
      </c>
      <c r="B48" s="20">
        <v>4144.021739130435</v>
      </c>
      <c r="C48" s="20">
        <f t="shared" si="4"/>
        <v>3125</v>
      </c>
      <c r="D48" s="21" t="str">
        <f t="shared" si="0"/>
        <v>190430</v>
      </c>
      <c r="E48" s="22">
        <f t="shared" si="5"/>
        <v>2.458612</v>
      </c>
      <c r="F48" s="9">
        <v>0</v>
      </c>
      <c r="G48" s="14">
        <f t="shared" si="1"/>
        <v>100.07193205005194</v>
      </c>
      <c r="H48" s="24">
        <f t="shared" si="6"/>
        <v>-61.929499480584127</v>
      </c>
      <c r="I48" s="20">
        <f t="shared" si="2"/>
        <v>3063.0705005194159</v>
      </c>
      <c r="J48" s="17">
        <f t="shared" si="7"/>
        <v>0.30630705005194159</v>
      </c>
    </row>
    <row r="49" spans="1:10" ht="12" customHeight="1" x14ac:dyDescent="0.3">
      <c r="A49" s="1">
        <f t="shared" si="3"/>
        <v>43586</v>
      </c>
      <c r="B49" s="20">
        <v>4211.95652173913</v>
      </c>
      <c r="C49" s="20">
        <f t="shared" si="4"/>
        <v>3192.9347826086951</v>
      </c>
      <c r="D49" s="21" t="str">
        <f t="shared" si="0"/>
        <v>190501</v>
      </c>
      <c r="E49" s="22">
        <f t="shared" si="5"/>
        <v>2.458612</v>
      </c>
      <c r="F49" s="9">
        <v>0</v>
      </c>
      <c r="G49" s="14">
        <f t="shared" si="1"/>
        <v>100.0718093148793</v>
      </c>
      <c r="H49" s="24">
        <f t="shared" si="6"/>
        <v>-63.156851206969122</v>
      </c>
      <c r="I49" s="20">
        <f t="shared" si="2"/>
        <v>3129.7779314017262</v>
      </c>
      <c r="J49" s="17">
        <f t="shared" si="7"/>
        <v>0.3129777931401726</v>
      </c>
    </row>
    <row r="50" spans="1:10" ht="12" customHeight="1" x14ac:dyDescent="0.3">
      <c r="A50" s="1">
        <f t="shared" si="3"/>
        <v>43587</v>
      </c>
      <c r="B50" s="20">
        <v>4279.8913043478269</v>
      </c>
      <c r="C50" s="20">
        <f t="shared" si="4"/>
        <v>3260.8695652173919</v>
      </c>
      <c r="D50" s="21" t="str">
        <f t="shared" si="0"/>
        <v>190502</v>
      </c>
      <c r="E50" s="22">
        <f t="shared" si="5"/>
        <v>2.458612</v>
      </c>
      <c r="F50" s="9">
        <v>0</v>
      </c>
      <c r="G50" s="14">
        <f t="shared" si="1"/>
        <v>100.07168704276916</v>
      </c>
      <c r="H50" s="24">
        <f t="shared" si="6"/>
        <v>-64.379572308439492</v>
      </c>
      <c r="I50" s="20">
        <f t="shared" si="2"/>
        <v>3196.4899929089524</v>
      </c>
      <c r="J50" s="17">
        <f t="shared" si="7"/>
        <v>0.31964899929089524</v>
      </c>
    </row>
    <row r="51" spans="1:10" ht="12" customHeight="1" x14ac:dyDescent="0.3">
      <c r="A51" s="1">
        <f t="shared" si="3"/>
        <v>43588</v>
      </c>
      <c r="B51" s="20">
        <v>4347.826086956522</v>
      </c>
      <c r="C51" s="20">
        <f t="shared" si="4"/>
        <v>3328.804347826087</v>
      </c>
      <c r="D51" s="21" t="str">
        <f t="shared" si="0"/>
        <v>190503</v>
      </c>
      <c r="E51" s="22">
        <f t="shared" si="5"/>
        <v>2.458612</v>
      </c>
      <c r="F51" s="9">
        <v>0</v>
      </c>
      <c r="G51" s="14">
        <f t="shared" si="1"/>
        <v>100.07156523375293</v>
      </c>
      <c r="H51" s="24">
        <f t="shared" si="6"/>
        <v>-65.59766247065113</v>
      </c>
      <c r="I51" s="20">
        <f t="shared" si="2"/>
        <v>3263.2066853554361</v>
      </c>
      <c r="J51" s="17">
        <f t="shared" si="7"/>
        <v>0.32632066853554365</v>
      </c>
    </row>
    <row r="52" spans="1:10" ht="12" customHeight="1" x14ac:dyDescent="0.3">
      <c r="A52" s="1">
        <f t="shared" si="3"/>
        <v>43591</v>
      </c>
      <c r="B52" s="20">
        <v>4551.630434782609</v>
      </c>
      <c r="C52" s="20">
        <f t="shared" si="4"/>
        <v>3532.608695652174</v>
      </c>
      <c r="D52" s="21" t="str">
        <f t="shared" si="0"/>
        <v>190506</v>
      </c>
      <c r="E52" s="22">
        <f t="shared" si="5"/>
        <v>2.458612</v>
      </c>
      <c r="F52" s="9">
        <v>0</v>
      </c>
      <c r="G52" s="14">
        <f t="shared" si="1"/>
        <v>100.07120258558226</v>
      </c>
      <c r="H52" s="24">
        <f t="shared" si="6"/>
        <v>-69.224144177439939</v>
      </c>
      <c r="I52" s="20">
        <f t="shared" si="2"/>
        <v>3463.3845514747341</v>
      </c>
      <c r="J52" s="17">
        <f t="shared" si="7"/>
        <v>0.34633845514747341</v>
      </c>
    </row>
    <row r="53" spans="1:10" ht="12" customHeight="1" x14ac:dyDescent="0.3">
      <c r="A53" s="1">
        <f t="shared" si="3"/>
        <v>43592</v>
      </c>
      <c r="B53" s="20">
        <v>4619.565217391304</v>
      </c>
      <c r="C53" s="20">
        <f t="shared" si="4"/>
        <v>3600.5434782608691</v>
      </c>
      <c r="D53" s="21" t="str">
        <f t="shared" si="0"/>
        <v>190507</v>
      </c>
      <c r="E53" s="22">
        <f t="shared" si="5"/>
        <v>2.458612</v>
      </c>
      <c r="F53" s="9">
        <v>0</v>
      </c>
      <c r="G53" s="14">
        <f t="shared" si="1"/>
        <v>100.07108262925614</v>
      </c>
      <c r="H53" s="24">
        <f t="shared" si="6"/>
        <v>-70.423707438607153</v>
      </c>
      <c r="I53" s="20">
        <f t="shared" si="2"/>
        <v>3530.1197708222617</v>
      </c>
      <c r="J53" s="17">
        <f t="shared" si="7"/>
        <v>0.3530119770822262</v>
      </c>
    </row>
    <row r="54" spans="1:10" ht="12" customHeight="1" x14ac:dyDescent="0.3">
      <c r="A54" s="1">
        <f t="shared" si="3"/>
        <v>43593</v>
      </c>
      <c r="B54" s="20">
        <v>4687.5</v>
      </c>
      <c r="C54" s="20">
        <f t="shared" si="4"/>
        <v>3668.478260869565</v>
      </c>
      <c r="D54" s="21" t="str">
        <f t="shared" si="0"/>
        <v>190508</v>
      </c>
      <c r="E54" s="22">
        <f t="shared" si="5"/>
        <v>2.458612</v>
      </c>
      <c r="F54" s="9">
        <v>0</v>
      </c>
      <c r="G54" s="14">
        <f t="shared" si="1"/>
        <v>100.07096313618115</v>
      </c>
      <c r="H54" s="24">
        <f t="shared" si="6"/>
        <v>-71.618638188510886</v>
      </c>
      <c r="I54" s="20">
        <f t="shared" si="2"/>
        <v>3596.8596226810541</v>
      </c>
      <c r="J54" s="17">
        <f t="shared" si="7"/>
        <v>0.35968596226810545</v>
      </c>
    </row>
    <row r="55" spans="1:10" ht="12" customHeight="1" x14ac:dyDescent="0.3">
      <c r="A55" s="1">
        <f t="shared" si="3"/>
        <v>43594</v>
      </c>
      <c r="B55" s="20">
        <v>4755.434782608696</v>
      </c>
      <c r="C55" s="20">
        <f t="shared" si="4"/>
        <v>3736.413043478261</v>
      </c>
      <c r="D55" s="21" t="str">
        <f t="shared" si="0"/>
        <v>190509</v>
      </c>
      <c r="E55" s="22">
        <f t="shared" si="5"/>
        <v>2.458612</v>
      </c>
      <c r="F55" s="9">
        <v>0</v>
      </c>
      <c r="G55" s="14">
        <f t="shared" si="1"/>
        <v>100.07084410638875</v>
      </c>
      <c r="H55" s="24">
        <f t="shared" si="6"/>
        <v>-72.808936112522815</v>
      </c>
      <c r="I55" s="20">
        <f t="shared" si="2"/>
        <v>3663.6041073657379</v>
      </c>
      <c r="J55" s="17">
        <f t="shared" si="7"/>
        <v>0.36636041073657377</v>
      </c>
    </row>
    <row r="56" spans="1:10" ht="12" customHeight="1" x14ac:dyDescent="0.3">
      <c r="A56" s="1">
        <f t="shared" si="3"/>
        <v>43595</v>
      </c>
      <c r="B56" s="20">
        <v>4823.369565217391</v>
      </c>
      <c r="C56" s="20">
        <f t="shared" si="4"/>
        <v>3804.347826086956</v>
      </c>
      <c r="D56" s="21" t="str">
        <f t="shared" si="0"/>
        <v>190510</v>
      </c>
      <c r="E56" s="22">
        <f t="shared" si="5"/>
        <v>2.458612</v>
      </c>
      <c r="F56" s="9">
        <v>0</v>
      </c>
      <c r="G56" s="14">
        <f t="shared" si="1"/>
        <v>100.07072553991037</v>
      </c>
      <c r="H56" s="24">
        <f t="shared" si="6"/>
        <v>-73.994600896298834</v>
      </c>
      <c r="I56" s="20">
        <f t="shared" si="2"/>
        <v>3730.3532251906572</v>
      </c>
      <c r="J56" s="17">
        <f t="shared" si="7"/>
        <v>0.37303532251906574</v>
      </c>
    </row>
    <row r="57" spans="1:10" ht="12" customHeight="1" x14ac:dyDescent="0.3">
      <c r="A57" s="1">
        <f t="shared" si="3"/>
        <v>43598</v>
      </c>
      <c r="B57" s="20">
        <v>5027.1739130434789</v>
      </c>
      <c r="C57" s="20">
        <f t="shared" si="4"/>
        <v>4008.152173913044</v>
      </c>
      <c r="D57" s="21" t="str">
        <f t="shared" si="0"/>
        <v>190513</v>
      </c>
      <c r="E57" s="22">
        <f t="shared" si="5"/>
        <v>2.458612</v>
      </c>
      <c r="F57" s="9">
        <v>0</v>
      </c>
      <c r="G57" s="14">
        <f t="shared" si="1"/>
        <v>100.07037262067385</v>
      </c>
      <c r="H57" s="24">
        <f t="shared" si="6"/>
        <v>-77.523793261491392</v>
      </c>
      <c r="I57" s="20">
        <f t="shared" si="2"/>
        <v>3930.6283806515526</v>
      </c>
      <c r="J57" s="17">
        <f t="shared" si="7"/>
        <v>0.39306283806515524</v>
      </c>
    </row>
    <row r="58" spans="1:10" ht="12" customHeight="1" x14ac:dyDescent="0.3">
      <c r="A58" s="1">
        <f t="shared" si="3"/>
        <v>43599</v>
      </c>
      <c r="B58" s="20">
        <v>5095.108695652174</v>
      </c>
      <c r="C58" s="20">
        <f t="shared" si="4"/>
        <v>4076.086956521739</v>
      </c>
      <c r="D58" s="21" t="str">
        <f t="shared" si="0"/>
        <v>190514</v>
      </c>
      <c r="E58" s="22">
        <f t="shared" si="5"/>
        <v>2.458612</v>
      </c>
      <c r="F58" s="9">
        <v>0</v>
      </c>
      <c r="G58" s="14">
        <f t="shared" si="1"/>
        <v>100.07025590776611</v>
      </c>
      <c r="H58" s="24">
        <f t="shared" si="6"/>
        <v>-78.690922338893188</v>
      </c>
      <c r="I58" s="20">
        <f t="shared" si="2"/>
        <v>3997.3960341828461</v>
      </c>
      <c r="J58" s="17">
        <f t="shared" si="7"/>
        <v>0.39973960341828463</v>
      </c>
    </row>
    <row r="59" spans="1:10" ht="12" customHeight="1" x14ac:dyDescent="0.3">
      <c r="A59" s="1">
        <f t="shared" si="3"/>
        <v>43600</v>
      </c>
      <c r="B59" s="20">
        <v>5163.0434782608691</v>
      </c>
      <c r="C59" s="20">
        <f t="shared" si="4"/>
        <v>4144.0217391304341</v>
      </c>
      <c r="D59" s="21" t="str">
        <f t="shared" si="0"/>
        <v>190515</v>
      </c>
      <c r="E59" s="22">
        <f t="shared" si="5"/>
        <v>2.458612</v>
      </c>
      <c r="F59" s="9">
        <v>0</v>
      </c>
      <c r="G59" s="14">
        <f t="shared" si="1"/>
        <v>100.07013965832961</v>
      </c>
      <c r="H59" s="24">
        <f t="shared" si="6"/>
        <v>-79.853416703912217</v>
      </c>
      <c r="I59" s="20">
        <f t="shared" si="2"/>
        <v>4064.1683224265216</v>
      </c>
      <c r="J59" s="17">
        <f t="shared" si="7"/>
        <v>0.40641683224265213</v>
      </c>
    </row>
    <row r="60" spans="1:10" ht="12" customHeight="1" x14ac:dyDescent="0.3">
      <c r="A60" s="1">
        <f t="shared" si="3"/>
        <v>43601</v>
      </c>
      <c r="B60" s="20">
        <v>5230.978260869565</v>
      </c>
      <c r="C60" s="20">
        <f t="shared" si="4"/>
        <v>4211.95652173913</v>
      </c>
      <c r="D60" s="21" t="str">
        <f t="shared" si="0"/>
        <v>190516</v>
      </c>
      <c r="E60" s="22">
        <f t="shared" si="5"/>
        <v>2.458612</v>
      </c>
      <c r="F60" s="9">
        <v>0</v>
      </c>
      <c r="G60" s="14">
        <f t="shared" si="1"/>
        <v>100.07002387239589</v>
      </c>
      <c r="H60" s="24">
        <f t="shared" si="6"/>
        <v>-81.011276041067504</v>
      </c>
      <c r="I60" s="20">
        <f t="shared" si="2"/>
        <v>4130.9452456980625</v>
      </c>
      <c r="J60" s="17">
        <f t="shared" si="7"/>
        <v>0.41309452456980622</v>
      </c>
    </row>
    <row r="61" spans="1:10" ht="12" customHeight="1" x14ac:dyDescent="0.3">
      <c r="A61" s="1">
        <f t="shared" si="3"/>
        <v>43602</v>
      </c>
      <c r="B61" s="20">
        <v>5298.9130434782601</v>
      </c>
      <c r="C61" s="20">
        <f t="shared" si="4"/>
        <v>4279.8913043478251</v>
      </c>
      <c r="D61" s="21" t="str">
        <f t="shared" si="0"/>
        <v>190517</v>
      </c>
      <c r="E61" s="22">
        <f t="shared" si="5"/>
        <v>2.458612</v>
      </c>
      <c r="F61" s="9">
        <v>0</v>
      </c>
      <c r="G61" s="14">
        <f t="shared" si="1"/>
        <v>100.06990854999638</v>
      </c>
      <c r="H61" s="24">
        <f t="shared" si="6"/>
        <v>-82.164500036157037</v>
      </c>
      <c r="I61" s="20">
        <f t="shared" si="2"/>
        <v>4197.7268043116683</v>
      </c>
      <c r="J61" s="17">
        <f t="shared" si="7"/>
        <v>0.41977268043116683</v>
      </c>
    </row>
    <row r="62" spans="1:10" ht="12" customHeight="1" x14ac:dyDescent="0.3">
      <c r="A62" s="1">
        <f t="shared" si="3"/>
        <v>43605</v>
      </c>
      <c r="B62" s="20">
        <v>5502.717391304348</v>
      </c>
      <c r="C62" s="20">
        <f t="shared" si="4"/>
        <v>4483.695652173913</v>
      </c>
      <c r="D62" s="21" t="str">
        <f t="shared" si="0"/>
        <v>190520</v>
      </c>
      <c r="E62" s="22">
        <f t="shared" si="5"/>
        <v>2.458612</v>
      </c>
      <c r="F62" s="9">
        <v>0</v>
      </c>
      <c r="G62" s="14">
        <f t="shared" si="1"/>
        <v>100.06956536431787</v>
      </c>
      <c r="H62" s="24">
        <f t="shared" si="6"/>
        <v>-85.596356821326935</v>
      </c>
      <c r="I62" s="20">
        <f t="shared" si="2"/>
        <v>4398.0992953525856</v>
      </c>
      <c r="J62" s="17">
        <f t="shared" si="7"/>
        <v>0.43980992953525855</v>
      </c>
    </row>
    <row r="63" spans="1:10" ht="12" customHeight="1" x14ac:dyDescent="0.3">
      <c r="A63" s="1">
        <f t="shared" si="3"/>
        <v>43606</v>
      </c>
      <c r="B63" s="20">
        <v>5570.652173913043</v>
      </c>
      <c r="C63" s="20">
        <f t="shared" si="4"/>
        <v>4551.6304347826081</v>
      </c>
      <c r="D63" s="21" t="str">
        <f t="shared" si="0"/>
        <v>190521</v>
      </c>
      <c r="E63" s="22">
        <f t="shared" si="5"/>
        <v>2.458612</v>
      </c>
      <c r="F63" s="9">
        <v>0</v>
      </c>
      <c r="G63" s="14">
        <f t="shared" si="1"/>
        <v>100.06945189636991</v>
      </c>
      <c r="H63" s="24">
        <f t="shared" si="6"/>
        <v>-86.73103630087553</v>
      </c>
      <c r="I63" s="20">
        <f t="shared" si="2"/>
        <v>4464.8993984817325</v>
      </c>
      <c r="J63" s="17">
        <f t="shared" si="7"/>
        <v>0.44648993984817326</v>
      </c>
    </row>
    <row r="64" spans="1:10" ht="12" customHeight="1" x14ac:dyDescent="0.3">
      <c r="A64" s="1">
        <f t="shared" si="3"/>
        <v>43607</v>
      </c>
      <c r="B64" s="20">
        <v>5638.5869565217399</v>
      </c>
      <c r="C64" s="20">
        <f t="shared" si="4"/>
        <v>4619.5652173913049</v>
      </c>
      <c r="D64" s="21" t="str">
        <f t="shared" si="0"/>
        <v>190522</v>
      </c>
      <c r="E64" s="22">
        <f t="shared" si="5"/>
        <v>2.458612</v>
      </c>
      <c r="F64" s="9">
        <v>0</v>
      </c>
      <c r="G64" s="14">
        <f t="shared" si="1"/>
        <v>100.06933889211354</v>
      </c>
      <c r="H64" s="24">
        <f t="shared" si="6"/>
        <v>-87.861078864648334</v>
      </c>
      <c r="I64" s="20">
        <f t="shared" si="2"/>
        <v>4531.7041385266566</v>
      </c>
      <c r="J64" s="17">
        <f t="shared" si="7"/>
        <v>0.45317041385266565</v>
      </c>
    </row>
    <row r="65" spans="1:10" ht="12" customHeight="1" x14ac:dyDescent="0.3">
      <c r="A65" s="1">
        <f t="shared" si="3"/>
        <v>43608</v>
      </c>
      <c r="B65" s="20">
        <v>5706.521739130435</v>
      </c>
      <c r="C65" s="20">
        <f t="shared" si="4"/>
        <v>4687.5</v>
      </c>
      <c r="D65" s="21" t="str">
        <f t="shared" si="0"/>
        <v>190523</v>
      </c>
      <c r="E65" s="22">
        <f t="shared" si="5"/>
        <v>2.458612</v>
      </c>
      <c r="F65" s="9">
        <v>0</v>
      </c>
      <c r="G65" s="14">
        <f t="shared" si="1"/>
        <v>100.06922635158018</v>
      </c>
      <c r="H65" s="24">
        <f t="shared" si="6"/>
        <v>-88.986484198159118</v>
      </c>
      <c r="I65" s="20">
        <f t="shared" si="2"/>
        <v>4598.5135158018411</v>
      </c>
      <c r="J65" s="17">
        <f t="shared" si="7"/>
        <v>0.45985135158018409</v>
      </c>
    </row>
    <row r="66" spans="1:10" ht="12" customHeight="1" x14ac:dyDescent="0.3">
      <c r="A66" s="1">
        <f t="shared" si="3"/>
        <v>43609</v>
      </c>
      <c r="B66" s="20">
        <v>5774.4565217391309</v>
      </c>
      <c r="C66" s="20">
        <f t="shared" si="4"/>
        <v>4755.434782608696</v>
      </c>
      <c r="D66" s="21" t="str">
        <f t="shared" si="0"/>
        <v>190524</v>
      </c>
      <c r="E66" s="22">
        <f t="shared" si="5"/>
        <v>2.458612</v>
      </c>
      <c r="F66" s="9">
        <v>0</v>
      </c>
      <c r="G66" s="14">
        <f t="shared" si="1"/>
        <v>100.06911427480136</v>
      </c>
      <c r="H66" s="24">
        <f t="shared" si="6"/>
        <v>-90.107251986353276</v>
      </c>
      <c r="I66" s="20">
        <f t="shared" si="2"/>
        <v>4665.3275306223422</v>
      </c>
      <c r="J66" s="17">
        <f t="shared" si="7"/>
        <v>0.46653275306223424</v>
      </c>
    </row>
    <row r="67" spans="1:10" ht="12" customHeight="1" x14ac:dyDescent="0.3">
      <c r="A67" s="1">
        <f t="shared" si="3"/>
        <v>43612</v>
      </c>
      <c r="B67" s="20">
        <v>5978.260869565217</v>
      </c>
      <c r="C67" s="20">
        <f t="shared" si="4"/>
        <v>4959.2391304347821</v>
      </c>
      <c r="D67" s="21" t="str">
        <f t="shared" si="0"/>
        <v>190527</v>
      </c>
      <c r="E67" s="22">
        <f t="shared" si="5"/>
        <v>2.458612</v>
      </c>
      <c r="F67" s="9">
        <v>0</v>
      </c>
      <c r="G67" s="14">
        <f t="shared" si="1"/>
        <v>100.06878082730677</v>
      </c>
      <c r="H67" s="24">
        <f t="shared" si="6"/>
        <v>-93.441726932326219</v>
      </c>
      <c r="I67" s="20">
        <f t="shared" si="2"/>
        <v>4865.7974035024563</v>
      </c>
      <c r="J67" s="17">
        <f t="shared" si="7"/>
        <v>0.48657974035024559</v>
      </c>
    </row>
    <row r="68" spans="1:10" ht="12" customHeight="1" x14ac:dyDescent="0.3">
      <c r="A68" s="1">
        <f t="shared" si="3"/>
        <v>43613</v>
      </c>
      <c r="B68" s="20">
        <v>6046.1956521739121</v>
      </c>
      <c r="C68" s="20">
        <f t="shared" si="4"/>
        <v>5027.1739130434771</v>
      </c>
      <c r="D68" s="21" t="str">
        <f t="shared" si="0"/>
        <v>190528</v>
      </c>
      <c r="E68" s="22">
        <f t="shared" si="5"/>
        <v>2.458612</v>
      </c>
      <c r="F68" s="9">
        <v>0</v>
      </c>
      <c r="G68" s="14">
        <f t="shared" si="1"/>
        <v>100.06867060586085</v>
      </c>
      <c r="H68" s="24">
        <f t="shared" si="6"/>
        <v>-94.54394139154941</v>
      </c>
      <c r="I68" s="20">
        <f t="shared" si="2"/>
        <v>4932.6299716519279</v>
      </c>
      <c r="J68" s="17">
        <f t="shared" si="7"/>
        <v>0.49326299716519284</v>
      </c>
    </row>
    <row r="69" spans="1:10" ht="12" customHeight="1" x14ac:dyDescent="0.3">
      <c r="A69" s="1">
        <f t="shared" si="3"/>
        <v>43614</v>
      </c>
      <c r="B69" s="20">
        <v>6114.130434782609</v>
      </c>
      <c r="C69" s="20">
        <f t="shared" si="4"/>
        <v>5095.108695652174</v>
      </c>
      <c r="D69" s="21" t="str">
        <f t="shared" si="0"/>
        <v>190529</v>
      </c>
      <c r="E69" s="22">
        <f t="shared" si="5"/>
        <v>2.458612</v>
      </c>
      <c r="F69" s="9">
        <v>0</v>
      </c>
      <c r="G69" s="14">
        <f t="shared" si="1"/>
        <v>100.06856084832687</v>
      </c>
      <c r="H69" s="24">
        <f t="shared" si="6"/>
        <v>-95.641516731319612</v>
      </c>
      <c r="I69" s="20">
        <f t="shared" si="2"/>
        <v>4999.4671789208542</v>
      </c>
      <c r="J69" s="17">
        <f t="shared" si="7"/>
        <v>0.49994671789208545</v>
      </c>
    </row>
    <row r="70" spans="1:10" ht="12" customHeight="1" x14ac:dyDescent="0.3">
      <c r="A70" s="1">
        <f t="shared" si="3"/>
        <v>43615</v>
      </c>
      <c r="B70" s="20">
        <v>6182.065217391304</v>
      </c>
      <c r="C70" s="20">
        <f t="shared" si="4"/>
        <v>5163.0434782608691</v>
      </c>
      <c r="D70" s="21" t="str">
        <f t="shared" si="0"/>
        <v>190530</v>
      </c>
      <c r="E70" s="22">
        <f t="shared" si="5"/>
        <v>2.458612</v>
      </c>
      <c r="F70" s="9">
        <v>0</v>
      </c>
      <c r="G70" s="14">
        <f t="shared" si="1"/>
        <v>100.06845155473631</v>
      </c>
      <c r="H70" s="24">
        <f t="shared" si="6"/>
        <v>-96.734452636866294</v>
      </c>
      <c r="I70" s="20">
        <f t="shared" si="2"/>
        <v>5066.309025624003</v>
      </c>
      <c r="J70" s="17">
        <f t="shared" si="7"/>
        <v>0.50663090256240029</v>
      </c>
    </row>
    <row r="71" spans="1:10" ht="12" customHeight="1" x14ac:dyDescent="0.3">
      <c r="A71" s="1">
        <f t="shared" si="3"/>
        <v>43616</v>
      </c>
      <c r="B71" s="20">
        <v>6250</v>
      </c>
      <c r="C71" s="20">
        <f t="shared" si="4"/>
        <v>5230.978260869565</v>
      </c>
      <c r="D71" s="21" t="str">
        <f t="shared" si="0"/>
        <v>190531</v>
      </c>
      <c r="E71" s="22">
        <f t="shared" si="5"/>
        <v>2.458612</v>
      </c>
      <c r="F71" s="9">
        <v>0</v>
      </c>
      <c r="G71" s="14">
        <f t="shared" si="1"/>
        <v>100.06834272512067</v>
      </c>
      <c r="H71" s="24">
        <f t="shared" si="6"/>
        <v>-97.822748793277029</v>
      </c>
      <c r="I71" s="20">
        <f t="shared" si="2"/>
        <v>5133.1555120762878</v>
      </c>
      <c r="J71" s="17">
        <f t="shared" si="7"/>
        <v>0.51331555120762884</v>
      </c>
    </row>
    <row r="72" spans="1:10" ht="12" customHeight="1" x14ac:dyDescent="0.3">
      <c r="A72" s="1">
        <f t="shared" si="3"/>
        <v>43619</v>
      </c>
      <c r="B72" s="20">
        <v>6453.8043478260861</v>
      </c>
      <c r="C72" s="20">
        <f t="shared" si="4"/>
        <v>5434.7826086956511</v>
      </c>
      <c r="D72" s="21" t="str">
        <f t="shared" si="0"/>
        <v>190603</v>
      </c>
      <c r="E72" s="22">
        <f t="shared" si="5"/>
        <v>2.458612</v>
      </c>
      <c r="F72" s="9">
        <v>0</v>
      </c>
      <c r="G72" s="14">
        <f t="shared" si="1"/>
        <v>100.06801902043823</v>
      </c>
      <c r="H72" s="24">
        <f t="shared" si="6"/>
        <v>-101.05979561771507</v>
      </c>
      <c r="I72" s="20">
        <f t="shared" si="2"/>
        <v>5333.7228130779358</v>
      </c>
      <c r="J72" s="17">
        <f t="shared" si="7"/>
        <v>0.53337228130779357</v>
      </c>
    </row>
    <row r="73" spans="1:10" ht="12" customHeight="1" x14ac:dyDescent="0.3">
      <c r="A73" s="1">
        <f t="shared" si="3"/>
        <v>43620</v>
      </c>
      <c r="B73" s="20">
        <v>6521.739130434783</v>
      </c>
      <c r="C73" s="20">
        <f t="shared" si="4"/>
        <v>5502.717391304348</v>
      </c>
      <c r="D73" s="21" t="str">
        <f t="shared" si="0"/>
        <v>190604</v>
      </c>
      <c r="E73" s="22">
        <f t="shared" si="5"/>
        <v>2.458612</v>
      </c>
      <c r="F73" s="9">
        <v>0</v>
      </c>
      <c r="G73" s="14">
        <f t="shared" si="1"/>
        <v>100.06791204703728</v>
      </c>
      <c r="H73" s="24">
        <f t="shared" si="6"/>
        <v>-102.12952962717736</v>
      </c>
      <c r="I73" s="20">
        <f t="shared" si="2"/>
        <v>5400.5878616771706</v>
      </c>
      <c r="J73" s="17">
        <f t="shared" si="7"/>
        <v>0.54005878616771708</v>
      </c>
    </row>
    <row r="74" spans="1:10" ht="12" customHeight="1" x14ac:dyDescent="0.3">
      <c r="A74" s="1">
        <f t="shared" si="3"/>
        <v>43621</v>
      </c>
      <c r="B74" s="20">
        <v>6589.6739130434789</v>
      </c>
      <c r="C74" s="20">
        <f t="shared" si="4"/>
        <v>5570.652173913044</v>
      </c>
      <c r="D74" s="21" t="str">
        <f t="shared" si="0"/>
        <v>190605</v>
      </c>
      <c r="E74" s="22">
        <f t="shared" si="5"/>
        <v>2.458612</v>
      </c>
      <c r="F74" s="9">
        <v>0</v>
      </c>
      <c r="G74" s="14">
        <f t="shared" si="1"/>
        <v>100.06780553776871</v>
      </c>
      <c r="H74" s="24">
        <f t="shared" si="6"/>
        <v>-103.19462231294095</v>
      </c>
      <c r="I74" s="20">
        <f t="shared" si="2"/>
        <v>5467.4575516001032</v>
      </c>
      <c r="J74" s="17">
        <f t="shared" si="7"/>
        <v>0.54674575516001034</v>
      </c>
    </row>
    <row r="75" spans="1:10" ht="12" customHeight="1" x14ac:dyDescent="0.3">
      <c r="A75" s="1">
        <f t="shared" si="3"/>
        <v>43622</v>
      </c>
      <c r="B75" s="20">
        <v>6657.608695652174</v>
      </c>
      <c r="C75" s="20">
        <f t="shared" si="4"/>
        <v>5638.586956521739</v>
      </c>
      <c r="D75" s="21" t="str">
        <f t="shared" si="0"/>
        <v>190606</v>
      </c>
      <c r="E75" s="22">
        <f t="shared" si="5"/>
        <v>2.458612</v>
      </c>
      <c r="F75" s="9">
        <v>0</v>
      </c>
      <c r="G75" s="14">
        <f t="shared" si="1"/>
        <v>100.06769949266409</v>
      </c>
      <c r="H75" s="24">
        <f t="shared" si="6"/>
        <v>-104.25507335909857</v>
      </c>
      <c r="I75" s="20">
        <f t="shared" si="2"/>
        <v>5534.3318831626402</v>
      </c>
      <c r="J75" s="17">
        <f t="shared" si="7"/>
        <v>0.55343318831626398</v>
      </c>
    </row>
    <row r="76" spans="1:10" ht="12" customHeight="1" x14ac:dyDescent="0.3">
      <c r="A76" s="1">
        <f t="shared" si="3"/>
        <v>43623</v>
      </c>
      <c r="B76" s="20">
        <v>6725.5434782608691</v>
      </c>
      <c r="C76" s="20">
        <f t="shared" si="4"/>
        <v>5706.5217391304341</v>
      </c>
      <c r="D76" s="21" t="str">
        <f t="shared" si="0"/>
        <v>190607</v>
      </c>
      <c r="E76" s="22">
        <f t="shared" si="5"/>
        <v>2.458612</v>
      </c>
      <c r="F76" s="9">
        <v>0</v>
      </c>
      <c r="G76" s="14">
        <f t="shared" si="1"/>
        <v>100.0675939117549</v>
      </c>
      <c r="H76" s="24">
        <f t="shared" si="6"/>
        <v>-105.31088245102183</v>
      </c>
      <c r="I76" s="20">
        <f t="shared" si="2"/>
        <v>5601.2108566794122</v>
      </c>
      <c r="J76" s="17">
        <f t="shared" si="7"/>
        <v>0.56012108566794117</v>
      </c>
    </row>
    <row r="77" spans="1:10" ht="12" customHeight="1" x14ac:dyDescent="0.3">
      <c r="A77" s="1">
        <f t="shared" si="3"/>
        <v>43626</v>
      </c>
      <c r="B77" s="20">
        <v>6929.347826086957</v>
      </c>
      <c r="C77" s="20">
        <f t="shared" si="4"/>
        <v>5910.326086956522</v>
      </c>
      <c r="D77" s="21" t="str">
        <f t="shared" si="0"/>
        <v>190610</v>
      </c>
      <c r="E77" s="22">
        <f t="shared" si="5"/>
        <v>2.458612</v>
      </c>
      <c r="F77" s="9">
        <v>0</v>
      </c>
      <c r="G77" s="14">
        <f t="shared" si="1"/>
        <v>100.06727995451503</v>
      </c>
      <c r="H77" s="24">
        <f t="shared" si="6"/>
        <v>-108.4504548497023</v>
      </c>
      <c r="I77" s="20">
        <f t="shared" si="2"/>
        <v>5801.8756321068195</v>
      </c>
      <c r="J77" s="17">
        <f t="shared" si="7"/>
        <v>0.58018756321068199</v>
      </c>
    </row>
    <row r="78" spans="1:10" ht="12" customHeight="1" x14ac:dyDescent="0.3">
      <c r="A78" s="1">
        <f t="shared" si="3"/>
        <v>43627</v>
      </c>
      <c r="B78" s="20">
        <v>6997.2826086956529</v>
      </c>
      <c r="C78" s="20">
        <f t="shared" si="4"/>
        <v>5978.2608695652179</v>
      </c>
      <c r="D78" s="21" t="str">
        <f t="shared" si="0"/>
        <v>190611</v>
      </c>
      <c r="E78" s="22">
        <f t="shared" si="5"/>
        <v>2.458612</v>
      </c>
      <c r="F78" s="9">
        <v>0</v>
      </c>
      <c r="G78" s="14">
        <f t="shared" si="1"/>
        <v>100.06717623070267</v>
      </c>
      <c r="H78" s="24">
        <f t="shared" si="6"/>
        <v>-109.48769297328909</v>
      </c>
      <c r="I78" s="20">
        <f t="shared" si="2"/>
        <v>5868.7731765919289</v>
      </c>
      <c r="J78" s="17">
        <f t="shared" si="7"/>
        <v>0.58687731765919282</v>
      </c>
    </row>
    <row r="79" spans="1:10" ht="12" customHeight="1" x14ac:dyDescent="0.3">
      <c r="A79" s="1">
        <f t="shared" si="3"/>
        <v>43628</v>
      </c>
      <c r="B79" s="20">
        <v>7065.2173913043471</v>
      </c>
      <c r="C79" s="20">
        <f t="shared" si="4"/>
        <v>6046.1956521739121</v>
      </c>
      <c r="D79" s="21" t="str">
        <f t="shared" si="0"/>
        <v>190612</v>
      </c>
      <c r="E79" s="22">
        <f t="shared" si="5"/>
        <v>2.458612</v>
      </c>
      <c r="F79" s="9">
        <v>0</v>
      </c>
      <c r="G79" s="14">
        <f t="shared" si="1"/>
        <v>100.06707297124332</v>
      </c>
      <c r="H79" s="24">
        <f t="shared" si="6"/>
        <v>-110.52028756679989</v>
      </c>
      <c r="I79" s="20">
        <f t="shared" si="2"/>
        <v>5935.675364607112</v>
      </c>
      <c r="J79" s="17">
        <f t="shared" si="7"/>
        <v>0.59356753646071125</v>
      </c>
    </row>
    <row r="80" spans="1:10" ht="12" customHeight="1" x14ac:dyDescent="0.3">
      <c r="A80" s="1">
        <f t="shared" si="3"/>
        <v>43629</v>
      </c>
      <c r="B80" s="20">
        <v>7133.152173913043</v>
      </c>
      <c r="C80" s="20">
        <f t="shared" si="4"/>
        <v>6114.1304347826081</v>
      </c>
      <c r="D80" s="21" t="str">
        <f t="shared" si="0"/>
        <v>190613</v>
      </c>
      <c r="E80" s="22">
        <f t="shared" si="5"/>
        <v>2.458612</v>
      </c>
      <c r="F80" s="9">
        <v>0</v>
      </c>
      <c r="G80" s="14">
        <f t="shared" si="1"/>
        <v>100.06697017616852</v>
      </c>
      <c r="H80" s="24">
        <f t="shared" si="6"/>
        <v>-111.54823831475369</v>
      </c>
      <c r="I80" s="20">
        <f t="shared" si="2"/>
        <v>6002.5821964678544</v>
      </c>
      <c r="J80" s="17">
        <f t="shared" si="7"/>
        <v>0.60025821964678538</v>
      </c>
    </row>
    <row r="81" spans="1:10" ht="12" customHeight="1" x14ac:dyDescent="0.3">
      <c r="A81" s="1">
        <f t="shared" si="3"/>
        <v>43630</v>
      </c>
      <c r="B81" s="20">
        <v>7201.0869565217399</v>
      </c>
      <c r="C81" s="20">
        <f t="shared" si="4"/>
        <v>6182.0652173913049</v>
      </c>
      <c r="D81" s="21" t="str">
        <f t="shared" si="0"/>
        <v>190614</v>
      </c>
      <c r="E81" s="22">
        <f t="shared" si="5"/>
        <v>2.458612</v>
      </c>
      <c r="F81" s="9">
        <v>0</v>
      </c>
      <c r="G81" s="14">
        <f t="shared" si="1"/>
        <v>100.06686784550975</v>
      </c>
      <c r="H81" s="24">
        <f t="shared" si="6"/>
        <v>-112.57154490252218</v>
      </c>
      <c r="I81" s="20">
        <f t="shared" si="2"/>
        <v>6069.493672488783</v>
      </c>
      <c r="J81" s="17">
        <f t="shared" si="7"/>
        <v>0.60694936724887827</v>
      </c>
    </row>
    <row r="82" spans="1:10" ht="12" customHeight="1" x14ac:dyDescent="0.3">
      <c r="A82" s="1">
        <f t="shared" si="3"/>
        <v>43633</v>
      </c>
      <c r="B82" s="20">
        <v>7404.891304347826</v>
      </c>
      <c r="C82" s="20">
        <f t="shared" si="4"/>
        <v>6385.869565217391</v>
      </c>
      <c r="D82" s="21" t="str">
        <f t="shared" si="0"/>
        <v>190617</v>
      </c>
      <c r="E82" s="22">
        <f t="shared" si="5"/>
        <v>2.458612</v>
      </c>
      <c r="F82" s="9">
        <v>0</v>
      </c>
      <c r="G82" s="14">
        <f t="shared" si="1"/>
        <v>100.06656364034501</v>
      </c>
      <c r="H82" s="24">
        <f t="shared" si="6"/>
        <v>-115.61359654990611</v>
      </c>
      <c r="I82" s="20">
        <f t="shared" si="2"/>
        <v>6270.2559686674849</v>
      </c>
      <c r="J82" s="17">
        <f t="shared" si="7"/>
        <v>0.62702559686674841</v>
      </c>
    </row>
    <row r="83" spans="1:10" ht="12" customHeight="1" x14ac:dyDescent="0.3">
      <c r="A83" s="1">
        <f t="shared" si="3"/>
        <v>43634</v>
      </c>
      <c r="B83" s="20">
        <v>7472.8260869565211</v>
      </c>
      <c r="C83" s="20">
        <f t="shared" si="4"/>
        <v>6453.8043478260861</v>
      </c>
      <c r="D83" s="21" t="str">
        <f t="shared" si="0"/>
        <v>190618</v>
      </c>
      <c r="E83" s="22">
        <f t="shared" si="5"/>
        <v>2.458612</v>
      </c>
      <c r="F83" s="9">
        <v>0</v>
      </c>
      <c r="G83" s="14">
        <f t="shared" si="1"/>
        <v>100.0664631676657</v>
      </c>
      <c r="H83" s="24">
        <f t="shared" si="6"/>
        <v>-116.6183233429763</v>
      </c>
      <c r="I83" s="20">
        <f t="shared" si="2"/>
        <v>6337.1860244831096</v>
      </c>
      <c r="J83" s="17">
        <f t="shared" si="7"/>
        <v>0.63371860244831102</v>
      </c>
    </row>
    <row r="84" spans="1:10" ht="12" customHeight="1" x14ac:dyDescent="0.3">
      <c r="A84" s="1">
        <f t="shared" si="3"/>
        <v>43635</v>
      </c>
      <c r="B84" s="20">
        <v>7540.760869565217</v>
      </c>
      <c r="C84" s="20">
        <f t="shared" si="4"/>
        <v>6521.7391304347821</v>
      </c>
      <c r="D84" s="21" t="str">
        <f t="shared" si="0"/>
        <v>190619</v>
      </c>
      <c r="E84" s="22">
        <f t="shared" si="5"/>
        <v>2.458612</v>
      </c>
      <c r="F84" s="9">
        <v>0</v>
      </c>
      <c r="G84" s="14">
        <f t="shared" si="1"/>
        <v>100.06636315956008</v>
      </c>
      <c r="H84" s="24">
        <f t="shared" si="6"/>
        <v>-117.61840439916683</v>
      </c>
      <c r="I84" s="20">
        <f t="shared" si="2"/>
        <v>6404.120726035615</v>
      </c>
      <c r="J84" s="17">
        <f t="shared" si="7"/>
        <v>0.64041207260356159</v>
      </c>
    </row>
    <row r="85" spans="1:10" ht="12" customHeight="1" x14ac:dyDescent="0.3">
      <c r="A85" s="1">
        <f t="shared" si="3"/>
        <v>43636</v>
      </c>
      <c r="B85" s="20">
        <v>7608.6956521739139</v>
      </c>
      <c r="C85" s="20">
        <f t="shared" si="4"/>
        <v>6589.6739130434789</v>
      </c>
      <c r="D85" s="21" t="str">
        <f t="shared" si="0"/>
        <v>190620</v>
      </c>
      <c r="E85" s="22">
        <f t="shared" si="5"/>
        <v>2.458612</v>
      </c>
      <c r="F85" s="9">
        <v>0</v>
      </c>
      <c r="G85" s="14">
        <f t="shared" si="1"/>
        <v>100.0662636160597</v>
      </c>
      <c r="H85" s="24">
        <f t="shared" si="6"/>
        <v>-118.61383940299675</v>
      </c>
      <c r="I85" s="20">
        <f t="shared" si="2"/>
        <v>6471.0600736404822</v>
      </c>
      <c r="J85" s="17">
        <f t="shared" si="7"/>
        <v>0.64710600736404822</v>
      </c>
    </row>
    <row r="86" spans="1:10" ht="12" customHeight="1" x14ac:dyDescent="0.3">
      <c r="A86" s="1">
        <f t="shared" si="3"/>
        <v>43637</v>
      </c>
      <c r="B86" s="20">
        <v>7676.6304347826072</v>
      </c>
      <c r="C86" s="20">
        <f t="shared" si="4"/>
        <v>6657.6086956521722</v>
      </c>
      <c r="D86" s="21" t="str">
        <f t="shared" si="0"/>
        <v>190621</v>
      </c>
      <c r="E86" s="22">
        <f t="shared" si="5"/>
        <v>2.458612</v>
      </c>
      <c r="F86" s="9">
        <v>0</v>
      </c>
      <c r="G86" s="14">
        <f t="shared" si="1"/>
        <v>100.06616453719609</v>
      </c>
      <c r="H86" s="24">
        <f t="shared" si="6"/>
        <v>-119.60462803912721</v>
      </c>
      <c r="I86" s="20">
        <f t="shared" si="2"/>
        <v>6538.0040676130448</v>
      </c>
      <c r="J86" s="17">
        <f t="shared" si="7"/>
        <v>0.65380040676130446</v>
      </c>
    </row>
    <row r="87" spans="1:10" ht="12" customHeight="1" x14ac:dyDescent="0.3">
      <c r="A87" s="1">
        <f t="shared" si="3"/>
        <v>43640</v>
      </c>
      <c r="B87" s="20">
        <v>7880.434782608696</v>
      </c>
      <c r="C87" s="20">
        <f t="shared" si="4"/>
        <v>6861.413043478261</v>
      </c>
      <c r="D87" s="21" t="str">
        <f t="shared" si="0"/>
        <v>190624</v>
      </c>
      <c r="E87" s="22">
        <f t="shared" si="5"/>
        <v>2.458612</v>
      </c>
      <c r="F87" s="9">
        <v>0</v>
      </c>
      <c r="G87" s="14">
        <f t="shared" si="1"/>
        <v>100.06587008874125</v>
      </c>
      <c r="H87" s="24">
        <f t="shared" si="6"/>
        <v>-122.54911258750668</v>
      </c>
      <c r="I87" s="20">
        <f t="shared" si="2"/>
        <v>6738.8639308907541</v>
      </c>
      <c r="J87" s="17">
        <f t="shared" si="7"/>
        <v>0.67388639308907539</v>
      </c>
    </row>
    <row r="88" spans="1:10" ht="12" customHeight="1" x14ac:dyDescent="0.3">
      <c r="A88" s="1">
        <f t="shared" si="3"/>
        <v>43641</v>
      </c>
      <c r="B88" s="20">
        <v>7948.3695652173928</v>
      </c>
      <c r="C88" s="20">
        <f t="shared" si="4"/>
        <v>6929.3478260869579</v>
      </c>
      <c r="D88" s="21" t="str">
        <f t="shared" si="0"/>
        <v>190625</v>
      </c>
      <c r="E88" s="22">
        <f t="shared" si="5"/>
        <v>2.458612</v>
      </c>
      <c r="F88" s="9">
        <v>0</v>
      </c>
      <c r="G88" s="14">
        <f t="shared" si="1"/>
        <v>100.06577286874011</v>
      </c>
      <c r="H88" s="24">
        <f t="shared" si="6"/>
        <v>-123.5213125988821</v>
      </c>
      <c r="I88" s="20">
        <f t="shared" si="2"/>
        <v>6805.8265134880758</v>
      </c>
      <c r="J88" s="17">
        <f t="shared" si="7"/>
        <v>0.68058265134880758</v>
      </c>
    </row>
    <row r="89" spans="1:10" ht="12" customHeight="1" x14ac:dyDescent="0.3">
      <c r="A89" s="1">
        <f t="shared" si="3"/>
        <v>43642</v>
      </c>
      <c r="B89" s="20">
        <v>8016.3043478260861</v>
      </c>
      <c r="C89" s="20">
        <f t="shared" si="4"/>
        <v>6997.2826086956511</v>
      </c>
      <c r="D89" s="21" t="str">
        <f t="shared" si="0"/>
        <v>190626</v>
      </c>
      <c r="E89" s="22">
        <f t="shared" si="5"/>
        <v>2.458612</v>
      </c>
      <c r="F89" s="9">
        <v>0</v>
      </c>
      <c r="G89" s="14">
        <f t="shared" si="1"/>
        <v>100.06567611353347</v>
      </c>
      <c r="H89" s="24">
        <f t="shared" si="6"/>
        <v>-124.4888646652953</v>
      </c>
      <c r="I89" s="20">
        <f t="shared" si="2"/>
        <v>6872.7937440303558</v>
      </c>
      <c r="J89" s="17">
        <f t="shared" si="7"/>
        <v>0.68727937440303555</v>
      </c>
    </row>
    <row r="90" spans="1:10" ht="12" customHeight="1" x14ac:dyDescent="0.3">
      <c r="A90" s="1">
        <f t="shared" si="3"/>
        <v>43643</v>
      </c>
      <c r="B90" s="20">
        <v>8084.239130434783</v>
      </c>
      <c r="C90" s="20">
        <f t="shared" si="4"/>
        <v>7065.217391304348</v>
      </c>
      <c r="D90" s="21" t="str">
        <f t="shared" si="0"/>
        <v>190627</v>
      </c>
      <c r="E90" s="22">
        <f t="shared" si="5"/>
        <v>2.458612</v>
      </c>
      <c r="F90" s="9">
        <v>0</v>
      </c>
      <c r="G90" s="14">
        <f t="shared" si="1"/>
        <v>100.06557982315286</v>
      </c>
      <c r="H90" s="24">
        <f t="shared" si="6"/>
        <v>-125.45176847140738</v>
      </c>
      <c r="I90" s="20">
        <f t="shared" si="2"/>
        <v>6939.7656228329406</v>
      </c>
      <c r="J90" s="17">
        <f t="shared" si="7"/>
        <v>0.69397656228329407</v>
      </c>
    </row>
    <row r="91" spans="1:10" ht="12" customHeight="1" x14ac:dyDescent="0.3">
      <c r="A91" s="1">
        <f t="shared" si="3"/>
        <v>43644</v>
      </c>
      <c r="B91" s="20">
        <v>8152.1739130434789</v>
      </c>
      <c r="C91" s="20">
        <f t="shared" si="4"/>
        <v>7133.152173913044</v>
      </c>
      <c r="D91" s="21" t="str">
        <f t="shared" si="0"/>
        <v>190628</v>
      </c>
      <c r="E91" s="22">
        <f t="shared" si="5"/>
        <v>2.458612</v>
      </c>
      <c r="F91" s="9">
        <v>0</v>
      </c>
      <c r="G91" s="14">
        <f t="shared" si="1"/>
        <v>100.06548399762985</v>
      </c>
      <c r="H91" s="24">
        <f t="shared" si="6"/>
        <v>-126.41002370145316</v>
      </c>
      <c r="I91" s="20">
        <f t="shared" si="2"/>
        <v>7006.7421502115903</v>
      </c>
      <c r="J91" s="17">
        <f t="shared" si="7"/>
        <v>0.70067421502115901</v>
      </c>
    </row>
    <row r="92" spans="1:10" ht="12" customHeight="1" x14ac:dyDescent="0.3">
      <c r="A92" s="1">
        <f t="shared" si="3"/>
        <v>43647</v>
      </c>
      <c r="B92" s="20">
        <v>8355.9782608695659</v>
      </c>
      <c r="C92" s="20">
        <f t="shared" si="4"/>
        <v>7336.9565217391309</v>
      </c>
      <c r="D92" s="21" t="str">
        <f t="shared" si="0"/>
        <v>190701</v>
      </c>
      <c r="E92" s="22">
        <f t="shared" si="5"/>
        <v>2.458612</v>
      </c>
      <c r="F92" s="9">
        <v>0</v>
      </c>
      <c r="G92" s="14">
        <f t="shared" si="1"/>
        <v>100.0651993105219</v>
      </c>
      <c r="H92" s="24">
        <f t="shared" si="6"/>
        <v>-129.25689478095137</v>
      </c>
      <c r="I92" s="20">
        <f t="shared" si="2"/>
        <v>7207.6996269581796</v>
      </c>
      <c r="J92" s="17">
        <f t="shared" si="7"/>
        <v>0.72076996269581795</v>
      </c>
    </row>
    <row r="93" spans="1:10" ht="12" customHeight="1" x14ac:dyDescent="0.3">
      <c r="A93" s="1">
        <f t="shared" si="3"/>
        <v>43648</v>
      </c>
      <c r="B93" s="20">
        <v>8423.9130434782601</v>
      </c>
      <c r="C93" s="20">
        <f t="shared" si="4"/>
        <v>7404.8913043478251</v>
      </c>
      <c r="D93" s="21" t="str">
        <f t="shared" si="0"/>
        <v>190702</v>
      </c>
      <c r="E93" s="22">
        <f t="shared" si="5"/>
        <v>2.458612</v>
      </c>
      <c r="F93" s="9">
        <v>0</v>
      </c>
      <c r="G93" s="14">
        <f t="shared" si="1"/>
        <v>100.06510534474484</v>
      </c>
      <c r="H93" s="24">
        <f t="shared" si="6"/>
        <v>-130.19655255163798</v>
      </c>
      <c r="I93" s="20">
        <f t="shared" si="2"/>
        <v>7274.6947517961871</v>
      </c>
      <c r="J93" s="17">
        <f t="shared" si="7"/>
        <v>0.72746947517961869</v>
      </c>
    </row>
    <row r="94" spans="1:10" ht="12" customHeight="1" x14ac:dyDescent="0.3">
      <c r="A94" s="1">
        <f t="shared" si="3"/>
        <v>43649</v>
      </c>
      <c r="B94" s="20">
        <v>8491.847826086956</v>
      </c>
      <c r="C94" s="20">
        <f t="shared" si="4"/>
        <v>7472.8260869565211</v>
      </c>
      <c r="D94" s="21" t="str">
        <f t="shared" si="0"/>
        <v>190703</v>
      </c>
      <c r="E94" s="22">
        <f t="shared" si="5"/>
        <v>2.458612</v>
      </c>
      <c r="F94" s="9">
        <v>0</v>
      </c>
      <c r="G94" s="14">
        <f t="shared" si="1"/>
        <v>100.06501184398314</v>
      </c>
      <c r="H94" s="24">
        <f t="shared" si="6"/>
        <v>-131.13156016856919</v>
      </c>
      <c r="I94" s="20">
        <f t="shared" si="2"/>
        <v>7341.6945267879519</v>
      </c>
      <c r="J94" s="17">
        <f t="shared" si="7"/>
        <v>0.73416945267879519</v>
      </c>
    </row>
    <row r="95" spans="1:10" ht="12" customHeight="1" x14ac:dyDescent="0.3">
      <c r="A95" s="1">
        <f t="shared" si="3"/>
        <v>43650</v>
      </c>
      <c r="B95" s="20">
        <v>8559.7826086956538</v>
      </c>
      <c r="C95" s="20">
        <f t="shared" si="4"/>
        <v>7540.7608695652189</v>
      </c>
      <c r="D95" s="21" t="str">
        <f t="shared" si="0"/>
        <v>190704</v>
      </c>
      <c r="E95" s="22">
        <f t="shared" si="5"/>
        <v>2.458612</v>
      </c>
      <c r="F95" s="9">
        <v>0</v>
      </c>
      <c r="G95" s="14">
        <f t="shared" si="1"/>
        <v>100.06491880826839</v>
      </c>
      <c r="H95" s="24">
        <f t="shared" si="6"/>
        <v>-132.06191731612194</v>
      </c>
      <c r="I95" s="20">
        <f t="shared" si="2"/>
        <v>7408.6989522490967</v>
      </c>
      <c r="J95" s="17">
        <f t="shared" si="7"/>
        <v>0.74086989522490965</v>
      </c>
    </row>
    <row r="96" spans="1:10" ht="12" customHeight="1" x14ac:dyDescent="0.3">
      <c r="A96" s="1">
        <f t="shared" si="3"/>
        <v>43651</v>
      </c>
      <c r="B96" s="20">
        <v>8627.7173913043462</v>
      </c>
      <c r="C96" s="20">
        <f t="shared" si="4"/>
        <v>7608.6956521739112</v>
      </c>
      <c r="D96" s="21" t="str">
        <f t="shared" si="0"/>
        <v>190705</v>
      </c>
      <c r="E96" s="22">
        <f t="shared" si="5"/>
        <v>2.458612</v>
      </c>
      <c r="F96" s="9">
        <v>0</v>
      </c>
      <c r="G96" s="14">
        <f t="shared" si="1"/>
        <v>100.06482623763216</v>
      </c>
      <c r="H96" s="24">
        <f t="shared" si="6"/>
        <v>-132.9876236783889</v>
      </c>
      <c r="I96" s="20">
        <f t="shared" si="2"/>
        <v>7475.7080284955227</v>
      </c>
      <c r="J96" s="17">
        <f t="shared" si="7"/>
        <v>0.74757080284955224</v>
      </c>
    </row>
    <row r="97" spans="1:10" ht="12" customHeight="1" x14ac:dyDescent="0.3">
      <c r="A97" s="1">
        <f t="shared" si="3"/>
        <v>43654</v>
      </c>
      <c r="B97" s="20">
        <v>8831.5217391304341</v>
      </c>
      <c r="C97" s="20">
        <f t="shared" si="4"/>
        <v>7812.4999999999991</v>
      </c>
      <c r="D97" s="21" t="str">
        <f t="shared" si="0"/>
        <v>190708</v>
      </c>
      <c r="E97" s="22">
        <f t="shared" si="5"/>
        <v>2.458612</v>
      </c>
      <c r="F97" s="9">
        <v>0</v>
      </c>
      <c r="G97" s="14">
        <f t="shared" si="1"/>
        <v>100.06455131651032</v>
      </c>
      <c r="H97" s="24">
        <f t="shared" si="6"/>
        <v>-135.73683489681798</v>
      </c>
      <c r="I97" s="20">
        <f t="shared" si="2"/>
        <v>7676.7631651031807</v>
      </c>
      <c r="J97" s="17">
        <f t="shared" si="7"/>
        <v>0.76767631651031809</v>
      </c>
    </row>
    <row r="98" spans="1:10" ht="12" customHeight="1" x14ac:dyDescent="0.3">
      <c r="A98" s="1">
        <f t="shared" si="3"/>
        <v>43655</v>
      </c>
      <c r="B98" s="20">
        <v>8899.45652173913</v>
      </c>
      <c r="C98" s="20">
        <f t="shared" si="4"/>
        <v>7880.4347826086951</v>
      </c>
      <c r="D98" s="21" t="str">
        <f t="shared" si="0"/>
        <v>190709</v>
      </c>
      <c r="E98" s="22">
        <f t="shared" si="5"/>
        <v>2.458612</v>
      </c>
      <c r="F98" s="9">
        <v>0</v>
      </c>
      <c r="G98" s="14">
        <f t="shared" si="1"/>
        <v>100.06446060650389</v>
      </c>
      <c r="H98" s="24">
        <f t="shared" si="6"/>
        <v>-136.64393496114258</v>
      </c>
      <c r="I98" s="20">
        <f t="shared" si="2"/>
        <v>7743.7908476475523</v>
      </c>
      <c r="J98" s="17">
        <f t="shared" si="7"/>
        <v>0.77437908476475525</v>
      </c>
    </row>
    <row r="99" spans="1:10" ht="12" customHeight="1" x14ac:dyDescent="0.3">
      <c r="A99" s="1">
        <f t="shared" si="3"/>
        <v>43656</v>
      </c>
      <c r="B99" s="20">
        <v>8967.391304347826</v>
      </c>
      <c r="C99" s="20">
        <f t="shared" si="4"/>
        <v>7948.369565217391</v>
      </c>
      <c r="D99" s="21" t="str">
        <f t="shared" si="0"/>
        <v>190710</v>
      </c>
      <c r="E99" s="22">
        <f t="shared" si="5"/>
        <v>2.458612</v>
      </c>
      <c r="F99" s="9">
        <v>0</v>
      </c>
      <c r="G99" s="14">
        <f t="shared" si="1"/>
        <v>100.06437036173385</v>
      </c>
      <c r="H99" s="24">
        <f t="shared" si="6"/>
        <v>-137.54638266149755</v>
      </c>
      <c r="I99" s="20">
        <f t="shared" si="2"/>
        <v>7810.8231825558933</v>
      </c>
      <c r="J99" s="17">
        <f t="shared" si="7"/>
        <v>0.78108231825558927</v>
      </c>
    </row>
    <row r="100" spans="1:10" ht="12" customHeight="1" x14ac:dyDescent="0.3">
      <c r="A100" s="1">
        <f t="shared" si="3"/>
        <v>43657</v>
      </c>
      <c r="B100" s="20">
        <v>9035.3260869565202</v>
      </c>
      <c r="C100" s="20">
        <f t="shared" si="4"/>
        <v>8016.3043478260852</v>
      </c>
      <c r="D100" s="21" t="str">
        <f t="shared" si="0"/>
        <v>190711</v>
      </c>
      <c r="E100" s="22">
        <f t="shared" si="5"/>
        <v>2.458612</v>
      </c>
      <c r="F100" s="9">
        <v>0</v>
      </c>
      <c r="G100" s="14">
        <f t="shared" si="1"/>
        <v>100.0642805822318</v>
      </c>
      <c r="H100" s="24">
        <f t="shared" si="6"/>
        <v>-138.44417768197559</v>
      </c>
      <c r="I100" s="20">
        <f t="shared" si="2"/>
        <v>7877.8601701441094</v>
      </c>
      <c r="J100" s="17">
        <f t="shared" si="7"/>
        <v>0.78778601701441098</v>
      </c>
    </row>
    <row r="101" spans="1:10" ht="12" customHeight="1" x14ac:dyDescent="0.3">
      <c r="A101" s="1">
        <f t="shared" si="3"/>
        <v>43658</v>
      </c>
      <c r="B101" s="20">
        <v>9103.2608695652179</v>
      </c>
      <c r="C101" s="20">
        <f t="shared" si="4"/>
        <v>8084.239130434783</v>
      </c>
      <c r="D101" s="21" t="str">
        <f t="shared" si="0"/>
        <v>190712</v>
      </c>
      <c r="E101" s="22">
        <f t="shared" si="5"/>
        <v>2.458612</v>
      </c>
      <c r="F101" s="9">
        <v>0</v>
      </c>
      <c r="G101" s="14">
        <f t="shared" si="1"/>
        <v>100.06419126802929</v>
      </c>
      <c r="H101" s="24">
        <f t="shared" si="6"/>
        <v>-139.33731970709573</v>
      </c>
      <c r="I101" s="20">
        <f t="shared" si="2"/>
        <v>7944.901810727687</v>
      </c>
      <c r="J101" s="17">
        <f t="shared" si="7"/>
        <v>0.7944901810727687</v>
      </c>
    </row>
    <row r="102" spans="1:10" ht="12" customHeight="1" x14ac:dyDescent="0.3">
      <c r="A102" s="1">
        <f t="shared" si="3"/>
        <v>43661</v>
      </c>
      <c r="B102" s="20">
        <v>9307.065217391304</v>
      </c>
      <c r="C102" s="20">
        <f t="shared" si="4"/>
        <v>8288.0434782608681</v>
      </c>
      <c r="D102" s="21" t="str">
        <f t="shared" si="0"/>
        <v>190715</v>
      </c>
      <c r="E102" s="22">
        <f t="shared" si="5"/>
        <v>2.458612</v>
      </c>
      <c r="F102" s="9">
        <v>0</v>
      </c>
      <c r="G102" s="14">
        <f t="shared" si="1"/>
        <v>100.06392611753496</v>
      </c>
      <c r="H102" s="24">
        <f t="shared" si="6"/>
        <v>-141.98882465038309</v>
      </c>
      <c r="I102" s="20">
        <f t="shared" si="2"/>
        <v>8146.0546536104848</v>
      </c>
      <c r="J102" s="17">
        <f t="shared" si="7"/>
        <v>0.8146054653610485</v>
      </c>
    </row>
    <row r="103" spans="1:10" ht="12" customHeight="1" x14ac:dyDescent="0.3">
      <c r="A103" s="1">
        <f t="shared" si="3"/>
        <v>43662</v>
      </c>
      <c r="B103" s="20">
        <v>9375</v>
      </c>
      <c r="C103" s="20">
        <f t="shared" si="4"/>
        <v>8355.9782608695641</v>
      </c>
      <c r="D103" s="21" t="str">
        <f t="shared" si="0"/>
        <v>190716</v>
      </c>
      <c r="E103" s="22">
        <f t="shared" si="5"/>
        <v>2.458612</v>
      </c>
      <c r="F103" s="9">
        <v>0</v>
      </c>
      <c r="G103" s="14">
        <f t="shared" si="1"/>
        <v>100.06383866484653</v>
      </c>
      <c r="H103" s="24">
        <f t="shared" si="6"/>
        <v>-142.86335153471441</v>
      </c>
      <c r="I103" s="20">
        <f t="shared" si="2"/>
        <v>8213.1149093348504</v>
      </c>
      <c r="J103" s="17">
        <f t="shared" si="7"/>
        <v>0.8213114909334851</v>
      </c>
    </row>
    <row r="104" spans="1:10" ht="12" customHeight="1" x14ac:dyDescent="0.3">
      <c r="A104" s="1">
        <f t="shared" si="3"/>
        <v>43663</v>
      </c>
      <c r="B104" s="20">
        <v>9442.934782608696</v>
      </c>
      <c r="C104" s="20">
        <f t="shared" si="4"/>
        <v>8423.9130434782601</v>
      </c>
      <c r="D104" s="21" t="str">
        <f t="shared" si="0"/>
        <v>190717</v>
      </c>
      <c r="E104" s="22">
        <f t="shared" si="5"/>
        <v>2.458612</v>
      </c>
      <c r="F104" s="9">
        <v>0</v>
      </c>
      <c r="G104" s="14">
        <f t="shared" si="1"/>
        <v>100.06375167761563</v>
      </c>
      <c r="H104" s="24">
        <f t="shared" si="6"/>
        <v>-143.733223843725</v>
      </c>
      <c r="I104" s="20">
        <f t="shared" si="2"/>
        <v>8280.1798196345353</v>
      </c>
      <c r="J104" s="17">
        <f t="shared" si="7"/>
        <v>0.82801798196345355</v>
      </c>
    </row>
    <row r="105" spans="1:10" ht="12" customHeight="1" x14ac:dyDescent="0.3">
      <c r="A105" s="1">
        <f t="shared" si="3"/>
        <v>43664</v>
      </c>
      <c r="B105" s="20">
        <v>9510.8695652173919</v>
      </c>
      <c r="C105" s="20">
        <f t="shared" si="4"/>
        <v>8491.847826086956</v>
      </c>
      <c r="D105" s="21" t="str">
        <f t="shared" si="0"/>
        <v>190718</v>
      </c>
      <c r="E105" s="22">
        <f t="shared" si="5"/>
        <v>2.458612</v>
      </c>
      <c r="F105" s="9">
        <v>0</v>
      </c>
      <c r="G105" s="14">
        <f t="shared" si="1"/>
        <v>100.06366515587376</v>
      </c>
      <c r="H105" s="24">
        <f t="shared" si="6"/>
        <v>-144.59844126236021</v>
      </c>
      <c r="I105" s="20">
        <f t="shared" si="2"/>
        <v>8347.2493848245958</v>
      </c>
      <c r="J105" s="17">
        <f t="shared" si="7"/>
        <v>0.83472493848245954</v>
      </c>
    </row>
    <row r="106" spans="1:10" ht="12" customHeight="1" x14ac:dyDescent="0.3">
      <c r="A106" s="1">
        <f t="shared" si="3"/>
        <v>43665</v>
      </c>
      <c r="B106" s="20">
        <v>9578.8043478260861</v>
      </c>
      <c r="C106" s="20">
        <f t="shared" si="4"/>
        <v>8559.7826086956502</v>
      </c>
      <c r="D106" s="21" t="str">
        <f t="shared" si="0"/>
        <v>190719</v>
      </c>
      <c r="E106" s="22">
        <f t="shared" si="5"/>
        <v>2.458612</v>
      </c>
      <c r="F106" s="9">
        <v>0</v>
      </c>
      <c r="G106" s="14">
        <f t="shared" si="1"/>
        <v>100.06357909965261</v>
      </c>
      <c r="H106" s="24">
        <f t="shared" si="6"/>
        <v>-145.45900347386009</v>
      </c>
      <c r="I106" s="20">
        <f t="shared" si="2"/>
        <v>8414.3236052217908</v>
      </c>
      <c r="J106" s="17">
        <f t="shared" si="7"/>
        <v>0.84143236052217907</v>
      </c>
    </row>
    <row r="107" spans="1:10" ht="12" customHeight="1" x14ac:dyDescent="0.3">
      <c r="A107" s="1">
        <f t="shared" si="3"/>
        <v>43668</v>
      </c>
      <c r="B107" s="20">
        <v>9782.608695652174</v>
      </c>
      <c r="C107" s="20">
        <f t="shared" si="4"/>
        <v>8763.5869565217381</v>
      </c>
      <c r="D107" s="21" t="str">
        <f t="shared" si="0"/>
        <v>190722</v>
      </c>
      <c r="E107" s="22">
        <f t="shared" si="5"/>
        <v>2.458612</v>
      </c>
      <c r="F107" s="9">
        <v>0</v>
      </c>
      <c r="G107" s="14">
        <f t="shared" si="1"/>
        <v>100.06332372442941</v>
      </c>
      <c r="H107" s="24">
        <f t="shared" si="6"/>
        <v>-148.01275570590633</v>
      </c>
      <c r="I107" s="20">
        <f t="shared" si="2"/>
        <v>8615.5742008158322</v>
      </c>
      <c r="J107" s="17">
        <f t="shared" si="7"/>
        <v>0.8615574200815832</v>
      </c>
    </row>
    <row r="108" spans="1:10" ht="12" customHeight="1" x14ac:dyDescent="0.3">
      <c r="A108" s="1">
        <f t="shared" si="3"/>
        <v>43669</v>
      </c>
      <c r="B108" s="20">
        <v>9850.54347826087</v>
      </c>
      <c r="C108" s="20">
        <f t="shared" si="4"/>
        <v>8831.5217391304341</v>
      </c>
      <c r="D108" s="21" t="str">
        <f t="shared" si="0"/>
        <v>190723</v>
      </c>
      <c r="E108" s="22">
        <f t="shared" si="5"/>
        <v>2.458612</v>
      </c>
      <c r="F108" s="9">
        <v>0</v>
      </c>
      <c r="G108" s="14">
        <f t="shared" si="1"/>
        <v>100.06323953060705</v>
      </c>
      <c r="H108" s="24">
        <f t="shared" si="6"/>
        <v>-148.85469392950768</v>
      </c>
      <c r="I108" s="20">
        <f t="shared" si="2"/>
        <v>8682.6670452009257</v>
      </c>
      <c r="J108" s="17">
        <f t="shared" si="7"/>
        <v>0.86826670452009258</v>
      </c>
    </row>
    <row r="109" spans="1:10" ht="12" customHeight="1" x14ac:dyDescent="0.3">
      <c r="A109" s="1">
        <f t="shared" si="3"/>
        <v>43670</v>
      </c>
      <c r="B109" s="20">
        <v>9918.4782608695659</v>
      </c>
      <c r="C109" s="20">
        <f t="shared" si="4"/>
        <v>8899.45652173913</v>
      </c>
      <c r="D109" s="21" t="str">
        <f t="shared" si="0"/>
        <v>190724</v>
      </c>
      <c r="E109" s="22">
        <f t="shared" si="5"/>
        <v>2.458612</v>
      </c>
      <c r="F109" s="9">
        <v>0</v>
      </c>
      <c r="G109" s="14">
        <f t="shared" si="1"/>
        <v>100.06315580246344</v>
      </c>
      <c r="H109" s="24">
        <f t="shared" si="6"/>
        <v>-149.69197536558454</v>
      </c>
      <c r="I109" s="20">
        <f t="shared" si="2"/>
        <v>8749.7645463735462</v>
      </c>
      <c r="J109" s="17">
        <f t="shared" si="7"/>
        <v>0.87497645463735452</v>
      </c>
    </row>
    <row r="110" spans="1:10" ht="12" customHeight="1" x14ac:dyDescent="0.3">
      <c r="A110" s="1">
        <f t="shared" si="3"/>
        <v>43671</v>
      </c>
      <c r="B110" s="20">
        <v>9986.4130434782601</v>
      </c>
      <c r="C110" s="20">
        <f t="shared" si="4"/>
        <v>8967.3913043478242</v>
      </c>
      <c r="D110" s="21" t="str">
        <f t="shared" si="0"/>
        <v>190725</v>
      </c>
      <c r="E110" s="22">
        <f t="shared" si="5"/>
        <v>2.458612</v>
      </c>
      <c r="F110" s="9">
        <v>0</v>
      </c>
      <c r="G110" s="14">
        <f t="shared" si="1"/>
        <v>100.06307254003013</v>
      </c>
      <c r="H110" s="24">
        <f t="shared" si="6"/>
        <v>-150.52459969865595</v>
      </c>
      <c r="I110" s="20">
        <f t="shared" si="2"/>
        <v>8816.8667046491682</v>
      </c>
      <c r="J110" s="17">
        <f t="shared" si="7"/>
        <v>0.88168667046491689</v>
      </c>
    </row>
    <row r="111" spans="1:10" ht="12" customHeight="1" x14ac:dyDescent="0.3">
      <c r="A111" s="1">
        <f t="shared" si="3"/>
        <v>43672</v>
      </c>
      <c r="B111" s="20">
        <v>10054.347826086958</v>
      </c>
      <c r="C111" s="20">
        <f t="shared" si="4"/>
        <v>9035.326086956522</v>
      </c>
      <c r="D111" s="21" t="str">
        <f t="shared" si="0"/>
        <v>190726</v>
      </c>
      <c r="E111" s="22">
        <f t="shared" si="5"/>
        <v>2.458612</v>
      </c>
      <c r="F111" s="9">
        <v>0</v>
      </c>
      <c r="G111" s="14">
        <f t="shared" si="1"/>
        <v>100.06298974333875</v>
      </c>
      <c r="H111" s="24">
        <f t="shared" si="6"/>
        <v>-151.35256661253038</v>
      </c>
      <c r="I111" s="20">
        <f t="shared" si="2"/>
        <v>8883.9735203439923</v>
      </c>
      <c r="J111" s="17">
        <f t="shared" si="7"/>
        <v>0.88839735203439918</v>
      </c>
    </row>
    <row r="112" spans="1:10" ht="12" customHeight="1" x14ac:dyDescent="0.3">
      <c r="A112" s="1">
        <f t="shared" si="3"/>
        <v>43675</v>
      </c>
      <c r="B112" s="20">
        <v>10258.152173913042</v>
      </c>
      <c r="C112" s="20">
        <f t="shared" si="4"/>
        <v>9239.1304347826062</v>
      </c>
      <c r="D112" s="21" t="str">
        <f t="shared" si="0"/>
        <v>190729</v>
      </c>
      <c r="E112" s="22">
        <f t="shared" si="5"/>
        <v>2.458612</v>
      </c>
      <c r="F112" s="9">
        <v>0</v>
      </c>
      <c r="G112" s="14">
        <f t="shared" si="1"/>
        <v>100.06274414803244</v>
      </c>
      <c r="H112" s="24">
        <f t="shared" si="6"/>
        <v>-153.80851967563558</v>
      </c>
      <c r="I112" s="20">
        <f t="shared" si="2"/>
        <v>9085.3219151069716</v>
      </c>
      <c r="J112" s="17">
        <f t="shared" si="7"/>
        <v>0.9085321915106972</v>
      </c>
    </row>
    <row r="113" spans="1:10" ht="12" customHeight="1" x14ac:dyDescent="0.3">
      <c r="A113" s="1">
        <f t="shared" si="3"/>
        <v>43676</v>
      </c>
      <c r="B113" s="20">
        <v>10326.086956521738</v>
      </c>
      <c r="C113" s="20">
        <f t="shared" si="4"/>
        <v>9307.0652173913022</v>
      </c>
      <c r="D113" s="21" t="str">
        <f t="shared" si="0"/>
        <v>190730</v>
      </c>
      <c r="E113" s="22">
        <f t="shared" si="5"/>
        <v>2.458612</v>
      </c>
      <c r="F113" s="9">
        <v>0</v>
      </c>
      <c r="G113" s="14">
        <f t="shared" si="1"/>
        <v>100.06266321462498</v>
      </c>
      <c r="H113" s="24">
        <f t="shared" si="6"/>
        <v>-154.61785375023851</v>
      </c>
      <c r="I113" s="20">
        <f t="shared" si="2"/>
        <v>9152.4473636410639</v>
      </c>
      <c r="J113" s="17">
        <f t="shared" si="7"/>
        <v>0.91524473636410641</v>
      </c>
    </row>
    <row r="114" spans="1:10" ht="12" customHeight="1" x14ac:dyDescent="0.3">
      <c r="A114" s="1">
        <f t="shared" si="3"/>
        <v>43677</v>
      </c>
      <c r="B114" s="20">
        <v>10394.021739130434</v>
      </c>
      <c r="C114" s="20">
        <f t="shared" si="4"/>
        <v>9374.9999999999982</v>
      </c>
      <c r="D114" s="21" t="str">
        <f t="shared" si="0"/>
        <v>190731</v>
      </c>
      <c r="E114" s="22">
        <f t="shared" si="5"/>
        <v>2.458612</v>
      </c>
      <c r="F114" s="9">
        <v>0</v>
      </c>
      <c r="G114" s="14">
        <f t="shared" si="1"/>
        <v>100.06258274711756</v>
      </c>
      <c r="H114" s="24">
        <f t="shared" si="6"/>
        <v>-155.42252882440266</v>
      </c>
      <c r="I114" s="20">
        <f t="shared" si="2"/>
        <v>9219.5774711755948</v>
      </c>
      <c r="J114" s="17">
        <f t="shared" si="7"/>
        <v>0.92195774711755951</v>
      </c>
    </row>
    <row r="115" spans="1:10" ht="12" customHeight="1" x14ac:dyDescent="0.3">
      <c r="A115" s="1">
        <f t="shared" si="3"/>
        <v>43678</v>
      </c>
      <c r="B115" s="20">
        <v>10461.95652173913</v>
      </c>
      <c r="C115" s="20">
        <f t="shared" si="4"/>
        <v>9442.9347826086941</v>
      </c>
      <c r="D115" s="21" t="str">
        <f t="shared" si="0"/>
        <v>190801</v>
      </c>
      <c r="E115" s="22">
        <f t="shared" si="5"/>
        <v>2.458612</v>
      </c>
      <c r="F115" s="9">
        <v>0</v>
      </c>
      <c r="G115" s="14">
        <f t="shared" si="1"/>
        <v>100.06250274554181</v>
      </c>
      <c r="H115" s="24">
        <f t="shared" si="6"/>
        <v>-156.22254458193652</v>
      </c>
      <c r="I115" s="20">
        <f t="shared" si="2"/>
        <v>9286.7122380267574</v>
      </c>
      <c r="J115" s="17">
        <f t="shared" si="7"/>
        <v>0.92867122380267575</v>
      </c>
    </row>
    <row r="116" spans="1:10" ht="12" customHeight="1" x14ac:dyDescent="0.3">
      <c r="A116" s="1">
        <f t="shared" si="3"/>
        <v>43679</v>
      </c>
      <c r="B116" s="20">
        <v>10529.891304347824</v>
      </c>
      <c r="C116" s="20">
        <f t="shared" si="4"/>
        <v>9510.8695652173883</v>
      </c>
      <c r="D116" s="21" t="str">
        <f t="shared" si="0"/>
        <v>190802</v>
      </c>
      <c r="E116" s="22">
        <f t="shared" si="5"/>
        <v>2.458612</v>
      </c>
      <c r="F116" s="9">
        <v>0</v>
      </c>
      <c r="G116" s="14">
        <f t="shared" si="1"/>
        <v>100.06242320992934</v>
      </c>
      <c r="H116" s="24">
        <f t="shared" si="6"/>
        <v>-157.01790070664856</v>
      </c>
      <c r="I116" s="20">
        <f t="shared" si="2"/>
        <v>9353.8516645107393</v>
      </c>
      <c r="J116" s="17">
        <f t="shared" si="7"/>
        <v>0.93538516645107395</v>
      </c>
    </row>
    <row r="117" spans="1:10" ht="12" customHeight="1" x14ac:dyDescent="0.3">
      <c r="A117" s="1">
        <f t="shared" si="3"/>
        <v>43682</v>
      </c>
      <c r="B117" s="20">
        <v>10733.695652173914</v>
      </c>
      <c r="C117" s="20">
        <f t="shared" si="4"/>
        <v>9714.673913043478</v>
      </c>
      <c r="D117" s="21" t="str">
        <f t="shared" si="0"/>
        <v>190805</v>
      </c>
      <c r="E117" s="22">
        <f t="shared" si="5"/>
        <v>2.458612</v>
      </c>
      <c r="F117" s="9">
        <v>0</v>
      </c>
      <c r="G117" s="14">
        <f t="shared" si="1"/>
        <v>100.06218739918793</v>
      </c>
      <c r="H117" s="24">
        <f t="shared" si="6"/>
        <v>-159.37600812065966</v>
      </c>
      <c r="I117" s="20">
        <f t="shared" si="2"/>
        <v>9555.2979049228179</v>
      </c>
      <c r="J117" s="17">
        <f t="shared" si="7"/>
        <v>0.95552979049228182</v>
      </c>
    </row>
    <row r="118" spans="1:10" ht="12" customHeight="1" x14ac:dyDescent="0.3">
      <c r="A118" s="1">
        <f t="shared" si="3"/>
        <v>43683</v>
      </c>
      <c r="B118" s="20">
        <v>10801.630434782608</v>
      </c>
      <c r="C118" s="20">
        <f t="shared" si="4"/>
        <v>9782.6086956521722</v>
      </c>
      <c r="D118" s="21" t="str">
        <f t="shared" si="0"/>
        <v>190806</v>
      </c>
      <c r="E118" s="22">
        <f t="shared" si="5"/>
        <v>2.458612</v>
      </c>
      <c r="F118" s="9">
        <v>0</v>
      </c>
      <c r="G118" s="14">
        <f t="shared" si="1"/>
        <v>100.06210972774494</v>
      </c>
      <c r="H118" s="24">
        <f t="shared" si="6"/>
        <v>-160.15272255060609</v>
      </c>
      <c r="I118" s="20">
        <f t="shared" si="2"/>
        <v>9622.4559731015652</v>
      </c>
      <c r="J118" s="17">
        <f t="shared" si="7"/>
        <v>0.96224559731015646</v>
      </c>
    </row>
    <row r="119" spans="1:10" ht="12" customHeight="1" x14ac:dyDescent="0.3">
      <c r="A119" s="1">
        <f t="shared" si="3"/>
        <v>43684</v>
      </c>
      <c r="B119" s="20">
        <v>10869.565217391304</v>
      </c>
      <c r="C119" s="20">
        <f t="shared" si="4"/>
        <v>9850.5434782608681</v>
      </c>
      <c r="D119" s="21" t="str">
        <f t="shared" si="0"/>
        <v>190807</v>
      </c>
      <c r="E119" s="22">
        <f t="shared" si="5"/>
        <v>2.458612</v>
      </c>
      <c r="F119" s="9">
        <v>0</v>
      </c>
      <c r="G119" s="14">
        <f t="shared" si="1"/>
        <v>100.06203252242339</v>
      </c>
      <c r="H119" s="24">
        <f t="shared" si="6"/>
        <v>-160.92477576606257</v>
      </c>
      <c r="I119" s="20">
        <f t="shared" si="2"/>
        <v>9689.6187024948049</v>
      </c>
      <c r="J119" s="17">
        <f t="shared" si="7"/>
        <v>0.96896187024948044</v>
      </c>
    </row>
    <row r="120" spans="1:10" ht="12" customHeight="1" x14ac:dyDescent="0.3">
      <c r="A120" s="1">
        <f t="shared" si="3"/>
        <v>43685</v>
      </c>
      <c r="B120" s="20">
        <v>10937.5</v>
      </c>
      <c r="C120" s="20">
        <f t="shared" si="4"/>
        <v>9918.4782608695641</v>
      </c>
      <c r="D120" s="21" t="str">
        <f t="shared" si="0"/>
        <v>190808</v>
      </c>
      <c r="E120" s="22">
        <f t="shared" si="5"/>
        <v>2.458612</v>
      </c>
      <c r="F120" s="9">
        <v>0</v>
      </c>
      <c r="G120" s="14">
        <f t="shared" si="1"/>
        <v>100.06195578325494</v>
      </c>
      <c r="H120" s="24">
        <f t="shared" si="6"/>
        <v>-161.69216745055337</v>
      </c>
      <c r="I120" s="20">
        <f t="shared" si="2"/>
        <v>9756.7860934190103</v>
      </c>
      <c r="J120" s="17">
        <f t="shared" si="7"/>
        <v>0.97567860934190098</v>
      </c>
    </row>
    <row r="121" spans="1:10" ht="12" customHeight="1" x14ac:dyDescent="0.3">
      <c r="A121" s="1">
        <f t="shared" si="3"/>
        <v>43686</v>
      </c>
      <c r="B121" s="20">
        <v>11005.434782608696</v>
      </c>
      <c r="C121" s="20">
        <f t="shared" si="4"/>
        <v>9986.4130434782601</v>
      </c>
      <c r="D121" s="21" t="str">
        <f t="shared" si="0"/>
        <v>190809</v>
      </c>
      <c r="E121" s="22">
        <f t="shared" si="5"/>
        <v>2.458612</v>
      </c>
      <c r="F121" s="9">
        <v>0</v>
      </c>
      <c r="G121" s="14">
        <f t="shared" si="1"/>
        <v>100.06187951027123</v>
      </c>
      <c r="H121" s="24">
        <f t="shared" si="6"/>
        <v>-162.45489728774487</v>
      </c>
      <c r="I121" s="20">
        <f t="shared" si="2"/>
        <v>9823.9581461905145</v>
      </c>
      <c r="J121" s="17">
        <f t="shared" si="7"/>
        <v>0.98239581461905157</v>
      </c>
    </row>
    <row r="122" spans="1:10" ht="12" customHeight="1" x14ac:dyDescent="0.3">
      <c r="A122" s="1">
        <f t="shared" si="3"/>
        <v>43689</v>
      </c>
      <c r="B122" s="20">
        <v>11209.239130434782</v>
      </c>
      <c r="C122" s="20">
        <f t="shared" si="4"/>
        <v>10190.217391304346</v>
      </c>
      <c r="D122" s="21" t="str">
        <f t="shared" si="0"/>
        <v>190812</v>
      </c>
      <c r="E122" s="22">
        <f t="shared" si="5"/>
        <v>2.458612</v>
      </c>
      <c r="F122" s="9">
        <v>0</v>
      </c>
      <c r="G122" s="14">
        <f t="shared" si="1"/>
        <v>100.06165348874501</v>
      </c>
      <c r="H122" s="24">
        <f t="shared" si="6"/>
        <v>-164.71511254991353</v>
      </c>
      <c r="I122" s="20">
        <f t="shared" si="2"/>
        <v>10025.502278754433</v>
      </c>
      <c r="J122" s="17">
        <f t="shared" si="7"/>
        <v>1.0025502278754432</v>
      </c>
    </row>
    <row r="123" spans="1:10" ht="12" customHeight="1" x14ac:dyDescent="0.3">
      <c r="A123" s="1">
        <f t="shared" si="3"/>
        <v>43690</v>
      </c>
      <c r="B123" s="20">
        <v>11277.17391304348</v>
      </c>
      <c r="C123" s="20">
        <f t="shared" si="4"/>
        <v>10258.152173913044</v>
      </c>
      <c r="D123" s="21" t="str">
        <f t="shared" si="0"/>
        <v>190813</v>
      </c>
      <c r="E123" s="22">
        <f t="shared" si="5"/>
        <v>2.458612</v>
      </c>
      <c r="F123" s="9">
        <v>0</v>
      </c>
      <c r="G123" s="14">
        <f t="shared" si="1"/>
        <v>100.06157908081674</v>
      </c>
      <c r="H123" s="24">
        <f t="shared" si="6"/>
        <v>-165.45919183258206</v>
      </c>
      <c r="I123" s="20">
        <f t="shared" si="2"/>
        <v>10092.692982080462</v>
      </c>
      <c r="J123" s="17">
        <f t="shared" si="7"/>
        <v>1.0092692982080462</v>
      </c>
    </row>
    <row r="124" spans="1:10" ht="12" customHeight="1" x14ac:dyDescent="0.3">
      <c r="A124" s="1">
        <f t="shared" si="3"/>
        <v>43691</v>
      </c>
      <c r="B124" s="20">
        <v>11345.108695652176</v>
      </c>
      <c r="C124" s="20">
        <f t="shared" si="4"/>
        <v>10326.08695652174</v>
      </c>
      <c r="D124" s="21" t="str">
        <f t="shared" si="0"/>
        <v>190814</v>
      </c>
      <c r="E124" s="22">
        <f t="shared" si="5"/>
        <v>2.458612</v>
      </c>
      <c r="F124" s="9">
        <v>0</v>
      </c>
      <c r="G124" s="14">
        <f t="shared" si="1"/>
        <v>100.06150513923144</v>
      </c>
      <c r="H124" s="24">
        <f t="shared" si="6"/>
        <v>-166.1986076855726</v>
      </c>
      <c r="I124" s="20">
        <f t="shared" si="2"/>
        <v>10159.888348836168</v>
      </c>
      <c r="J124" s="17">
        <f t="shared" si="7"/>
        <v>1.0159888348836168</v>
      </c>
    </row>
    <row r="125" spans="1:10" ht="12" customHeight="1" x14ac:dyDescent="0.3">
      <c r="A125" s="1">
        <f t="shared" si="3"/>
        <v>43692</v>
      </c>
      <c r="B125" s="20">
        <v>11413.04347826087</v>
      </c>
      <c r="C125" s="20">
        <f t="shared" si="4"/>
        <v>10394.021739130434</v>
      </c>
      <c r="D125" s="21" t="str">
        <f t="shared" si="0"/>
        <v>190815</v>
      </c>
      <c r="E125" s="22">
        <f t="shared" si="5"/>
        <v>2.458612</v>
      </c>
      <c r="F125" s="9">
        <v>0</v>
      </c>
      <c r="G125" s="14">
        <f t="shared" si="1"/>
        <v>100.06143166402082</v>
      </c>
      <c r="H125" s="24">
        <f t="shared" si="6"/>
        <v>-166.93335979184099</v>
      </c>
      <c r="I125" s="20">
        <f t="shared" si="2"/>
        <v>10227.088379338593</v>
      </c>
      <c r="J125" s="17">
        <f t="shared" si="7"/>
        <v>1.0227088379338591</v>
      </c>
    </row>
    <row r="126" spans="1:10" ht="12" customHeight="1" x14ac:dyDescent="0.3">
      <c r="A126" s="1">
        <f t="shared" si="3"/>
        <v>43693</v>
      </c>
      <c r="B126" s="20">
        <v>11480.978260869566</v>
      </c>
      <c r="C126" s="20">
        <f t="shared" si="4"/>
        <v>10461.95652173913</v>
      </c>
      <c r="D126" s="21" t="str">
        <f t="shared" si="0"/>
        <v>190816</v>
      </c>
      <c r="E126" s="22">
        <f t="shared" si="5"/>
        <v>2.458612</v>
      </c>
      <c r="F126" s="9">
        <v>0</v>
      </c>
      <c r="G126" s="14">
        <f t="shared" si="1"/>
        <v>100.06135865521645</v>
      </c>
      <c r="H126" s="24">
        <f t="shared" si="6"/>
        <v>-167.66344783547993</v>
      </c>
      <c r="I126" s="20">
        <f t="shared" si="2"/>
        <v>10294.293073903649</v>
      </c>
      <c r="J126" s="17">
        <f t="shared" si="7"/>
        <v>1.0294293073903651</v>
      </c>
    </row>
    <row r="127" spans="1:10" ht="12" customHeight="1" x14ac:dyDescent="0.3">
      <c r="A127" s="1">
        <f t="shared" si="3"/>
        <v>43696</v>
      </c>
      <c r="B127" s="20">
        <v>11684.782608695652</v>
      </c>
      <c r="C127" s="20">
        <f t="shared" si="4"/>
        <v>10665.760869565216</v>
      </c>
      <c r="D127" s="21" t="str">
        <f t="shared" si="0"/>
        <v>190819</v>
      </c>
      <c r="E127" s="22">
        <f t="shared" si="5"/>
        <v>2.458612</v>
      </c>
      <c r="F127" s="9">
        <v>0</v>
      </c>
      <c r="G127" s="14">
        <f t="shared" si="1"/>
        <v>100.06114242755784</v>
      </c>
      <c r="H127" s="24">
        <f t="shared" si="6"/>
        <v>-169.82572442159949</v>
      </c>
      <c r="I127" s="20">
        <f t="shared" si="2"/>
        <v>10495.935145143616</v>
      </c>
      <c r="J127" s="17">
        <f t="shared" si="7"/>
        <v>1.0495935145143616</v>
      </c>
    </row>
    <row r="128" spans="1:10" ht="12" customHeight="1" x14ac:dyDescent="0.3">
      <c r="A128" s="1">
        <f t="shared" si="3"/>
        <v>43697</v>
      </c>
      <c r="B128" s="20">
        <v>11752.717391304348</v>
      </c>
      <c r="C128" s="20">
        <f t="shared" si="4"/>
        <v>10733.695652173912</v>
      </c>
      <c r="D128" s="21" t="str">
        <f t="shared" si="0"/>
        <v>190820</v>
      </c>
      <c r="E128" s="22">
        <f t="shared" si="5"/>
        <v>2.458612</v>
      </c>
      <c r="F128" s="9">
        <v>0</v>
      </c>
      <c r="G128" s="14">
        <f t="shared" si="1"/>
        <v>100.06107128469534</v>
      </c>
      <c r="H128" s="24">
        <f t="shared" si="6"/>
        <v>-170.5371530465527</v>
      </c>
      <c r="I128" s="20">
        <f t="shared" si="2"/>
        <v>10563.158499127359</v>
      </c>
      <c r="J128" s="17">
        <f t="shared" si="7"/>
        <v>1.0563158499127359</v>
      </c>
    </row>
    <row r="129" spans="1:11" ht="12" customHeight="1" x14ac:dyDescent="0.3">
      <c r="A129" s="1">
        <f t="shared" si="3"/>
        <v>43698</v>
      </c>
      <c r="B129" s="20">
        <v>11820.652173913042</v>
      </c>
      <c r="C129" s="20">
        <f t="shared" si="4"/>
        <v>10801.630434782606</v>
      </c>
      <c r="D129" s="21" t="str">
        <f t="shared" si="0"/>
        <v>190821</v>
      </c>
      <c r="E129" s="22">
        <f t="shared" si="5"/>
        <v>2.458612</v>
      </c>
      <c r="F129" s="9">
        <v>0</v>
      </c>
      <c r="G129" s="14">
        <f t="shared" si="1"/>
        <v>100.06100060839744</v>
      </c>
      <c r="H129" s="24">
        <f t="shared" si="6"/>
        <v>-171.24391602564515</v>
      </c>
      <c r="I129" s="20">
        <f t="shared" si="2"/>
        <v>10630.386518756961</v>
      </c>
      <c r="J129" s="17">
        <f t="shared" si="7"/>
        <v>1.0630386518756962</v>
      </c>
      <c r="K129" s="13"/>
    </row>
    <row r="130" spans="1:11" ht="12" customHeight="1" x14ac:dyDescent="0.3">
      <c r="A130" s="1">
        <f t="shared" si="3"/>
        <v>43699</v>
      </c>
      <c r="B130" s="20">
        <v>11888.586956521738</v>
      </c>
      <c r="C130" s="20">
        <f t="shared" si="4"/>
        <v>10869.565217391302</v>
      </c>
      <c r="D130" s="21" t="str">
        <f t="shared" si="0"/>
        <v>190822</v>
      </c>
      <c r="E130" s="22">
        <f t="shared" si="5"/>
        <v>2.458612</v>
      </c>
      <c r="F130" s="9">
        <v>0</v>
      </c>
      <c r="G130" s="14">
        <f t="shared" si="1"/>
        <v>100.06093039869582</v>
      </c>
      <c r="H130" s="24">
        <f t="shared" si="6"/>
        <v>-171.94601304183266</v>
      </c>
      <c r="I130" s="20">
        <f t="shared" si="2"/>
        <v>10697.61920434947</v>
      </c>
      <c r="J130" s="17">
        <f t="shared" si="7"/>
        <v>1.0697619204349469</v>
      </c>
    </row>
    <row r="131" spans="1:11" ht="12" customHeight="1" x14ac:dyDescent="0.3">
      <c r="A131" s="1">
        <f t="shared" si="3"/>
        <v>43700</v>
      </c>
      <c r="B131" s="20">
        <v>11956.521739130434</v>
      </c>
      <c r="C131" s="20">
        <f t="shared" si="4"/>
        <v>10937.499999999998</v>
      </c>
      <c r="D131" s="21" t="str">
        <f t="shared" si="0"/>
        <v>190823</v>
      </c>
      <c r="E131" s="22">
        <f t="shared" si="5"/>
        <v>2.458612</v>
      </c>
      <c r="F131" s="9">
        <v>0</v>
      </c>
      <c r="G131" s="14">
        <f t="shared" si="1"/>
        <v>100.06086065562218</v>
      </c>
      <c r="H131" s="24">
        <f t="shared" si="6"/>
        <v>-172.6434437782132</v>
      </c>
      <c r="I131" s="20">
        <f t="shared" si="2"/>
        <v>10764.856556221785</v>
      </c>
      <c r="J131" s="17">
        <f t="shared" si="7"/>
        <v>1.0764856556221785</v>
      </c>
    </row>
    <row r="132" spans="1:11" ht="12" customHeight="1" x14ac:dyDescent="0.3">
      <c r="A132" s="1">
        <f t="shared" si="3"/>
        <v>43703</v>
      </c>
      <c r="B132" s="20">
        <v>12160.32608695652</v>
      </c>
      <c r="C132" s="20">
        <f t="shared" si="4"/>
        <v>11141.304347826084</v>
      </c>
      <c r="D132" s="21" t="str">
        <f t="shared" si="0"/>
        <v>190826</v>
      </c>
      <c r="E132" s="22">
        <f t="shared" si="5"/>
        <v>2.458612</v>
      </c>
      <c r="F132" s="9">
        <v>0</v>
      </c>
      <c r="G132" s="14">
        <f t="shared" si="1"/>
        <v>100.06065422648584</v>
      </c>
      <c r="H132" s="24">
        <f t="shared" si="6"/>
        <v>-174.70773514162374</v>
      </c>
      <c r="I132" s="20">
        <f t="shared" si="2"/>
        <v>10966.596612684461</v>
      </c>
      <c r="J132" s="17">
        <f t="shared" si="7"/>
        <v>1.0966596612684461</v>
      </c>
    </row>
    <row r="133" spans="1:11" ht="12" customHeight="1" x14ac:dyDescent="0.3">
      <c r="A133" s="1">
        <f t="shared" si="3"/>
        <v>43704</v>
      </c>
      <c r="B133" s="20">
        <v>12228.260869565218</v>
      </c>
      <c r="C133" s="20">
        <f t="shared" si="4"/>
        <v>11209.239130434782</v>
      </c>
      <c r="D133" s="21" t="str">
        <f t="shared" si="0"/>
        <v>190827</v>
      </c>
      <c r="E133" s="22">
        <f t="shared" si="5"/>
        <v>2.458612</v>
      </c>
      <c r="F133" s="9">
        <v>0</v>
      </c>
      <c r="G133" s="14">
        <f t="shared" si="1"/>
        <v>100.06058635024083</v>
      </c>
      <c r="H133" s="24">
        <f t="shared" si="6"/>
        <v>-175.38649759174518</v>
      </c>
      <c r="I133" s="20">
        <f t="shared" si="2"/>
        <v>11033.852632843036</v>
      </c>
      <c r="J133" s="17">
        <f t="shared" si="7"/>
        <v>1.1033852632843038</v>
      </c>
    </row>
    <row r="134" spans="1:11" ht="12" customHeight="1" x14ac:dyDescent="0.3">
      <c r="A134" s="1">
        <f t="shared" si="3"/>
        <v>43705</v>
      </c>
      <c r="B134" s="20">
        <v>12296.195652173914</v>
      </c>
      <c r="C134" s="20">
        <f t="shared" si="4"/>
        <v>11277.173913043478</v>
      </c>
      <c r="D134" s="21" t="str">
        <f t="shared" si="0"/>
        <v>190828</v>
      </c>
      <c r="E134" s="22">
        <f t="shared" si="5"/>
        <v>2.458612</v>
      </c>
      <c r="F134" s="9">
        <v>0</v>
      </c>
      <c r="G134" s="14">
        <f t="shared" si="1"/>
        <v>100.0605189407822</v>
      </c>
      <c r="H134" s="24">
        <f t="shared" si="6"/>
        <v>-176.06059217797562</v>
      </c>
      <c r="I134" s="20">
        <f t="shared" si="2"/>
        <v>11101.113320865503</v>
      </c>
      <c r="J134" s="17">
        <f t="shared" si="7"/>
        <v>1.1101113320865503</v>
      </c>
    </row>
    <row r="135" spans="1:11" ht="12" customHeight="1" x14ac:dyDescent="0.3">
      <c r="A135" s="1">
        <f t="shared" si="3"/>
        <v>43706</v>
      </c>
      <c r="B135" s="20">
        <v>12364.130434782608</v>
      </c>
      <c r="C135" s="20">
        <f t="shared" si="4"/>
        <v>11345.108695652172</v>
      </c>
      <c r="D135" s="21" t="str">
        <f t="shared" si="0"/>
        <v>190829</v>
      </c>
      <c r="E135" s="22">
        <f t="shared" si="5"/>
        <v>2.458612</v>
      </c>
      <c r="F135" s="9">
        <v>0</v>
      </c>
      <c r="G135" s="14">
        <f t="shared" si="1"/>
        <v>100.06045199814162</v>
      </c>
      <c r="H135" s="24">
        <f t="shared" si="6"/>
        <v>-176.73001858383941</v>
      </c>
      <c r="I135" s="20">
        <f t="shared" si="2"/>
        <v>11168.378677068333</v>
      </c>
      <c r="J135" s="17">
        <f t="shared" si="7"/>
        <v>1.1168378677068334</v>
      </c>
    </row>
    <row r="136" spans="1:11" ht="12" customHeight="1" x14ac:dyDescent="0.3">
      <c r="A136" s="1">
        <f t="shared" si="3"/>
        <v>43707</v>
      </c>
      <c r="B136" s="20">
        <v>12432.065217391304</v>
      </c>
      <c r="C136" s="20">
        <f t="shared" si="4"/>
        <v>11413.043478260868</v>
      </c>
      <c r="D136" s="21" t="str">
        <f t="shared" si="0"/>
        <v>190830</v>
      </c>
      <c r="E136" s="22">
        <f t="shared" si="5"/>
        <v>2.458612</v>
      </c>
      <c r="F136" s="9">
        <v>0</v>
      </c>
      <c r="G136" s="14">
        <f t="shared" si="1"/>
        <v>100.06038552235076</v>
      </c>
      <c r="H136" s="24">
        <f t="shared" si="6"/>
        <v>-177.3947764924344</v>
      </c>
      <c r="I136" s="20">
        <f t="shared" si="2"/>
        <v>11235.648701768434</v>
      </c>
      <c r="J136" s="17">
        <f t="shared" si="7"/>
        <v>1.1235648701768435</v>
      </c>
    </row>
    <row r="137" spans="1:11" ht="12" customHeight="1" x14ac:dyDescent="0.3">
      <c r="A137" s="1">
        <f t="shared" si="3"/>
        <v>43710</v>
      </c>
      <c r="B137" s="20">
        <v>137.36263736263737</v>
      </c>
      <c r="C137" s="20">
        <f t="shared" si="4"/>
        <v>11618.340898232202</v>
      </c>
      <c r="D137" s="21" t="str">
        <f t="shared" si="0"/>
        <v>190902</v>
      </c>
      <c r="E137" s="22">
        <f t="shared" si="5"/>
        <v>2.458612</v>
      </c>
      <c r="F137" s="9">
        <v>0</v>
      </c>
      <c r="G137" s="14">
        <f t="shared" si="1"/>
        <v>100.06028229059568</v>
      </c>
      <c r="H137" s="24">
        <f t="shared" si="6"/>
        <v>-178.4270940432009</v>
      </c>
      <c r="I137" s="20">
        <f t="shared" si="2"/>
        <v>11439.913804189</v>
      </c>
      <c r="J137" s="17">
        <f t="shared" si="7"/>
        <v>1.1439913804188999</v>
      </c>
    </row>
    <row r="138" spans="1:11" ht="12" customHeight="1" x14ac:dyDescent="0.3">
      <c r="A138" s="1">
        <f t="shared" si="3"/>
        <v>43711</v>
      </c>
      <c r="B138" s="20">
        <v>206.04395604395603</v>
      </c>
      <c r="C138" s="20">
        <f t="shared" si="4"/>
        <v>11687.02221691352</v>
      </c>
      <c r="D138" s="21" t="str">
        <f t="shared" si="0"/>
        <v>190903</v>
      </c>
      <c r="E138" s="22">
        <f t="shared" si="5"/>
        <v>2.458612</v>
      </c>
      <c r="F138" s="9">
        <v>0</v>
      </c>
      <c r="G138" s="14">
        <f t="shared" si="1"/>
        <v>100.06013095239184</v>
      </c>
      <c r="H138" s="24">
        <f t="shared" si="6"/>
        <v>-179.94047608155483</v>
      </c>
      <c r="I138" s="20">
        <f t="shared" si="2"/>
        <v>11507.081740831965</v>
      </c>
      <c r="J138" s="17">
        <f t="shared" si="7"/>
        <v>1.1507081740831966</v>
      </c>
    </row>
    <row r="139" spans="1:11" ht="12" customHeight="1" x14ac:dyDescent="0.3">
      <c r="A139" s="1">
        <f t="shared" si="3"/>
        <v>43712</v>
      </c>
      <c r="B139" s="20">
        <v>274.72527472527474</v>
      </c>
      <c r="C139" s="20">
        <f t="shared" si="4"/>
        <v>11755.703535594837</v>
      </c>
      <c r="D139" s="21" t="str">
        <f t="shared" si="0"/>
        <v>190904</v>
      </c>
      <c r="E139" s="22">
        <f t="shared" si="5"/>
        <v>2.458612</v>
      </c>
      <c r="F139" s="9">
        <v>0</v>
      </c>
      <c r="G139" s="14">
        <f t="shared" si="1"/>
        <v>100.05998007530893</v>
      </c>
      <c r="H139" s="24">
        <f t="shared" si="6"/>
        <v>-181.44924691071651</v>
      </c>
      <c r="I139" s="20">
        <f t="shared" si="2"/>
        <v>11574.25428868412</v>
      </c>
      <c r="J139" s="17">
        <f t="shared" si="7"/>
        <v>1.157425428868412</v>
      </c>
    </row>
    <row r="140" spans="1:11" ht="12" customHeight="1" x14ac:dyDescent="0.3">
      <c r="A140" s="1">
        <f t="shared" si="3"/>
        <v>43713</v>
      </c>
      <c r="B140" s="20">
        <v>343.40659340659346</v>
      </c>
      <c r="C140" s="20">
        <f t="shared" si="4"/>
        <v>11824.384854276155</v>
      </c>
      <c r="D140" s="21" t="str">
        <f t="shared" si="0"/>
        <v>190905</v>
      </c>
      <c r="E140" s="22">
        <f t="shared" si="5"/>
        <v>2.458612</v>
      </c>
      <c r="F140" s="9">
        <v>0</v>
      </c>
      <c r="G140" s="14">
        <f t="shared" si="1"/>
        <v>100.05982965937821</v>
      </c>
      <c r="H140" s="24">
        <f t="shared" si="6"/>
        <v>-182.95340621790498</v>
      </c>
      <c r="I140" s="20">
        <f t="shared" si="2"/>
        <v>11641.431448058251</v>
      </c>
      <c r="J140" s="17">
        <f t="shared" si="7"/>
        <v>1.164143144805825</v>
      </c>
    </row>
    <row r="141" spans="1:11" ht="12" customHeight="1" x14ac:dyDescent="0.3">
      <c r="A141" s="1">
        <f t="shared" si="3"/>
        <v>43714</v>
      </c>
      <c r="B141" s="20">
        <v>412.08791208791206</v>
      </c>
      <c r="C141" s="20">
        <f t="shared" si="4"/>
        <v>11893.066172957473</v>
      </c>
      <c r="D141" s="21" t="str">
        <f t="shared" si="0"/>
        <v>190906</v>
      </c>
      <c r="E141" s="22">
        <f t="shared" si="5"/>
        <v>2.458612</v>
      </c>
      <c r="F141" s="9">
        <v>0</v>
      </c>
      <c r="G141" s="14">
        <f t="shared" si="1"/>
        <v>100.05967970463099</v>
      </c>
      <c r="H141" s="24">
        <f t="shared" si="6"/>
        <v>-184.45295369005521</v>
      </c>
      <c r="I141" s="20">
        <f t="shared" si="2"/>
        <v>11708.613219267418</v>
      </c>
      <c r="J141" s="17">
        <f t="shared" si="7"/>
        <v>1.1708613219267419</v>
      </c>
    </row>
    <row r="142" spans="1:11" ht="12" customHeight="1" x14ac:dyDescent="0.3">
      <c r="A142" s="1">
        <f t="shared" si="3"/>
        <v>43717</v>
      </c>
      <c r="B142" s="20">
        <v>618.13186813186815</v>
      </c>
      <c r="C142" s="20">
        <f t="shared" si="4"/>
        <v>12099.110129001429</v>
      </c>
      <c r="D142" s="21" t="str">
        <f t="shared" si="0"/>
        <v>190909</v>
      </c>
      <c r="E142" s="22">
        <f t="shared" si="5"/>
        <v>2.458612</v>
      </c>
      <c r="F142" s="9">
        <v>0</v>
      </c>
      <c r="G142" s="14">
        <f t="shared" si="1"/>
        <v>100.05923260780352</v>
      </c>
      <c r="H142" s="24">
        <f t="shared" si="6"/>
        <v>-188.92392196477201</v>
      </c>
      <c r="I142" s="20">
        <f t="shared" si="2"/>
        <v>11910.186207036657</v>
      </c>
      <c r="J142" s="17">
        <f t="shared" si="7"/>
        <v>1.1910186207036657</v>
      </c>
    </row>
    <row r="143" spans="1:11" ht="12" customHeight="1" x14ac:dyDescent="0.3">
      <c r="A143" s="1">
        <f t="shared" si="3"/>
        <v>43718</v>
      </c>
      <c r="B143" s="20">
        <v>686.81318681318692</v>
      </c>
      <c r="C143" s="20">
        <f t="shared" si="4"/>
        <v>12167.791447682746</v>
      </c>
      <c r="D143" s="21" t="str">
        <f t="shared" si="0"/>
        <v>190910</v>
      </c>
      <c r="E143" s="22">
        <f t="shared" si="5"/>
        <v>2.458612</v>
      </c>
      <c r="F143" s="9">
        <v>0</v>
      </c>
      <c r="G143" s="14">
        <f t="shared" si="1"/>
        <v>100.05908449810342</v>
      </c>
      <c r="H143" s="24">
        <f t="shared" si="6"/>
        <v>-190.40501896583351</v>
      </c>
      <c r="I143" s="20">
        <f t="shared" si="2"/>
        <v>11977.386428716913</v>
      </c>
      <c r="J143" s="17">
        <f t="shared" si="7"/>
        <v>1.1977386428716912</v>
      </c>
    </row>
    <row r="144" spans="1:11" ht="12" customHeight="1" x14ac:dyDescent="0.3">
      <c r="A144" s="1">
        <f t="shared" si="3"/>
        <v>43719</v>
      </c>
      <c r="B144" s="20">
        <v>755.49450549450546</v>
      </c>
      <c r="C144" s="20">
        <f t="shared" si="4"/>
        <v>12236.472766364064</v>
      </c>
      <c r="D144" s="21" t="str">
        <f t="shared" si="0"/>
        <v>190911</v>
      </c>
      <c r="E144" s="22">
        <f t="shared" si="5"/>
        <v>2.458612</v>
      </c>
      <c r="F144" s="9">
        <v>0</v>
      </c>
      <c r="G144" s="14">
        <f t="shared" si="1"/>
        <v>100.0589368497434</v>
      </c>
      <c r="H144" s="24">
        <f t="shared" si="6"/>
        <v>-191.88150256596259</v>
      </c>
      <c r="I144" s="20">
        <f t="shared" si="2"/>
        <v>12044.591263798102</v>
      </c>
      <c r="J144" s="17">
        <f t="shared" si="7"/>
        <v>1.2044591263798101</v>
      </c>
    </row>
    <row r="145" spans="1:10" ht="12" customHeight="1" x14ac:dyDescent="0.3">
      <c r="A145" s="1">
        <f t="shared" si="3"/>
        <v>43720</v>
      </c>
      <c r="B145" s="20">
        <v>824.17582417582412</v>
      </c>
      <c r="C145" s="20">
        <f t="shared" si="4"/>
        <v>12305.154085045382</v>
      </c>
      <c r="D145" s="21" t="str">
        <f t="shared" si="0"/>
        <v>190912</v>
      </c>
      <c r="E145" s="22">
        <f t="shared" si="5"/>
        <v>2.458612</v>
      </c>
      <c r="F145" s="9">
        <v>0</v>
      </c>
      <c r="G145" s="14">
        <f t="shared" si="1"/>
        <v>100.05878966275476</v>
      </c>
      <c r="H145" s="24">
        <f t="shared" si="6"/>
        <v>-193.35337245237838</v>
      </c>
      <c r="I145" s="20">
        <f t="shared" si="2"/>
        <v>12111.800712593003</v>
      </c>
      <c r="J145" s="17">
        <f t="shared" si="7"/>
        <v>1.2111800712593002</v>
      </c>
    </row>
    <row r="146" spans="1:10" ht="12" customHeight="1" x14ac:dyDescent="0.3">
      <c r="A146" s="1">
        <f t="shared" si="3"/>
        <v>43721</v>
      </c>
      <c r="B146" s="20">
        <v>892.85714285714278</v>
      </c>
      <c r="C146" s="20">
        <f t="shared" si="4"/>
        <v>12373.8354037267</v>
      </c>
      <c r="D146" s="21" t="str">
        <f t="shared" si="0"/>
        <v>190913</v>
      </c>
      <c r="E146" s="22">
        <f t="shared" si="5"/>
        <v>2.458612</v>
      </c>
      <c r="F146" s="9">
        <v>0</v>
      </c>
      <c r="G146" s="14">
        <f t="shared" si="1"/>
        <v>100.0586429371688</v>
      </c>
      <c r="H146" s="24">
        <f t="shared" si="6"/>
        <v>-194.82062831201577</v>
      </c>
      <c r="I146" s="20">
        <f t="shared" si="2"/>
        <v>12179.014775414684</v>
      </c>
      <c r="J146" s="17">
        <f t="shared" si="7"/>
        <v>1.2179014775414685</v>
      </c>
    </row>
    <row r="147" spans="1:10" ht="12" customHeight="1" x14ac:dyDescent="0.3">
      <c r="A147" s="1">
        <f t="shared" si="3"/>
        <v>43724</v>
      </c>
      <c r="B147" s="20">
        <v>1098.901098901099</v>
      </c>
      <c r="C147" s="20">
        <f t="shared" si="4"/>
        <v>12579.879359770655</v>
      </c>
      <c r="D147" s="21" t="str">
        <f t="shared" si="0"/>
        <v>190916</v>
      </c>
      <c r="E147" s="22">
        <f t="shared" si="5"/>
        <v>2.458612</v>
      </c>
      <c r="F147" s="9">
        <v>0</v>
      </c>
      <c r="G147" s="14">
        <f t="shared" si="1"/>
        <v>100.05820552914027</v>
      </c>
      <c r="H147" s="24">
        <f t="shared" si="6"/>
        <v>-199.19470859733224</v>
      </c>
      <c r="I147" s="20">
        <f t="shared" si="2"/>
        <v>12380.684651173324</v>
      </c>
      <c r="J147" s="17">
        <f t="shared" si="7"/>
        <v>1.2380684651173324</v>
      </c>
    </row>
    <row r="148" spans="1:10" ht="12" customHeight="1" x14ac:dyDescent="0.3">
      <c r="A148" s="1">
        <f t="shared" si="3"/>
        <v>43725</v>
      </c>
      <c r="B148" s="20">
        <v>1167.5824175824175</v>
      </c>
      <c r="C148" s="20">
        <f t="shared" si="4"/>
        <v>12648.560678451973</v>
      </c>
      <c r="D148" s="21" t="str">
        <f t="shared" si="0"/>
        <v>190917</v>
      </c>
      <c r="E148" s="22">
        <f t="shared" si="5"/>
        <v>2.458612</v>
      </c>
      <c r="F148" s="9">
        <v>0</v>
      </c>
      <c r="G148" s="14">
        <f t="shared" si="1"/>
        <v>100.05806064947831</v>
      </c>
      <c r="H148" s="24">
        <f t="shared" si="6"/>
        <v>-200.64350521693086</v>
      </c>
      <c r="I148" s="20">
        <f t="shared" si="2"/>
        <v>12447.917173235042</v>
      </c>
      <c r="J148" s="17">
        <f t="shared" si="7"/>
        <v>1.2447917173235041</v>
      </c>
    </row>
    <row r="149" spans="1:10" ht="12" customHeight="1" x14ac:dyDescent="0.3">
      <c r="A149" s="1">
        <f t="shared" si="3"/>
        <v>43726</v>
      </c>
      <c r="B149" s="20">
        <v>1236.2637362637363</v>
      </c>
      <c r="C149" s="20">
        <f t="shared" si="4"/>
        <v>12717.241997133293</v>
      </c>
      <c r="D149" s="21" t="str">
        <f t="shared" si="0"/>
        <v>190918</v>
      </c>
      <c r="E149" s="22">
        <f t="shared" si="5"/>
        <v>2.458612</v>
      </c>
      <c r="F149" s="9">
        <v>0</v>
      </c>
      <c r="G149" s="14">
        <f t="shared" si="1"/>
        <v>100.05791623137564</v>
      </c>
      <c r="H149" s="24">
        <f t="shared" si="6"/>
        <v>-202.08768624357276</v>
      </c>
      <c r="I149" s="20">
        <f t="shared" si="2"/>
        <v>12515.15431088972</v>
      </c>
      <c r="J149" s="17">
        <f t="shared" si="7"/>
        <v>1.251515431088972</v>
      </c>
    </row>
    <row r="150" spans="1:10" ht="12" customHeight="1" x14ac:dyDescent="0.3">
      <c r="A150" s="1">
        <f t="shared" si="3"/>
        <v>43727</v>
      </c>
      <c r="B150" s="20">
        <v>1304.9450549450551</v>
      </c>
      <c r="C150" s="20">
        <f t="shared" si="4"/>
        <v>12785.923315814613</v>
      </c>
      <c r="D150" s="21" t="str">
        <f t="shared" si="0"/>
        <v>190919</v>
      </c>
      <c r="E150" s="22">
        <f t="shared" si="5"/>
        <v>2.458612</v>
      </c>
      <c r="F150" s="9">
        <v>0</v>
      </c>
      <c r="G150" s="14">
        <f t="shared" si="1"/>
        <v>100.05777227486364</v>
      </c>
      <c r="H150" s="24">
        <f t="shared" si="6"/>
        <v>-203.52725136362437</v>
      </c>
      <c r="I150" s="20">
        <f t="shared" si="2"/>
        <v>12582.396064450988</v>
      </c>
      <c r="J150" s="17">
        <f t="shared" si="7"/>
        <v>1.2582396064450987</v>
      </c>
    </row>
    <row r="151" spans="1:10" ht="12" customHeight="1" x14ac:dyDescent="0.3">
      <c r="A151" s="1">
        <f t="shared" si="3"/>
        <v>43728</v>
      </c>
      <c r="B151" s="20">
        <v>1373.6263736263738</v>
      </c>
      <c r="C151" s="20">
        <f t="shared" si="4"/>
        <v>12854.604634495932</v>
      </c>
      <c r="D151" s="21" t="str">
        <f t="shared" si="0"/>
        <v>190920</v>
      </c>
      <c r="E151" s="22">
        <f t="shared" si="5"/>
        <v>2.458612</v>
      </c>
      <c r="F151" s="9">
        <v>0</v>
      </c>
      <c r="G151" s="14">
        <f t="shared" si="1"/>
        <v>100.05762877997361</v>
      </c>
      <c r="H151" s="24">
        <f t="shared" si="6"/>
        <v>-204.96220026387849</v>
      </c>
      <c r="I151" s="20">
        <f t="shared" si="2"/>
        <v>12649.642434232053</v>
      </c>
      <c r="J151" s="17">
        <f t="shared" si="7"/>
        <v>1.2649642434232053</v>
      </c>
    </row>
    <row r="152" spans="1:10" ht="12" customHeight="1" x14ac:dyDescent="0.3">
      <c r="A152" s="1">
        <f t="shared" si="3"/>
        <v>43731</v>
      </c>
      <c r="B152" s="20">
        <v>1579.6703296703295</v>
      </c>
      <c r="C152" s="20">
        <f t="shared" si="4"/>
        <v>13060.648590539888</v>
      </c>
      <c r="D152" s="21" t="str">
        <f t="shared" si="0"/>
        <v>190923</v>
      </c>
      <c r="E152" s="22">
        <f t="shared" si="5"/>
        <v>2.458612</v>
      </c>
      <c r="F152" s="9">
        <v>0</v>
      </c>
      <c r="G152" s="14">
        <f t="shared" si="1"/>
        <v>100.05720106534876</v>
      </c>
      <c r="H152" s="24">
        <f t="shared" si="6"/>
        <v>-209.23934651236209</v>
      </c>
      <c r="I152" s="20">
        <f t="shared" si="2"/>
        <v>12851.409244027525</v>
      </c>
      <c r="J152" s="17">
        <f t="shared" si="7"/>
        <v>1.2851409244027525</v>
      </c>
    </row>
    <row r="153" spans="1:10" ht="12" customHeight="1" x14ac:dyDescent="0.3">
      <c r="A153" s="1">
        <f t="shared" si="3"/>
        <v>43732</v>
      </c>
      <c r="B153" s="20">
        <v>1648.3516483516482</v>
      </c>
      <c r="C153" s="20">
        <f t="shared" si="4"/>
        <v>13129.329909221207</v>
      </c>
      <c r="D153" s="21" t="str">
        <f t="shared" si="0"/>
        <v>190924</v>
      </c>
      <c r="E153" s="22">
        <f t="shared" si="5"/>
        <v>2.458612</v>
      </c>
      <c r="F153" s="9">
        <v>0</v>
      </c>
      <c r="G153" s="14">
        <f t="shared" si="1"/>
        <v>100.05705941726004</v>
      </c>
      <c r="H153" s="24">
        <f t="shared" si="6"/>
        <v>-210.65582739964842</v>
      </c>
      <c r="I153" s="20">
        <f t="shared" si="2"/>
        <v>12918.674081821559</v>
      </c>
      <c r="J153" s="17">
        <f t="shared" si="7"/>
        <v>1.2918674081821557</v>
      </c>
    </row>
    <row r="154" spans="1:10" ht="12" customHeight="1" x14ac:dyDescent="0.3">
      <c r="A154" s="1">
        <f t="shared" si="3"/>
        <v>43733</v>
      </c>
      <c r="B154" s="20">
        <v>1717.0329670329672</v>
      </c>
      <c r="C154" s="20">
        <f t="shared" si="4"/>
        <v>13198.011227902527</v>
      </c>
      <c r="D154" s="21" t="str">
        <f t="shared" si="0"/>
        <v>190925</v>
      </c>
      <c r="E154" s="22">
        <f t="shared" si="5"/>
        <v>2.458612</v>
      </c>
      <c r="F154" s="9">
        <v>0</v>
      </c>
      <c r="G154" s="14">
        <f t="shared" si="1"/>
        <v>100.05691823094998</v>
      </c>
      <c r="H154" s="24">
        <f t="shared" si="6"/>
        <v>-212.06769050024832</v>
      </c>
      <c r="I154" s="20">
        <f t="shared" si="2"/>
        <v>12985.94353740228</v>
      </c>
      <c r="J154" s="17">
        <f t="shared" si="7"/>
        <v>1.298594353740228</v>
      </c>
    </row>
    <row r="155" spans="1:10" ht="12" customHeight="1" x14ac:dyDescent="0.3">
      <c r="A155" s="1">
        <f t="shared" si="3"/>
        <v>43734</v>
      </c>
      <c r="B155" s="20">
        <v>1785.7142857142856</v>
      </c>
      <c r="C155" s="20">
        <f t="shared" si="4"/>
        <v>13266.692546583845</v>
      </c>
      <c r="D155" s="21" t="str">
        <f t="shared" si="0"/>
        <v>190926</v>
      </c>
      <c r="E155" s="22">
        <f t="shared" si="5"/>
        <v>2.458612</v>
      </c>
      <c r="F155" s="9">
        <v>0</v>
      </c>
      <c r="G155" s="14">
        <f t="shared" si="1"/>
        <v>100.05677750644995</v>
      </c>
      <c r="H155" s="24">
        <f t="shared" si="6"/>
        <v>-213.47493550052829</v>
      </c>
      <c r="I155" s="20">
        <f t="shared" si="2"/>
        <v>13053.217611083317</v>
      </c>
      <c r="J155" s="17">
        <f t="shared" si="7"/>
        <v>1.3053217611083316</v>
      </c>
    </row>
    <row r="156" spans="1:10" ht="12" customHeight="1" x14ac:dyDescent="0.3">
      <c r="A156" s="1">
        <f t="shared" si="3"/>
        <v>43735</v>
      </c>
      <c r="B156" s="20">
        <v>1854.3956043956046</v>
      </c>
      <c r="C156" s="20">
        <f t="shared" si="4"/>
        <v>13335.373865265165</v>
      </c>
      <c r="D156" s="21" t="str">
        <f t="shared" si="0"/>
        <v>190927</v>
      </c>
      <c r="E156" s="22">
        <f t="shared" si="5"/>
        <v>2.458612</v>
      </c>
      <c r="F156" s="9">
        <v>0</v>
      </c>
      <c r="G156" s="14">
        <f t="shared" si="1"/>
        <v>100.05663724379129</v>
      </c>
      <c r="H156" s="24">
        <f t="shared" si="6"/>
        <v>-214.87756208713904</v>
      </c>
      <c r="I156" s="20">
        <f t="shared" si="2"/>
        <v>13120.496303178026</v>
      </c>
      <c r="J156" s="17">
        <f t="shared" si="7"/>
        <v>1.3120496303178026</v>
      </c>
    </row>
    <row r="157" spans="1:10" ht="12" customHeight="1" x14ac:dyDescent="0.3">
      <c r="A157" s="1">
        <f t="shared" si="3"/>
        <v>43738</v>
      </c>
      <c r="B157" s="20">
        <v>2060.4395604395604</v>
      </c>
      <c r="C157" s="20">
        <f t="shared" si="4"/>
        <v>13541.41782130912</v>
      </c>
      <c r="D157" s="21" t="str">
        <f t="shared" si="0"/>
        <v>190930</v>
      </c>
      <c r="E157" s="22">
        <f t="shared" si="5"/>
        <v>2.458612</v>
      </c>
      <c r="F157" s="9">
        <v>0</v>
      </c>
      <c r="G157" s="14">
        <f t="shared" si="1"/>
        <v>100.05621922717705</v>
      </c>
      <c r="H157" s="24">
        <f t="shared" si="6"/>
        <v>-219.05772822947256</v>
      </c>
      <c r="I157" s="20">
        <f t="shared" si="2"/>
        <v>13322.360093079647</v>
      </c>
      <c r="J157" s="17">
        <f t="shared" si="7"/>
        <v>1.3322360093079648</v>
      </c>
    </row>
    <row r="158" spans="1:10" ht="12" customHeight="1" x14ac:dyDescent="0.3">
      <c r="A158" s="1">
        <f t="shared" si="3"/>
        <v>43739</v>
      </c>
      <c r="B158" s="20">
        <v>2129.1208791208792</v>
      </c>
      <c r="C158" s="20">
        <f t="shared" si="4"/>
        <v>13610.099139990438</v>
      </c>
      <c r="D158" s="21" t="str">
        <f t="shared" si="0"/>
        <v>191001</v>
      </c>
      <c r="E158" s="22">
        <f t="shared" si="5"/>
        <v>2.458612</v>
      </c>
      <c r="F158" s="9">
        <v>0</v>
      </c>
      <c r="G158" s="14">
        <f t="shared" si="1"/>
        <v>100.05608081219741</v>
      </c>
      <c r="H158" s="24">
        <f t="shared" si="6"/>
        <v>-220.44187802592319</v>
      </c>
      <c r="I158" s="20">
        <f t="shared" si="2"/>
        <v>13389.657261964514</v>
      </c>
      <c r="J158" s="17">
        <f t="shared" si="7"/>
        <v>1.3389657261964514</v>
      </c>
    </row>
    <row r="159" spans="1:10" ht="12" customHeight="1" x14ac:dyDescent="0.3">
      <c r="A159" s="1">
        <f t="shared" si="3"/>
        <v>43740</v>
      </c>
      <c r="B159" s="20">
        <v>2197.802197802198</v>
      </c>
      <c r="C159" s="20">
        <f t="shared" si="4"/>
        <v>13678.780458671758</v>
      </c>
      <c r="D159" s="21" t="str">
        <f t="shared" si="0"/>
        <v>191002</v>
      </c>
      <c r="E159" s="22">
        <f t="shared" si="5"/>
        <v>2.458612</v>
      </c>
      <c r="F159" s="9">
        <v>0</v>
      </c>
      <c r="G159" s="14">
        <f t="shared" si="1"/>
        <v>100.05594285921586</v>
      </c>
      <c r="H159" s="24">
        <f t="shared" si="6"/>
        <v>-221.82140784138937</v>
      </c>
      <c r="I159" s="20">
        <f t="shared" si="2"/>
        <v>13456.959050830368</v>
      </c>
      <c r="J159" s="17">
        <f t="shared" si="7"/>
        <v>1.3456959050830368</v>
      </c>
    </row>
    <row r="160" spans="1:10" ht="12" customHeight="1" x14ac:dyDescent="0.3">
      <c r="A160" s="1">
        <f t="shared" si="3"/>
        <v>43741</v>
      </c>
      <c r="B160" s="20">
        <v>2266.4835164835163</v>
      </c>
      <c r="C160" s="20">
        <f t="shared" si="4"/>
        <v>13747.461777353075</v>
      </c>
      <c r="D160" s="21" t="str">
        <f t="shared" si="0"/>
        <v>191003</v>
      </c>
      <c r="E160" s="22">
        <f t="shared" si="5"/>
        <v>2.458612</v>
      </c>
      <c r="F160" s="9">
        <v>0</v>
      </c>
      <c r="G160" s="14">
        <f t="shared" si="1"/>
        <v>100.05580536826386</v>
      </c>
      <c r="H160" s="24">
        <f t="shared" si="6"/>
        <v>-223.1963173613849</v>
      </c>
      <c r="I160" s="20">
        <f t="shared" si="2"/>
        <v>13524.26545999169</v>
      </c>
      <c r="J160" s="17">
        <f t="shared" si="7"/>
        <v>1.3524265459991689</v>
      </c>
    </row>
    <row r="161" spans="1:10" ht="12" customHeight="1" x14ac:dyDescent="0.3">
      <c r="A161" s="1">
        <f t="shared" si="3"/>
        <v>43742</v>
      </c>
      <c r="B161" s="20">
        <v>2335.164835164835</v>
      </c>
      <c r="C161" s="20">
        <f t="shared" si="4"/>
        <v>13816.143096034393</v>
      </c>
      <c r="D161" s="21" t="str">
        <f t="shared" si="0"/>
        <v>191004</v>
      </c>
      <c r="E161" s="22">
        <f t="shared" si="5"/>
        <v>2.458612</v>
      </c>
      <c r="F161" s="9">
        <v>0</v>
      </c>
      <c r="G161" s="14">
        <f t="shared" si="1"/>
        <v>100.05566833937272</v>
      </c>
      <c r="H161" s="24">
        <f t="shared" si="6"/>
        <v>-224.56660627284467</v>
      </c>
      <c r="I161" s="20">
        <f t="shared" si="2"/>
        <v>13591.576489761548</v>
      </c>
      <c r="J161" s="17">
        <f t="shared" si="7"/>
        <v>1.3591576489761548</v>
      </c>
    </row>
    <row r="162" spans="1:10" ht="12" customHeight="1" x14ac:dyDescent="0.3">
      <c r="A162" s="1">
        <f t="shared" si="3"/>
        <v>43745</v>
      </c>
      <c r="B162" s="20">
        <v>2541.2087912087909</v>
      </c>
      <c r="C162" s="20">
        <f t="shared" si="4"/>
        <v>14022.187052078349</v>
      </c>
      <c r="D162" s="21" t="str">
        <f t="shared" si="0"/>
        <v>191007</v>
      </c>
      <c r="E162" s="22">
        <f t="shared" si="5"/>
        <v>2.458612</v>
      </c>
      <c r="F162" s="9">
        <v>0</v>
      </c>
      <c r="G162" s="14">
        <f t="shared" si="1"/>
        <v>100.05526002537815</v>
      </c>
      <c r="H162" s="24">
        <f t="shared" si="6"/>
        <v>-228.64974621853659</v>
      </c>
      <c r="I162" s="20">
        <f t="shared" si="2"/>
        <v>13793.537305859812</v>
      </c>
      <c r="J162" s="17">
        <f t="shared" si="7"/>
        <v>1.3793537305859813</v>
      </c>
    </row>
    <row r="163" spans="1:10" ht="12" customHeight="1" x14ac:dyDescent="0.3">
      <c r="A163" s="1">
        <f t="shared" si="3"/>
        <v>43746</v>
      </c>
      <c r="B163" s="20">
        <v>2609.8901098901101</v>
      </c>
      <c r="C163" s="20">
        <f t="shared" si="4"/>
        <v>14090.868370759668</v>
      </c>
      <c r="D163" s="21" t="str">
        <f t="shared" si="0"/>
        <v>191008</v>
      </c>
      <c r="E163" s="22">
        <f t="shared" si="5"/>
        <v>2.458612</v>
      </c>
      <c r="F163" s="9">
        <v>0</v>
      </c>
      <c r="G163" s="14">
        <f t="shared" si="1"/>
        <v>100.05512484504415</v>
      </c>
      <c r="H163" s="24">
        <f t="shared" si="6"/>
        <v>-230.00154955852281</v>
      </c>
      <c r="I163" s="20">
        <f t="shared" si="2"/>
        <v>13860.866821201145</v>
      </c>
      <c r="J163" s="17">
        <f t="shared" si="7"/>
        <v>1.3860866821201145</v>
      </c>
    </row>
    <row r="164" spans="1:10" ht="12" customHeight="1" x14ac:dyDescent="0.3">
      <c r="A164" s="1">
        <f t="shared" si="3"/>
        <v>43747</v>
      </c>
      <c r="B164" s="20">
        <v>2678.5714285714284</v>
      </c>
      <c r="C164" s="20">
        <f t="shared" si="4"/>
        <v>14159.549689440986</v>
      </c>
      <c r="D164" s="21" t="str">
        <f t="shared" si="0"/>
        <v>191009</v>
      </c>
      <c r="E164" s="22">
        <f t="shared" si="5"/>
        <v>2.458612</v>
      </c>
      <c r="F164" s="9">
        <v>0</v>
      </c>
      <c r="G164" s="14">
        <f t="shared" si="1"/>
        <v>100.05499012692786</v>
      </c>
      <c r="H164" s="24">
        <f t="shared" si="6"/>
        <v>-231.34873072137907</v>
      </c>
      <c r="I164" s="20">
        <f t="shared" si="2"/>
        <v>13928.200958719608</v>
      </c>
      <c r="J164" s="17">
        <f t="shared" si="7"/>
        <v>1.392820095871961</v>
      </c>
    </row>
    <row r="165" spans="1:10" ht="12" customHeight="1" x14ac:dyDescent="0.3">
      <c r="A165" s="1">
        <f t="shared" si="3"/>
        <v>43748</v>
      </c>
      <c r="B165" s="20">
        <v>2747.2527472527477</v>
      </c>
      <c r="C165" s="20">
        <f t="shared" si="4"/>
        <v>14228.231008122306</v>
      </c>
      <c r="D165" s="21" t="str">
        <f t="shared" si="0"/>
        <v>191010</v>
      </c>
      <c r="E165" s="22">
        <f t="shared" si="5"/>
        <v>2.458612</v>
      </c>
      <c r="F165" s="9">
        <v>0</v>
      </c>
      <c r="G165" s="14">
        <f t="shared" si="1"/>
        <v>100.05485587106065</v>
      </c>
      <c r="H165" s="24">
        <f t="shared" si="6"/>
        <v>-232.69128939347181</v>
      </c>
      <c r="I165" s="20">
        <f t="shared" si="2"/>
        <v>13995.539718728834</v>
      </c>
      <c r="J165" s="17">
        <f t="shared" si="7"/>
        <v>1.3995539718728836</v>
      </c>
    </row>
    <row r="166" spans="1:10" ht="12" customHeight="1" x14ac:dyDescent="0.3">
      <c r="A166" s="1">
        <f t="shared" si="3"/>
        <v>43749</v>
      </c>
      <c r="B166" s="20">
        <v>2815.9340659340655</v>
      </c>
      <c r="C166" s="20">
        <f t="shared" si="4"/>
        <v>14296.912326803624</v>
      </c>
      <c r="D166" s="21" t="str">
        <f t="shared" si="0"/>
        <v>191011</v>
      </c>
      <c r="E166" s="22">
        <f t="shared" si="5"/>
        <v>2.458612</v>
      </c>
      <c r="F166" s="9">
        <v>0</v>
      </c>
      <c r="G166" s="14">
        <f t="shared" si="1"/>
        <v>100.0547220774739</v>
      </c>
      <c r="H166" s="24">
        <f t="shared" si="6"/>
        <v>-234.02922526102543</v>
      </c>
      <c r="I166" s="20">
        <f t="shared" si="2"/>
        <v>14062.883101542599</v>
      </c>
      <c r="J166" s="17">
        <f t="shared" si="7"/>
        <v>1.4062883101542598</v>
      </c>
    </row>
    <row r="167" spans="1:10" ht="12" customHeight="1" x14ac:dyDescent="0.3">
      <c r="A167" s="1">
        <f t="shared" si="3"/>
        <v>43752</v>
      </c>
      <c r="B167" s="20">
        <v>3021.9780219780218</v>
      </c>
      <c r="C167" s="20">
        <f t="shared" si="4"/>
        <v>14502.956282847579</v>
      </c>
      <c r="D167" s="21" t="str">
        <f t="shared" si="0"/>
        <v>191014</v>
      </c>
      <c r="E167" s="22">
        <f t="shared" si="5"/>
        <v>2.458612</v>
      </c>
      <c r="F167" s="9">
        <v>0</v>
      </c>
      <c r="G167" s="14">
        <f t="shared" si="1"/>
        <v>100.0543234707103</v>
      </c>
      <c r="H167" s="24">
        <f t="shared" si="6"/>
        <v>-238.01529289698919</v>
      </c>
      <c r="I167" s="20">
        <f t="shared" si="2"/>
        <v>14264.94098995059</v>
      </c>
      <c r="J167" s="17">
        <f t="shared" si="7"/>
        <v>1.426494098995059</v>
      </c>
    </row>
    <row r="168" spans="1:10" ht="12" customHeight="1" x14ac:dyDescent="0.3">
      <c r="A168" s="1">
        <f t="shared" si="3"/>
        <v>43753</v>
      </c>
      <c r="B168" s="20">
        <v>3090.6593406593411</v>
      </c>
      <c r="C168" s="20">
        <f t="shared" si="4"/>
        <v>14571.637601528899</v>
      </c>
      <c r="D168" s="21" t="str">
        <f t="shared" si="0"/>
        <v>191015</v>
      </c>
      <c r="E168" s="22">
        <f t="shared" si="5"/>
        <v>2.458612</v>
      </c>
      <c r="F168" s="9">
        <v>0</v>
      </c>
      <c r="G168" s="14">
        <f t="shared" si="1"/>
        <v>100.05419152655924</v>
      </c>
      <c r="H168" s="24">
        <f t="shared" si="6"/>
        <v>-239.33473440763464</v>
      </c>
      <c r="I168" s="20">
        <f t="shared" si="2"/>
        <v>14332.302867121263</v>
      </c>
      <c r="J168" s="17">
        <f t="shared" si="7"/>
        <v>1.4332302867121263</v>
      </c>
    </row>
    <row r="169" spans="1:10" ht="12" customHeight="1" x14ac:dyDescent="0.3">
      <c r="A169" s="1">
        <f t="shared" si="3"/>
        <v>43754</v>
      </c>
      <c r="B169" s="20">
        <v>3159.3406593406589</v>
      </c>
      <c r="C169" s="20">
        <f t="shared" si="4"/>
        <v>14640.318920210217</v>
      </c>
      <c r="D169" s="21" t="str">
        <f t="shared" si="0"/>
        <v>191016</v>
      </c>
      <c r="E169" s="22">
        <f t="shared" si="5"/>
        <v>2.458612</v>
      </c>
      <c r="F169" s="9">
        <v>0</v>
      </c>
      <c r="G169" s="14">
        <f t="shared" si="1"/>
        <v>100.05406004484558</v>
      </c>
      <c r="H169" s="24">
        <f t="shared" si="6"/>
        <v>-240.64955154415202</v>
      </c>
      <c r="I169" s="20">
        <f t="shared" si="2"/>
        <v>14399.669368666066</v>
      </c>
      <c r="J169" s="17">
        <f t="shared" si="7"/>
        <v>1.4399669368666066</v>
      </c>
    </row>
    <row r="170" spans="1:10" ht="12" customHeight="1" x14ac:dyDescent="0.3">
      <c r="A170" s="1">
        <f t="shared" si="3"/>
        <v>43755</v>
      </c>
      <c r="B170" s="20">
        <v>3228.0219780219782</v>
      </c>
      <c r="C170" s="20">
        <f t="shared" si="4"/>
        <v>14709.000238891536</v>
      </c>
      <c r="D170" s="21" t="str">
        <f t="shared" si="0"/>
        <v>191017</v>
      </c>
      <c r="E170" s="22">
        <f t="shared" si="5"/>
        <v>2.458612</v>
      </c>
      <c r="F170" s="9">
        <v>0</v>
      </c>
      <c r="G170" s="14">
        <f t="shared" si="1"/>
        <v>100.0539290256007</v>
      </c>
      <c r="H170" s="24">
        <f t="shared" si="6"/>
        <v>-241.95974399304984</v>
      </c>
      <c r="I170" s="20">
        <f t="shared" si="2"/>
        <v>14467.040494898487</v>
      </c>
      <c r="J170" s="17">
        <f t="shared" si="7"/>
        <v>1.4467040494898487</v>
      </c>
    </row>
    <row r="171" spans="1:10" ht="12" customHeight="1" x14ac:dyDescent="0.3">
      <c r="A171" s="1">
        <f t="shared" si="3"/>
        <v>43756</v>
      </c>
      <c r="B171" s="20">
        <v>3296.7032967032965</v>
      </c>
      <c r="C171" s="20">
        <f t="shared" si="4"/>
        <v>14777.681557572854</v>
      </c>
      <c r="D171" s="21" t="str">
        <f t="shared" si="0"/>
        <v>191018</v>
      </c>
      <c r="E171" s="22">
        <f t="shared" si="5"/>
        <v>2.458612</v>
      </c>
      <c r="F171" s="9">
        <v>0</v>
      </c>
      <c r="G171" s="14">
        <f t="shared" si="1"/>
        <v>100.05379846885597</v>
      </c>
      <c r="H171" s="24">
        <f t="shared" si="6"/>
        <v>-243.26531144026831</v>
      </c>
      <c r="I171" s="20">
        <f t="shared" si="2"/>
        <v>14534.416246132587</v>
      </c>
      <c r="J171" s="17">
        <f t="shared" si="7"/>
        <v>1.4534416246132587</v>
      </c>
    </row>
    <row r="172" spans="1:10" ht="12" customHeight="1" x14ac:dyDescent="0.3">
      <c r="A172" s="1">
        <f t="shared" si="3"/>
        <v>43759</v>
      </c>
      <c r="B172" s="20">
        <v>3502.7472527472523</v>
      </c>
      <c r="C172" s="20">
        <f t="shared" si="4"/>
        <v>14983.72551361681</v>
      </c>
      <c r="D172" s="21" t="str">
        <f t="shared" si="0"/>
        <v>191021</v>
      </c>
      <c r="E172" s="22">
        <f t="shared" si="5"/>
        <v>2.458612</v>
      </c>
      <c r="F172" s="9">
        <v>0</v>
      </c>
      <c r="G172" s="14">
        <f t="shared" si="1"/>
        <v>100.05340957393679</v>
      </c>
      <c r="H172" s="24">
        <f t="shared" si="6"/>
        <v>-247.15426063210089</v>
      </c>
      <c r="I172" s="20">
        <f t="shared" si="2"/>
        <v>14736.571252984708</v>
      </c>
      <c r="J172" s="17">
        <f t="shared" si="7"/>
        <v>1.4736571252984709</v>
      </c>
    </row>
    <row r="173" spans="1:10" ht="12" customHeight="1" x14ac:dyDescent="0.3">
      <c r="A173" s="1">
        <f t="shared" si="3"/>
        <v>43760</v>
      </c>
      <c r="B173" s="20">
        <v>3571.4285714285711</v>
      </c>
      <c r="C173" s="20">
        <f t="shared" si="4"/>
        <v>15052.406832298129</v>
      </c>
      <c r="D173" s="21" t="str">
        <f t="shared" si="0"/>
        <v>191022</v>
      </c>
      <c r="E173" s="22">
        <f t="shared" si="5"/>
        <v>2.458612</v>
      </c>
      <c r="F173" s="9">
        <v>0</v>
      </c>
      <c r="G173" s="14">
        <f t="shared" si="1"/>
        <v>100.05328086750674</v>
      </c>
      <c r="H173" s="24">
        <f t="shared" si="6"/>
        <v>-248.44132493257123</v>
      </c>
      <c r="I173" s="20">
        <f t="shared" si="2"/>
        <v>14803.965507365558</v>
      </c>
      <c r="J173" s="17">
        <f t="shared" si="7"/>
        <v>1.4803965507365557</v>
      </c>
    </row>
    <row r="174" spans="1:10" ht="12" customHeight="1" x14ac:dyDescent="0.3">
      <c r="A174" s="1">
        <f t="shared" si="3"/>
        <v>43761</v>
      </c>
      <c r="B174" s="20">
        <v>3640.1098901098903</v>
      </c>
      <c r="C174" s="20">
        <f t="shared" si="4"/>
        <v>15121.088150979449</v>
      </c>
      <c r="D174" s="21" t="str">
        <f t="shared" si="0"/>
        <v>191023</v>
      </c>
      <c r="E174" s="22">
        <f t="shared" si="5"/>
        <v>2.458612</v>
      </c>
      <c r="F174" s="9">
        <v>0</v>
      </c>
      <c r="G174" s="14">
        <f t="shared" si="1"/>
        <v>100.05315262373384</v>
      </c>
      <c r="H174" s="24">
        <f t="shared" si="6"/>
        <v>-249.72376266163113</v>
      </c>
      <c r="I174" s="20">
        <f t="shared" si="2"/>
        <v>14871.364388317817</v>
      </c>
      <c r="J174" s="17">
        <f t="shared" si="7"/>
        <v>1.4871364388317816</v>
      </c>
    </row>
    <row r="175" spans="1:10" ht="12" customHeight="1" x14ac:dyDescent="0.3">
      <c r="A175" s="1">
        <f t="shared" si="3"/>
        <v>43762</v>
      </c>
      <c r="B175" s="20">
        <v>3708.7912087912091</v>
      </c>
      <c r="C175" s="20">
        <f t="shared" si="4"/>
        <v>15189.769469660769</v>
      </c>
      <c r="D175" s="21" t="str">
        <f t="shared" si="0"/>
        <v>191024</v>
      </c>
      <c r="E175" s="22">
        <f t="shared" si="5"/>
        <v>2.458612</v>
      </c>
      <c r="F175" s="9">
        <v>0</v>
      </c>
      <c r="G175" s="14">
        <f t="shared" si="1"/>
        <v>100.05302484264951</v>
      </c>
      <c r="H175" s="24">
        <f t="shared" si="6"/>
        <v>-251.00157350493646</v>
      </c>
      <c r="I175" s="20">
        <f t="shared" si="2"/>
        <v>14938.767896155832</v>
      </c>
      <c r="J175" s="17">
        <f t="shared" si="7"/>
        <v>1.4938767896155831</v>
      </c>
    </row>
    <row r="176" spans="1:10" ht="12" customHeight="1" x14ac:dyDescent="0.3">
      <c r="A176" s="1">
        <f t="shared" si="3"/>
        <v>43763</v>
      </c>
      <c r="B176" s="20">
        <v>3777.4725274725274</v>
      </c>
      <c r="C176" s="20">
        <f t="shared" si="4"/>
        <v>15258.450788342087</v>
      </c>
      <c r="D176" s="21" t="str">
        <f t="shared" si="0"/>
        <v>191025</v>
      </c>
      <c r="E176" s="22">
        <f t="shared" si="5"/>
        <v>2.458612</v>
      </c>
      <c r="F176" s="9">
        <v>0</v>
      </c>
      <c r="G176" s="14">
        <f t="shared" si="1"/>
        <v>100.05289752428517</v>
      </c>
      <c r="H176" s="24">
        <f t="shared" si="6"/>
        <v>-252.27475714828529</v>
      </c>
      <c r="I176" s="20">
        <f t="shared" si="2"/>
        <v>15006.176031193801</v>
      </c>
      <c r="J176" s="17">
        <f t="shared" si="7"/>
        <v>1.5006176031193803</v>
      </c>
    </row>
    <row r="177" spans="1:10" ht="12" customHeight="1" x14ac:dyDescent="0.3">
      <c r="A177" s="1">
        <f t="shared" si="3"/>
        <v>43766</v>
      </c>
      <c r="B177" s="20">
        <v>3983.5164835164828</v>
      </c>
      <c r="C177" s="20">
        <f t="shared" si="4"/>
        <v>15464.494744386042</v>
      </c>
      <c r="D177" s="21" t="str">
        <f t="shared" si="0"/>
        <v>191028</v>
      </c>
      <c r="E177" s="22">
        <f t="shared" si="5"/>
        <v>2.458612</v>
      </c>
      <c r="F177" s="9">
        <v>0</v>
      </c>
      <c r="G177" s="14">
        <f t="shared" si="1"/>
        <v>100.05251834582612</v>
      </c>
      <c r="H177" s="24">
        <f t="shared" si="6"/>
        <v>-256.06654173884635</v>
      </c>
      <c r="I177" s="20">
        <f t="shared" si="2"/>
        <v>15208.428202647196</v>
      </c>
      <c r="J177" s="17">
        <f t="shared" si="7"/>
        <v>1.5208428202647195</v>
      </c>
    </row>
    <row r="178" spans="1:10" ht="12" customHeight="1" x14ac:dyDescent="0.3">
      <c r="A178" s="1">
        <f t="shared" si="3"/>
        <v>43767</v>
      </c>
      <c r="B178" s="20">
        <v>4052.197802197802</v>
      </c>
      <c r="C178" s="20">
        <f t="shared" si="4"/>
        <v>15533.176063067362</v>
      </c>
      <c r="D178" s="21" t="str">
        <f t="shared" si="0"/>
        <v>191029</v>
      </c>
      <c r="E178" s="22">
        <f t="shared" si="5"/>
        <v>2.458612</v>
      </c>
      <c r="F178" s="9">
        <v>0</v>
      </c>
      <c r="G178" s="14">
        <f t="shared" si="1"/>
        <v>100.05239287865579</v>
      </c>
      <c r="H178" s="24">
        <f t="shared" si="6"/>
        <v>-257.32121344205439</v>
      </c>
      <c r="I178" s="20">
        <f t="shared" si="2"/>
        <v>15275.854849625308</v>
      </c>
      <c r="J178" s="17">
        <f t="shared" si="7"/>
        <v>1.5275854849625308</v>
      </c>
    </row>
    <row r="179" spans="1:10" ht="12" customHeight="1" x14ac:dyDescent="0.3">
      <c r="A179" s="1">
        <f t="shared" si="3"/>
        <v>43768</v>
      </c>
      <c r="B179" s="20">
        <v>4120.8791208791208</v>
      </c>
      <c r="C179" s="20">
        <f t="shared" si="4"/>
        <v>15601.857381748679</v>
      </c>
      <c r="D179" s="21" t="str">
        <f t="shared" si="0"/>
        <v>191030</v>
      </c>
      <c r="E179" s="22">
        <f t="shared" si="5"/>
        <v>2.458612</v>
      </c>
      <c r="F179" s="9">
        <v>0</v>
      </c>
      <c r="G179" s="14">
        <f t="shared" si="1"/>
        <v>100.05226787436254</v>
      </c>
      <c r="H179" s="24">
        <f t="shared" si="6"/>
        <v>-258.57125637458012</v>
      </c>
      <c r="I179" s="20">
        <f t="shared" si="2"/>
        <v>15343.286125374099</v>
      </c>
      <c r="J179" s="17">
        <f t="shared" si="7"/>
        <v>1.53432861253741</v>
      </c>
    </row>
    <row r="180" spans="1:10" ht="12" customHeight="1" x14ac:dyDescent="0.3">
      <c r="A180" s="1">
        <f t="shared" si="3"/>
        <v>43769</v>
      </c>
      <c r="B180" s="20">
        <v>4189.5604395604387</v>
      </c>
      <c r="C180" s="20">
        <f t="shared" si="4"/>
        <v>15670.538700429997</v>
      </c>
      <c r="D180" s="21" t="str">
        <f t="shared" si="0"/>
        <v>191031</v>
      </c>
      <c r="E180" s="22">
        <f t="shared" si="5"/>
        <v>2.458612</v>
      </c>
      <c r="F180" s="9">
        <v>0</v>
      </c>
      <c r="G180" s="14">
        <f t="shared" si="1"/>
        <v>100.05214333297775</v>
      </c>
      <c r="H180" s="24">
        <f t="shared" si="6"/>
        <v>-259.81667022250576</v>
      </c>
      <c r="I180" s="20">
        <f t="shared" si="2"/>
        <v>15410.722030207491</v>
      </c>
      <c r="J180" s="17">
        <f t="shared" si="7"/>
        <v>1.5410722030207491</v>
      </c>
    </row>
    <row r="181" spans="1:10" ht="12" customHeight="1" x14ac:dyDescent="0.3">
      <c r="A181" s="1">
        <f t="shared" si="3"/>
        <v>43770</v>
      </c>
      <c r="B181" s="20">
        <v>4258.2417582417584</v>
      </c>
      <c r="C181" s="20">
        <f t="shared" si="4"/>
        <v>15739.220019111317</v>
      </c>
      <c r="D181" s="21" t="str">
        <f t="shared" si="0"/>
        <v>191101</v>
      </c>
      <c r="E181" s="22">
        <f t="shared" si="5"/>
        <v>2.458612</v>
      </c>
      <c r="F181" s="9">
        <v>0</v>
      </c>
      <c r="G181" s="14">
        <f t="shared" si="1"/>
        <v>100.05201925453285</v>
      </c>
      <c r="H181" s="24">
        <f t="shared" si="6"/>
        <v>-261.05745467148722</v>
      </c>
      <c r="I181" s="20">
        <f t="shared" si="2"/>
        <v>15478.16256443983</v>
      </c>
      <c r="J181" s="17">
        <f t="shared" si="7"/>
        <v>1.547816256443983</v>
      </c>
    </row>
    <row r="182" spans="1:10" ht="12" customHeight="1" x14ac:dyDescent="0.3">
      <c r="A182" s="1">
        <f t="shared" si="3"/>
        <v>43773</v>
      </c>
      <c r="B182" s="20">
        <v>4464.2857142857147</v>
      </c>
      <c r="C182" s="20">
        <f t="shared" si="4"/>
        <v>15945.263975155274</v>
      </c>
      <c r="D182" s="21" t="str">
        <f t="shared" si="0"/>
        <v>191104</v>
      </c>
      <c r="E182" s="22">
        <f t="shared" si="5"/>
        <v>2.458612</v>
      </c>
      <c r="F182" s="9">
        <v>0</v>
      </c>
      <c r="G182" s="14">
        <f t="shared" si="1"/>
        <v>100.05164979715177</v>
      </c>
      <c r="H182" s="24">
        <f t="shared" si="6"/>
        <v>-264.75202848232016</v>
      </c>
      <c r="I182" s="20">
        <f t="shared" si="2"/>
        <v>15680.511946672954</v>
      </c>
      <c r="J182" s="17">
        <f t="shared" si="7"/>
        <v>1.5680511946672953</v>
      </c>
    </row>
    <row r="183" spans="1:10" ht="12" customHeight="1" x14ac:dyDescent="0.3">
      <c r="A183" s="1">
        <f t="shared" si="3"/>
        <v>43774</v>
      </c>
      <c r="B183" s="20">
        <v>4532.9670329670325</v>
      </c>
      <c r="C183" s="20">
        <f t="shared" si="4"/>
        <v>16013.945293836592</v>
      </c>
      <c r="D183" s="21" t="str">
        <f t="shared" si="0"/>
        <v>191105</v>
      </c>
      <c r="E183" s="22">
        <f t="shared" si="5"/>
        <v>2.458612</v>
      </c>
      <c r="F183" s="9">
        <v>0</v>
      </c>
      <c r="G183" s="14">
        <f t="shared" si="1"/>
        <v>100.05152757078069</v>
      </c>
      <c r="H183" s="24">
        <f t="shared" si="6"/>
        <v>-265.97429219307855</v>
      </c>
      <c r="I183" s="20">
        <f t="shared" si="2"/>
        <v>15747.971001643513</v>
      </c>
      <c r="J183" s="17">
        <f t="shared" si="7"/>
        <v>1.574797100164351</v>
      </c>
    </row>
    <row r="184" spans="1:10" ht="12" customHeight="1" x14ac:dyDescent="0.3">
      <c r="A184" s="1">
        <f t="shared" si="3"/>
        <v>43775</v>
      </c>
      <c r="B184" s="20">
        <v>4601.6483516483522</v>
      </c>
      <c r="C184" s="20">
        <f t="shared" si="4"/>
        <v>16082.626612517912</v>
      </c>
      <c r="D184" s="21" t="str">
        <f t="shared" si="0"/>
        <v>191106</v>
      </c>
      <c r="E184" s="22">
        <f t="shared" si="5"/>
        <v>2.458612</v>
      </c>
      <c r="F184" s="9">
        <v>0</v>
      </c>
      <c r="G184" s="14">
        <f t="shared" si="1"/>
        <v>100.05140580750668</v>
      </c>
      <c r="H184" s="24">
        <f t="shared" si="6"/>
        <v>-267.19192493317223</v>
      </c>
      <c r="I184" s="20">
        <f t="shared" si="2"/>
        <v>15815.43468758474</v>
      </c>
      <c r="J184" s="17">
        <f t="shared" si="7"/>
        <v>1.581543468758474</v>
      </c>
    </row>
    <row r="185" spans="1:10" ht="12" customHeight="1" x14ac:dyDescent="0.3">
      <c r="A185" s="1">
        <f t="shared" si="3"/>
        <v>43776</v>
      </c>
      <c r="B185" s="20">
        <v>4670.3296703296701</v>
      </c>
      <c r="C185" s="20">
        <f t="shared" si="4"/>
        <v>16151.30793119923</v>
      </c>
      <c r="D185" s="21" t="str">
        <f t="shared" si="0"/>
        <v>191107</v>
      </c>
      <c r="E185" s="22">
        <f t="shared" si="5"/>
        <v>2.458612</v>
      </c>
      <c r="F185" s="9">
        <v>0</v>
      </c>
      <c r="G185" s="14">
        <f t="shared" si="1"/>
        <v>100.05128450736112</v>
      </c>
      <c r="H185" s="24">
        <f t="shared" si="6"/>
        <v>-268.40492638882552</v>
      </c>
      <c r="I185" s="20">
        <f t="shared" si="2"/>
        <v>15882.903004810403</v>
      </c>
      <c r="J185" s="17">
        <f t="shared" si="7"/>
        <v>1.5882903004810403</v>
      </c>
    </row>
    <row r="186" spans="1:10" ht="12" customHeight="1" x14ac:dyDescent="0.3">
      <c r="A186" s="1">
        <f t="shared" si="3"/>
        <v>43777</v>
      </c>
      <c r="B186" s="20">
        <v>4739.0109890109889</v>
      </c>
      <c r="C186" s="20">
        <f t="shared" si="4"/>
        <v>16219.989249880549</v>
      </c>
      <c r="D186" s="21" t="str">
        <f t="shared" si="0"/>
        <v>191108</v>
      </c>
      <c r="E186" s="22">
        <f t="shared" si="5"/>
        <v>2.458612</v>
      </c>
      <c r="F186" s="9">
        <v>0</v>
      </c>
      <c r="G186" s="14">
        <f t="shared" si="1"/>
        <v>100.05116367037547</v>
      </c>
      <c r="H186" s="24">
        <f t="shared" si="6"/>
        <v>-269.61329624526797</v>
      </c>
      <c r="I186" s="20">
        <f t="shared" si="2"/>
        <v>15950.375953635281</v>
      </c>
      <c r="J186" s="17">
        <f t="shared" si="7"/>
        <v>1.5950375953635281</v>
      </c>
    </row>
    <row r="187" spans="1:10" ht="12" customHeight="1" x14ac:dyDescent="0.3">
      <c r="A187" s="1">
        <f t="shared" si="3"/>
        <v>43780</v>
      </c>
      <c r="B187" s="20">
        <v>4945.0549450549452</v>
      </c>
      <c r="C187" s="20">
        <f t="shared" si="4"/>
        <v>16426.033205924505</v>
      </c>
      <c r="D187" s="21" t="str">
        <f t="shared" si="0"/>
        <v>191111</v>
      </c>
      <c r="E187" s="22">
        <f t="shared" si="5"/>
        <v>2.458612</v>
      </c>
      <c r="F187" s="9">
        <v>0</v>
      </c>
      <c r="G187" s="14">
        <f t="shared" si="1"/>
        <v>100.05080393869243</v>
      </c>
      <c r="H187" s="24">
        <f t="shared" si="6"/>
        <v>-273.21061307574723</v>
      </c>
      <c r="I187" s="20">
        <f t="shared" si="2"/>
        <v>16152.822592848757</v>
      </c>
      <c r="J187" s="17">
        <f t="shared" si="7"/>
        <v>1.6152822592848757</v>
      </c>
    </row>
    <row r="188" spans="1:10" ht="12" customHeight="1" x14ac:dyDescent="0.3">
      <c r="A188" s="1">
        <f t="shared" si="3"/>
        <v>43781</v>
      </c>
      <c r="B188" s="20">
        <v>5013.7362637362639</v>
      </c>
      <c r="C188" s="20">
        <f t="shared" si="4"/>
        <v>16494.714524605824</v>
      </c>
      <c r="D188" s="21" t="str">
        <f t="shared" si="0"/>
        <v>191112</v>
      </c>
      <c r="E188" s="22">
        <f t="shared" si="5"/>
        <v>2.458612</v>
      </c>
      <c r="F188" s="9">
        <v>0</v>
      </c>
      <c r="G188" s="14">
        <f t="shared" si="1"/>
        <v>100.05068495466084</v>
      </c>
      <c r="H188" s="24">
        <f t="shared" si="6"/>
        <v>-274.40045339162111</v>
      </c>
      <c r="I188" s="20">
        <f t="shared" si="2"/>
        <v>16220.314071214203</v>
      </c>
      <c r="J188" s="17">
        <f t="shared" si="7"/>
        <v>1.6220314071214204</v>
      </c>
    </row>
    <row r="189" spans="1:10" ht="12" customHeight="1" x14ac:dyDescent="0.3">
      <c r="A189" s="1">
        <f t="shared" si="3"/>
        <v>43782</v>
      </c>
      <c r="B189" s="20">
        <v>5082.4175824175818</v>
      </c>
      <c r="C189" s="20">
        <f t="shared" si="4"/>
        <v>16563.395843287144</v>
      </c>
      <c r="D189" s="21" t="str">
        <f t="shared" si="0"/>
        <v>191113</v>
      </c>
      <c r="E189" s="22">
        <f t="shared" si="5"/>
        <v>2.458612</v>
      </c>
      <c r="F189" s="9">
        <v>0</v>
      </c>
      <c r="G189" s="14">
        <f t="shared" si="1"/>
        <v>100.05056643394639</v>
      </c>
      <c r="H189" s="24">
        <f t="shared" si="6"/>
        <v>-275.58566053613731</v>
      </c>
      <c r="I189" s="20">
        <f t="shared" si="2"/>
        <v>16287.810182751007</v>
      </c>
      <c r="J189" s="17">
        <f t="shared" si="7"/>
        <v>1.6287810182751008</v>
      </c>
    </row>
    <row r="190" spans="1:10" ht="12" customHeight="1" x14ac:dyDescent="0.3">
      <c r="A190" s="1">
        <f t="shared" si="3"/>
        <v>43783</v>
      </c>
      <c r="B190" s="20">
        <v>5151.0989010989006</v>
      </c>
      <c r="C190" s="20">
        <f t="shared" si="4"/>
        <v>16632.077161968464</v>
      </c>
      <c r="D190" s="21" t="str">
        <f t="shared" si="0"/>
        <v>191114</v>
      </c>
      <c r="E190" s="22">
        <f t="shared" si="5"/>
        <v>2.458612</v>
      </c>
      <c r="F190" s="9">
        <v>0</v>
      </c>
      <c r="G190" s="14">
        <f t="shared" si="1"/>
        <v>100.0504483765805</v>
      </c>
      <c r="H190" s="24">
        <f t="shared" si="6"/>
        <v>-276.76623419495172</v>
      </c>
      <c r="I190" s="20">
        <f t="shared" si="2"/>
        <v>16355.310927773513</v>
      </c>
      <c r="J190" s="17">
        <f t="shared" si="7"/>
        <v>1.6355310927773512</v>
      </c>
    </row>
    <row r="191" spans="1:10" ht="12" customHeight="1" x14ac:dyDescent="0.3">
      <c r="A191" s="1">
        <f t="shared" si="3"/>
        <v>43784</v>
      </c>
      <c r="B191" s="20">
        <v>5219.7802197802202</v>
      </c>
      <c r="C191" s="20">
        <f t="shared" si="4"/>
        <v>16700.758480649783</v>
      </c>
      <c r="D191" s="21" t="str">
        <f t="shared" si="0"/>
        <v>191115</v>
      </c>
      <c r="E191" s="22">
        <f t="shared" si="5"/>
        <v>2.458612</v>
      </c>
      <c r="F191" s="9">
        <v>0</v>
      </c>
      <c r="G191" s="14">
        <f t="shared" si="1"/>
        <v>100.05033078259467</v>
      </c>
      <c r="H191" s="24">
        <f t="shared" si="6"/>
        <v>-277.94217405329391</v>
      </c>
      <c r="I191" s="20">
        <f t="shared" si="2"/>
        <v>16422.816306596491</v>
      </c>
      <c r="J191" s="17">
        <f t="shared" si="7"/>
        <v>1.642281630659649</v>
      </c>
    </row>
    <row r="192" spans="1:10" ht="12" customHeight="1" x14ac:dyDescent="0.3">
      <c r="A192" s="1">
        <f t="shared" si="3"/>
        <v>43787</v>
      </c>
      <c r="B192" s="20">
        <v>5425.8241758241757</v>
      </c>
      <c r="C192" s="20">
        <f t="shared" si="4"/>
        <v>16906.802436693739</v>
      </c>
      <c r="D192" s="21" t="str">
        <f t="shared" si="0"/>
        <v>191118</v>
      </c>
      <c r="E192" s="22">
        <f t="shared" si="5"/>
        <v>2.458612</v>
      </c>
      <c r="F192" s="9">
        <v>0</v>
      </c>
      <c r="G192" s="14">
        <f t="shared" si="1"/>
        <v>100.04998078123187</v>
      </c>
      <c r="H192" s="24">
        <f t="shared" si="6"/>
        <v>-281.44218768133555</v>
      </c>
      <c r="I192" s="20">
        <f t="shared" si="2"/>
        <v>16625.360249012403</v>
      </c>
      <c r="J192" s="17">
        <f t="shared" si="7"/>
        <v>1.6625360249012404</v>
      </c>
    </row>
    <row r="193" spans="1:10" ht="12" customHeight="1" x14ac:dyDescent="0.3">
      <c r="A193" s="1">
        <f t="shared" si="3"/>
        <v>43788</v>
      </c>
      <c r="B193" s="20">
        <v>5494.5054945054953</v>
      </c>
      <c r="C193" s="20">
        <f t="shared" si="4"/>
        <v>16975.483755375059</v>
      </c>
      <c r="D193" s="21" t="str">
        <f t="shared" si="0"/>
        <v>191119</v>
      </c>
      <c r="E193" s="22">
        <f t="shared" si="5"/>
        <v>2.458612</v>
      </c>
      <c r="F193" s="9">
        <v>0</v>
      </c>
      <c r="G193" s="14">
        <f t="shared" si="1"/>
        <v>100.04986504108074</v>
      </c>
      <c r="H193" s="24">
        <f t="shared" si="6"/>
        <v>-282.5995891926425</v>
      </c>
      <c r="I193" s="20">
        <f t="shared" si="2"/>
        <v>16692.884166182415</v>
      </c>
      <c r="J193" s="17">
        <f t="shared" si="7"/>
        <v>1.6692884166182416</v>
      </c>
    </row>
    <row r="194" spans="1:10" ht="12" customHeight="1" x14ac:dyDescent="0.3">
      <c r="A194" s="1">
        <f t="shared" si="3"/>
        <v>43789</v>
      </c>
      <c r="B194" s="20">
        <v>5563.1868131868132</v>
      </c>
      <c r="C194" s="20">
        <f t="shared" si="4"/>
        <v>17044.165074056378</v>
      </c>
      <c r="D194" s="21" t="str">
        <f t="shared" si="0"/>
        <v>191120</v>
      </c>
      <c r="E194" s="22">
        <f t="shared" si="5"/>
        <v>2.458612</v>
      </c>
      <c r="F194" s="9">
        <v>0</v>
      </c>
      <c r="G194" s="14">
        <f t="shared" si="1"/>
        <v>100.04974976446692</v>
      </c>
      <c r="H194" s="24">
        <f t="shared" si="6"/>
        <v>-283.75235533076193</v>
      </c>
      <c r="I194" s="20">
        <f t="shared" si="2"/>
        <v>16760.412718725616</v>
      </c>
      <c r="J194" s="17">
        <f t="shared" si="7"/>
        <v>1.6760412718725617</v>
      </c>
    </row>
    <row r="195" spans="1:10" ht="12" customHeight="1" x14ac:dyDescent="0.3">
      <c r="A195" s="1">
        <f t="shared" si="3"/>
        <v>43790</v>
      </c>
      <c r="B195" s="20">
        <v>5631.8681318681311</v>
      </c>
      <c r="C195" s="20">
        <f t="shared" si="4"/>
        <v>17112.846392737694</v>
      </c>
      <c r="D195" s="21" t="str">
        <f t="shared" si="0"/>
        <v>191121</v>
      </c>
      <c r="E195" s="22">
        <f t="shared" si="5"/>
        <v>2.458612</v>
      </c>
      <c r="F195" s="9">
        <v>0</v>
      </c>
      <c r="G195" s="14">
        <f t="shared" si="1"/>
        <v>100.04963495142188</v>
      </c>
      <c r="H195" s="24">
        <f t="shared" si="6"/>
        <v>-284.90048578120764</v>
      </c>
      <c r="I195" s="20">
        <f t="shared" si="2"/>
        <v>16827.945906956487</v>
      </c>
      <c r="J195" s="17">
        <f t="shared" si="7"/>
        <v>1.6827945906956485</v>
      </c>
    </row>
    <row r="196" spans="1:10" ht="12" customHeight="1" x14ac:dyDescent="0.3">
      <c r="A196" s="1">
        <f t="shared" si="3"/>
        <v>43791</v>
      </c>
      <c r="B196" s="20">
        <v>5700.5494505494507</v>
      </c>
      <c r="C196" s="20">
        <f t="shared" si="4"/>
        <v>17181.527711419014</v>
      </c>
      <c r="D196" s="21" t="str">
        <f t="shared" si="0"/>
        <v>191122</v>
      </c>
      <c r="E196" s="22">
        <f t="shared" si="5"/>
        <v>2.458612</v>
      </c>
      <c r="F196" s="9">
        <v>0</v>
      </c>
      <c r="G196" s="14">
        <f t="shared" si="1"/>
        <v>100.04952060197711</v>
      </c>
      <c r="H196" s="24">
        <f t="shared" si="6"/>
        <v>-286.04398022892497</v>
      </c>
      <c r="I196" s="20">
        <f t="shared" si="2"/>
        <v>16895.483731190088</v>
      </c>
      <c r="J196" s="17">
        <f t="shared" si="7"/>
        <v>1.6895483731190086</v>
      </c>
    </row>
    <row r="197" spans="1:10" ht="12" customHeight="1" x14ac:dyDescent="0.3">
      <c r="A197" s="1">
        <f t="shared" si="3"/>
        <v>43794</v>
      </c>
      <c r="B197" s="20">
        <v>5906.5934065934071</v>
      </c>
      <c r="C197" s="20">
        <f t="shared" si="4"/>
        <v>17387.571667462969</v>
      </c>
      <c r="D197" s="21" t="str">
        <f t="shared" si="0"/>
        <v>191125</v>
      </c>
      <c r="E197" s="22">
        <f t="shared" si="5"/>
        <v>2.458612</v>
      </c>
      <c r="F197" s="9">
        <v>0</v>
      </c>
      <c r="G197" s="14">
        <f t="shared" si="1"/>
        <v>100.04918033555907</v>
      </c>
      <c r="H197" s="24">
        <f t="shared" si="6"/>
        <v>-289.44664440928136</v>
      </c>
      <c r="I197" s="20">
        <f t="shared" si="2"/>
        <v>17098.12502305369</v>
      </c>
      <c r="J197" s="17">
        <f t="shared" si="7"/>
        <v>1.709812502305369</v>
      </c>
    </row>
    <row r="198" spans="1:10" ht="12" customHeight="1" x14ac:dyDescent="0.3">
      <c r="A198" s="1">
        <f t="shared" si="3"/>
        <v>43795</v>
      </c>
      <c r="B198" s="20">
        <v>5975.2747252747249</v>
      </c>
      <c r="C198" s="20">
        <f t="shared" si="4"/>
        <v>17456.252986144289</v>
      </c>
      <c r="D198" s="21" t="str">
        <f t="shared" si="0"/>
        <v>191126</v>
      </c>
      <c r="E198" s="22">
        <f t="shared" si="5"/>
        <v>2.458612</v>
      </c>
      <c r="F198" s="9">
        <v>0</v>
      </c>
      <c r="G198" s="14">
        <f t="shared" si="1"/>
        <v>100.04906784083003</v>
      </c>
      <c r="H198" s="24">
        <f t="shared" si="6"/>
        <v>-290.57159169965985</v>
      </c>
      <c r="I198" s="20">
        <f t="shared" si="2"/>
        <v>17165.681394444629</v>
      </c>
      <c r="J198" s="17">
        <f t="shared" si="7"/>
        <v>1.7165681394444627</v>
      </c>
    </row>
    <row r="199" spans="1:10" ht="12" customHeight="1" x14ac:dyDescent="0.3">
      <c r="A199" s="1">
        <f t="shared" si="3"/>
        <v>43796</v>
      </c>
      <c r="B199" s="20">
        <v>6043.9560439560437</v>
      </c>
      <c r="C199" s="20">
        <f t="shared" si="4"/>
        <v>17524.934304825609</v>
      </c>
      <c r="D199" s="21" t="str">
        <f t="shared" si="0"/>
        <v>191127</v>
      </c>
      <c r="E199" s="22">
        <f t="shared" si="5"/>
        <v>2.458612</v>
      </c>
      <c r="F199" s="9">
        <v>0</v>
      </c>
      <c r="G199" s="14">
        <f t="shared" si="1"/>
        <v>100.04895580985865</v>
      </c>
      <c r="H199" s="24">
        <f t="shared" si="6"/>
        <v>-291.6919014134578</v>
      </c>
      <c r="I199" s="20">
        <f t="shared" si="2"/>
        <v>17233.24240341215</v>
      </c>
      <c r="J199" s="17">
        <f t="shared" si="7"/>
        <v>1.723324240341215</v>
      </c>
    </row>
    <row r="200" spans="1:10" ht="12" customHeight="1" x14ac:dyDescent="0.3">
      <c r="A200" s="1">
        <f t="shared" si="3"/>
        <v>43797</v>
      </c>
      <c r="B200" s="20">
        <v>6112.6373626373615</v>
      </c>
      <c r="C200" s="20">
        <f t="shared" si="4"/>
        <v>17593.615623506928</v>
      </c>
      <c r="D200" s="21" t="str">
        <f t="shared" si="0"/>
        <v>191128</v>
      </c>
      <c r="E200" s="22">
        <f t="shared" si="5"/>
        <v>2.458612</v>
      </c>
      <c r="F200" s="9">
        <v>0</v>
      </c>
      <c r="G200" s="14">
        <f t="shared" si="1"/>
        <v>100.04884424267637</v>
      </c>
      <c r="H200" s="24">
        <f t="shared" si="6"/>
        <v>-292.80757323633111</v>
      </c>
      <c r="I200" s="20">
        <f t="shared" si="2"/>
        <v>17300.808050270596</v>
      </c>
      <c r="J200" s="17">
        <f t="shared" si="7"/>
        <v>1.7300808050270597</v>
      </c>
    </row>
    <row r="201" spans="1:10" ht="12" customHeight="1" x14ac:dyDescent="0.3">
      <c r="A201" s="1">
        <f t="shared" si="3"/>
        <v>43798</v>
      </c>
      <c r="B201" s="20">
        <v>6181.3186813186821</v>
      </c>
      <c r="C201" s="20">
        <f t="shared" si="4"/>
        <v>17662.296942188248</v>
      </c>
      <c r="D201" s="21" t="str">
        <f t="shared" si="0"/>
        <v>191129</v>
      </c>
      <c r="E201" s="22">
        <f t="shared" si="5"/>
        <v>2.458612</v>
      </c>
      <c r="F201" s="9">
        <v>0</v>
      </c>
      <c r="G201" s="14">
        <f t="shared" si="1"/>
        <v>100.04873313931468</v>
      </c>
      <c r="H201" s="24">
        <f t="shared" si="6"/>
        <v>-293.91860685322513</v>
      </c>
      <c r="I201" s="20">
        <f t="shared" si="2"/>
        <v>17368.378335335023</v>
      </c>
      <c r="J201" s="17">
        <f t="shared" si="7"/>
        <v>1.7368378335335024</v>
      </c>
    </row>
    <row r="202" spans="1:10" ht="12" customHeight="1" x14ac:dyDescent="0.3">
      <c r="A202" s="1">
        <f t="shared" si="3"/>
        <v>43801</v>
      </c>
      <c r="B202" s="20">
        <v>6387.3626373626375</v>
      </c>
      <c r="C202" s="20">
        <f t="shared" si="4"/>
        <v>17868.340898232203</v>
      </c>
      <c r="D202" s="21" t="str">
        <f t="shared" si="0"/>
        <v>191202</v>
      </c>
      <c r="E202" s="22">
        <f t="shared" si="5"/>
        <v>2.458612</v>
      </c>
      <c r="F202" s="9">
        <v>0</v>
      </c>
      <c r="G202" s="14">
        <f t="shared" si="1"/>
        <v>100.04840261246802</v>
      </c>
      <c r="H202" s="24">
        <f t="shared" si="6"/>
        <v>-297.22387531975869</v>
      </c>
      <c r="I202" s="20">
        <f t="shared" si="2"/>
        <v>17571.117022912444</v>
      </c>
      <c r="J202" s="17">
        <f t="shared" si="7"/>
        <v>1.7571117022912444</v>
      </c>
    </row>
    <row r="203" spans="1:10" ht="12" customHeight="1" x14ac:dyDescent="0.3">
      <c r="A203" s="1">
        <f t="shared" si="3"/>
        <v>43802</v>
      </c>
      <c r="B203" s="20">
        <v>6456.0439560439563</v>
      </c>
      <c r="C203" s="20">
        <f t="shared" si="4"/>
        <v>17937.022216913523</v>
      </c>
      <c r="D203" s="21" t="str">
        <f t="shared" si="0"/>
        <v>191203</v>
      </c>
      <c r="E203" s="22">
        <f t="shared" si="5"/>
        <v>2.458612</v>
      </c>
      <c r="F203" s="9">
        <v>0</v>
      </c>
      <c r="G203" s="14">
        <f t="shared" si="1"/>
        <v>100.04829336470355</v>
      </c>
      <c r="H203" s="24">
        <f t="shared" si="6"/>
        <v>-298.31635296446279</v>
      </c>
      <c r="I203" s="20">
        <f t="shared" si="2"/>
        <v>17638.705863949061</v>
      </c>
      <c r="J203" s="17">
        <f t="shared" si="7"/>
        <v>1.763870586394906</v>
      </c>
    </row>
    <row r="204" spans="1:10" ht="12" customHeight="1" x14ac:dyDescent="0.3">
      <c r="A204" s="1">
        <f t="shared" si="3"/>
        <v>43803</v>
      </c>
      <c r="B204" s="20">
        <v>6524.7252747252751</v>
      </c>
      <c r="C204" s="20">
        <f t="shared" si="4"/>
        <v>18005.703535594843</v>
      </c>
      <c r="D204" s="21" t="str">
        <f t="shared" si="0"/>
        <v>191204</v>
      </c>
      <c r="E204" s="22">
        <f t="shared" si="5"/>
        <v>2.458612</v>
      </c>
      <c r="F204" s="9">
        <v>0</v>
      </c>
      <c r="G204" s="14">
        <f t="shared" si="1"/>
        <v>100.04818458091711</v>
      </c>
      <c r="H204" s="24">
        <f t="shared" si="6"/>
        <v>-299.40419082890912</v>
      </c>
      <c r="I204" s="20">
        <f t="shared" si="2"/>
        <v>17706.299344765932</v>
      </c>
      <c r="J204" s="17">
        <f t="shared" si="7"/>
        <v>1.7706299344765932</v>
      </c>
    </row>
    <row r="205" spans="1:10" ht="12" customHeight="1" x14ac:dyDescent="0.3">
      <c r="A205" s="1">
        <f t="shared" si="3"/>
        <v>43804</v>
      </c>
      <c r="B205" s="20">
        <v>6593.4065934065929</v>
      </c>
      <c r="C205" s="20">
        <f t="shared" si="4"/>
        <v>18074.384854276163</v>
      </c>
      <c r="D205" s="21" t="str">
        <f t="shared" si="0"/>
        <v>191205</v>
      </c>
      <c r="E205" s="22">
        <f t="shared" si="5"/>
        <v>2.458612</v>
      </c>
      <c r="F205" s="9">
        <v>0</v>
      </c>
      <c r="G205" s="14">
        <f t="shared" si="1"/>
        <v>100.04807626114021</v>
      </c>
      <c r="H205" s="24">
        <f t="shared" si="6"/>
        <v>-300.48738859790092</v>
      </c>
      <c r="I205" s="20">
        <f t="shared" si="2"/>
        <v>17773.897465678263</v>
      </c>
      <c r="J205" s="17">
        <f t="shared" si="7"/>
        <v>1.7773897465678263</v>
      </c>
    </row>
    <row r="206" spans="1:10" ht="12" customHeight="1" x14ac:dyDescent="0.3">
      <c r="A206" s="1">
        <f t="shared" si="3"/>
        <v>43805</v>
      </c>
      <c r="B206" s="20">
        <v>6662.0879120879117</v>
      </c>
      <c r="C206" s="20">
        <f t="shared" si="4"/>
        <v>18143.066172957482</v>
      </c>
      <c r="D206" s="21" t="str">
        <f t="shared" si="0"/>
        <v>191206</v>
      </c>
      <c r="E206" s="22">
        <f t="shared" si="5"/>
        <v>2.458612</v>
      </c>
      <c r="F206" s="9">
        <v>0</v>
      </c>
      <c r="G206" s="14">
        <f t="shared" si="1"/>
        <v>100.04796840540435</v>
      </c>
      <c r="H206" s="24">
        <f t="shared" si="6"/>
        <v>-301.56594595652564</v>
      </c>
      <c r="I206" s="20">
        <f t="shared" si="2"/>
        <v>17841.500227000957</v>
      </c>
      <c r="J206" s="17">
        <f t="shared" si="7"/>
        <v>1.7841500227000955</v>
      </c>
    </row>
    <row r="207" spans="1:10" ht="12" customHeight="1" x14ac:dyDescent="0.3">
      <c r="A207" s="1">
        <f t="shared" si="3"/>
        <v>43808</v>
      </c>
      <c r="B207" s="20">
        <v>6868.1318681318689</v>
      </c>
      <c r="C207" s="20">
        <f t="shared" si="4"/>
        <v>18349.110129001441</v>
      </c>
      <c r="D207" s="21" t="str">
        <f t="shared" si="0"/>
        <v>191209</v>
      </c>
      <c r="E207" s="22">
        <f t="shared" si="5"/>
        <v>2.458612</v>
      </c>
      <c r="F207" s="9">
        <v>0</v>
      </c>
      <c r="G207" s="14">
        <f t="shared" si="1"/>
        <v>100.04764762275791</v>
      </c>
      <c r="H207" s="24">
        <f t="shared" si="6"/>
        <v>-304.77377242092984</v>
      </c>
      <c r="I207" s="20">
        <f t="shared" si="2"/>
        <v>18044.336356580512</v>
      </c>
      <c r="J207" s="17">
        <f t="shared" si="7"/>
        <v>1.8044336356580513</v>
      </c>
    </row>
    <row r="208" spans="1:10" ht="12" customHeight="1" x14ac:dyDescent="0.3">
      <c r="A208" s="1">
        <f t="shared" si="3"/>
        <v>43809</v>
      </c>
      <c r="B208" s="20">
        <v>6936.8131868131868</v>
      </c>
      <c r="C208" s="20">
        <f t="shared" si="4"/>
        <v>18417.791447682757</v>
      </c>
      <c r="D208" s="21" t="str">
        <f t="shared" si="0"/>
        <v>191210</v>
      </c>
      <c r="E208" s="22">
        <f t="shared" si="5"/>
        <v>2.458612</v>
      </c>
      <c r="F208" s="9">
        <v>0</v>
      </c>
      <c r="G208" s="14">
        <f t="shared" si="1"/>
        <v>100.04754162350115</v>
      </c>
      <c r="H208" s="24">
        <f t="shared" si="6"/>
        <v>-305.83376498853454</v>
      </c>
      <c r="I208" s="20">
        <f t="shared" si="2"/>
        <v>18111.957682694221</v>
      </c>
      <c r="J208" s="17">
        <f t="shared" si="7"/>
        <v>1.8111957682694222</v>
      </c>
    </row>
    <row r="209" spans="1:10" ht="12" customHeight="1" x14ac:dyDescent="0.3">
      <c r="A209" s="1">
        <f t="shared" si="3"/>
        <v>43810</v>
      </c>
      <c r="B209" s="20">
        <v>7005.4945054945047</v>
      </c>
      <c r="C209" s="20">
        <f t="shared" si="4"/>
        <v>18486.472766364073</v>
      </c>
      <c r="D209" s="21" t="str">
        <f t="shared" si="0"/>
        <v>191211</v>
      </c>
      <c r="E209" s="22">
        <f t="shared" si="5"/>
        <v>2.458612</v>
      </c>
      <c r="F209" s="9">
        <v>0</v>
      </c>
      <c r="G209" s="14">
        <f t="shared" si="1"/>
        <v>100.04743608844295</v>
      </c>
      <c r="H209" s="24">
        <f t="shared" si="6"/>
        <v>-306.88911557049892</v>
      </c>
      <c r="I209" s="20">
        <f t="shared" si="2"/>
        <v>18179.583650793575</v>
      </c>
      <c r="J209" s="17">
        <f t="shared" si="7"/>
        <v>1.8179583650793574</v>
      </c>
    </row>
    <row r="210" spans="1:10" ht="12" customHeight="1" x14ac:dyDescent="0.3">
      <c r="A210" s="1">
        <f t="shared" si="3"/>
        <v>43811</v>
      </c>
      <c r="B210" s="20">
        <v>7074.1758241758243</v>
      </c>
      <c r="C210" s="20">
        <f t="shared" si="4"/>
        <v>18555.154085045393</v>
      </c>
      <c r="D210" s="21" t="str">
        <f t="shared" si="0"/>
        <v>191212</v>
      </c>
      <c r="E210" s="22">
        <f t="shared" si="5"/>
        <v>2.458612</v>
      </c>
      <c r="F210" s="9">
        <v>0</v>
      </c>
      <c r="G210" s="14">
        <f t="shared" si="1"/>
        <v>100.04733101761481</v>
      </c>
      <c r="H210" s="24">
        <f t="shared" si="6"/>
        <v>-307.93982385191043</v>
      </c>
      <c r="I210" s="20">
        <f t="shared" si="2"/>
        <v>18247.214261193483</v>
      </c>
      <c r="J210" s="17">
        <f t="shared" si="7"/>
        <v>1.8247214261193485</v>
      </c>
    </row>
    <row r="211" spans="1:10" ht="12" customHeight="1" x14ac:dyDescent="0.3">
      <c r="A211" s="1">
        <f t="shared" si="3"/>
        <v>43812</v>
      </c>
      <c r="B211" s="20">
        <v>7142.8571428571422</v>
      </c>
      <c r="C211" s="20">
        <f t="shared" si="4"/>
        <v>18623.835403726713</v>
      </c>
      <c r="D211" s="21" t="str">
        <f t="shared" si="0"/>
        <v>191213</v>
      </c>
      <c r="E211" s="22">
        <f t="shared" si="5"/>
        <v>2.458612</v>
      </c>
      <c r="F211" s="9">
        <v>0</v>
      </c>
      <c r="G211" s="14">
        <f t="shared" si="1"/>
        <v>100.0472264110482</v>
      </c>
      <c r="H211" s="24">
        <f t="shared" si="6"/>
        <v>-308.98588951799866</v>
      </c>
      <c r="I211" s="20">
        <f t="shared" si="2"/>
        <v>18314.849514208712</v>
      </c>
      <c r="J211" s="17">
        <f t="shared" si="7"/>
        <v>1.8314849514208711</v>
      </c>
    </row>
    <row r="212" spans="1:10" ht="12" customHeight="1" x14ac:dyDescent="0.3">
      <c r="A212" s="1">
        <f t="shared" si="3"/>
        <v>43815</v>
      </c>
      <c r="B212" s="20">
        <v>7348.9010989010994</v>
      </c>
      <c r="C212" s="20">
        <f t="shared" si="4"/>
        <v>18829.879359770668</v>
      </c>
      <c r="D212" s="21" t="str">
        <f t="shared" si="0"/>
        <v>191216</v>
      </c>
      <c r="E212" s="22">
        <f t="shared" si="5"/>
        <v>2.458612</v>
      </c>
      <c r="F212" s="9">
        <v>0</v>
      </c>
      <c r="G212" s="14">
        <f t="shared" si="1"/>
        <v>100.04691537723302</v>
      </c>
      <c r="H212" s="24">
        <f t="shared" si="6"/>
        <v>-312.09622766979805</v>
      </c>
      <c r="I212" s="20">
        <f t="shared" si="2"/>
        <v>18517.783132100871</v>
      </c>
      <c r="J212" s="17">
        <f t="shared" si="7"/>
        <v>1.8517783132100871</v>
      </c>
    </row>
    <row r="213" spans="1:10" ht="12" customHeight="1" x14ac:dyDescent="0.3">
      <c r="A213" s="1">
        <f t="shared" si="3"/>
        <v>43816</v>
      </c>
      <c r="B213" s="20">
        <v>7417.5824175824182</v>
      </c>
      <c r="C213" s="20">
        <f t="shared" si="4"/>
        <v>18898.560678451988</v>
      </c>
      <c r="D213" s="21" t="str">
        <f t="shared" si="0"/>
        <v>191217</v>
      </c>
      <c r="E213" s="22">
        <f t="shared" si="5"/>
        <v>2.458612</v>
      </c>
      <c r="F213" s="9">
        <v>0</v>
      </c>
      <c r="G213" s="14">
        <f t="shared" si="1"/>
        <v>100.04681262802788</v>
      </c>
      <c r="H213" s="24">
        <f t="shared" si="6"/>
        <v>-313.12371972120445</v>
      </c>
      <c r="I213" s="20">
        <f t="shared" si="2"/>
        <v>18585.436958730785</v>
      </c>
      <c r="J213" s="17">
        <f t="shared" si="7"/>
        <v>1.8585436958730785</v>
      </c>
    </row>
    <row r="214" spans="1:10" ht="12" customHeight="1" x14ac:dyDescent="0.3">
      <c r="A214" s="1">
        <f t="shared" si="3"/>
        <v>43817</v>
      </c>
      <c r="B214" s="20">
        <v>7486.2637362637361</v>
      </c>
      <c r="C214" s="20">
        <f t="shared" si="4"/>
        <v>18967.241997133307</v>
      </c>
      <c r="D214" s="21" t="str">
        <f t="shared" si="0"/>
        <v>191218</v>
      </c>
      <c r="E214" s="22">
        <f t="shared" si="5"/>
        <v>2.458612</v>
      </c>
      <c r="F214" s="9">
        <v>0</v>
      </c>
      <c r="G214" s="14">
        <f t="shared" si="1"/>
        <v>100.04671034324188</v>
      </c>
      <c r="H214" s="24">
        <f t="shared" si="6"/>
        <v>-314.14656758116166</v>
      </c>
      <c r="I214" s="20">
        <f t="shared" si="2"/>
        <v>18653.095429552144</v>
      </c>
      <c r="J214" s="17">
        <f t="shared" si="7"/>
        <v>1.8653095429552145</v>
      </c>
    </row>
    <row r="215" spans="1:10" ht="12" customHeight="1" x14ac:dyDescent="0.3">
      <c r="A215" s="1">
        <f t="shared" si="3"/>
        <v>43818</v>
      </c>
      <c r="B215" s="20">
        <v>7554.9450549450548</v>
      </c>
      <c r="C215" s="20">
        <f t="shared" si="4"/>
        <v>19035.923315814627</v>
      </c>
      <c r="D215" s="21" t="str">
        <f t="shared" si="0"/>
        <v>191219</v>
      </c>
      <c r="E215" s="22">
        <f t="shared" si="5"/>
        <v>2.458612</v>
      </c>
      <c r="F215" s="9">
        <v>0</v>
      </c>
      <c r="G215" s="14">
        <f t="shared" si="1"/>
        <v>100.0466085229066</v>
      </c>
      <c r="H215" s="24">
        <f t="shared" si="6"/>
        <v>-315.1647709340466</v>
      </c>
      <c r="I215" s="20">
        <f t="shared" si="2"/>
        <v>18720.75854488058</v>
      </c>
      <c r="J215" s="17">
        <f t="shared" si="7"/>
        <v>1.8720758544880578</v>
      </c>
    </row>
    <row r="216" spans="1:10" ht="12" customHeight="1" x14ac:dyDescent="0.3">
      <c r="A216" s="1">
        <f t="shared" si="3"/>
        <v>43819</v>
      </c>
      <c r="B216" s="20">
        <v>7623.6263736263745</v>
      </c>
      <c r="C216" s="20">
        <f t="shared" si="4"/>
        <v>19104.604634495947</v>
      </c>
      <c r="D216" s="21" t="str">
        <f t="shared" si="0"/>
        <v>191220</v>
      </c>
      <c r="E216" s="22">
        <f t="shared" si="5"/>
        <v>2.458612</v>
      </c>
      <c r="F216" s="9">
        <v>0</v>
      </c>
      <c r="G216" s="14">
        <f t="shared" si="1"/>
        <v>100.04650716705352</v>
      </c>
      <c r="H216" s="24">
        <f t="shared" si="6"/>
        <v>-316.17832946480462</v>
      </c>
      <c r="I216" s="20">
        <f t="shared" si="2"/>
        <v>18788.426305031142</v>
      </c>
      <c r="J216" s="17">
        <f t="shared" si="7"/>
        <v>1.8788426305031143</v>
      </c>
    </row>
    <row r="217" spans="1:10" ht="12" customHeight="1" x14ac:dyDescent="0.3">
      <c r="A217" s="1">
        <f t="shared" si="3"/>
        <v>43822</v>
      </c>
      <c r="B217" s="20">
        <v>7829.6703296703299</v>
      </c>
      <c r="C217" s="20">
        <f t="shared" si="4"/>
        <v>19310.648590539902</v>
      </c>
      <c r="D217" s="21" t="str">
        <f t="shared" si="0"/>
        <v>191223</v>
      </c>
      <c r="E217" s="22">
        <f t="shared" si="5"/>
        <v>2.458612</v>
      </c>
      <c r="F217" s="9">
        <v>0</v>
      </c>
      <c r="G217" s="14">
        <f t="shared" si="1"/>
        <v>100.04620588670282</v>
      </c>
      <c r="H217" s="24">
        <f t="shared" si="6"/>
        <v>-319.19113297178114</v>
      </c>
      <c r="I217" s="20">
        <f t="shared" si="2"/>
        <v>18991.457457568122</v>
      </c>
      <c r="J217" s="17">
        <f t="shared" si="7"/>
        <v>1.8991457457568122</v>
      </c>
    </row>
    <row r="218" spans="1:10" ht="12" customHeight="1" x14ac:dyDescent="0.3">
      <c r="A218" s="1">
        <f t="shared" si="3"/>
        <v>43823</v>
      </c>
      <c r="B218" s="20">
        <v>7898.3516483516478</v>
      </c>
      <c r="C218" s="20">
        <f t="shared" si="4"/>
        <v>19379.329909221218</v>
      </c>
      <c r="D218" s="21" t="str">
        <f t="shared" si="0"/>
        <v>191224</v>
      </c>
      <c r="E218" s="22">
        <f t="shared" si="5"/>
        <v>2.458612</v>
      </c>
      <c r="F218" s="9">
        <v>0</v>
      </c>
      <c r="G218" s="14">
        <f t="shared" si="1"/>
        <v>100.04610638909392</v>
      </c>
      <c r="H218" s="24">
        <f t="shared" si="6"/>
        <v>-320.18610906078493</v>
      </c>
      <c r="I218" s="20">
        <f t="shared" si="2"/>
        <v>19059.143800160433</v>
      </c>
      <c r="J218" s="17">
        <f t="shared" si="7"/>
        <v>1.9059143800160432</v>
      </c>
    </row>
    <row r="219" spans="1:10" ht="12" customHeight="1" x14ac:dyDescent="0.3">
      <c r="A219" s="1">
        <f t="shared" si="3"/>
        <v>43824</v>
      </c>
      <c r="B219" s="20">
        <v>7967.0329670329656</v>
      </c>
      <c r="C219" s="20">
        <f t="shared" si="4"/>
        <v>19448.011227902534</v>
      </c>
      <c r="D219" s="21" t="str">
        <f t="shared" si="0"/>
        <v>191225</v>
      </c>
      <c r="E219" s="22">
        <f t="shared" si="5"/>
        <v>2.458612</v>
      </c>
      <c r="F219" s="9">
        <v>0</v>
      </c>
      <c r="G219" s="14">
        <f t="shared" si="1"/>
        <v>100.04600735612489</v>
      </c>
      <c r="H219" s="24">
        <f t="shared" si="6"/>
        <v>-321.17643875110957</v>
      </c>
      <c r="I219" s="20">
        <f t="shared" si="2"/>
        <v>19126.834789151424</v>
      </c>
      <c r="J219" s="17">
        <f t="shared" si="7"/>
        <v>1.9126834789151423</v>
      </c>
    </row>
    <row r="220" spans="1:10" ht="12" customHeight="1" x14ac:dyDescent="0.3">
      <c r="A220" s="1">
        <f t="shared" si="3"/>
        <v>43825</v>
      </c>
      <c r="B220" s="20">
        <v>8035.7142857142862</v>
      </c>
      <c r="C220" s="20">
        <f t="shared" si="4"/>
        <v>19516.692546583854</v>
      </c>
      <c r="D220" s="21" t="str">
        <f t="shared" si="0"/>
        <v>191226</v>
      </c>
      <c r="E220" s="22">
        <f t="shared" si="5"/>
        <v>2.458612</v>
      </c>
      <c r="F220" s="9">
        <v>0</v>
      </c>
      <c r="G220" s="14">
        <f t="shared" si="1"/>
        <v>100.04590878782729</v>
      </c>
      <c r="H220" s="24">
        <f t="shared" si="6"/>
        <v>-322.16212172713199</v>
      </c>
      <c r="I220" s="20">
        <f t="shared" si="2"/>
        <v>19194.530424856723</v>
      </c>
      <c r="J220" s="17">
        <f t="shared" si="7"/>
        <v>1.9194530424856724</v>
      </c>
    </row>
    <row r="221" spans="1:10" ht="12" customHeight="1" x14ac:dyDescent="0.3">
      <c r="A221" s="1">
        <f t="shared" si="3"/>
        <v>43826</v>
      </c>
      <c r="B221" s="20">
        <v>8104.3956043956041</v>
      </c>
      <c r="C221" s="20">
        <f t="shared" si="4"/>
        <v>19585.373865265174</v>
      </c>
      <c r="D221" s="21" t="str">
        <f t="shared" si="0"/>
        <v>191227</v>
      </c>
      <c r="E221" s="22">
        <f t="shared" si="5"/>
        <v>2.458612</v>
      </c>
      <c r="F221" s="9">
        <v>0</v>
      </c>
      <c r="G221" s="14">
        <f t="shared" si="1"/>
        <v>100.04581068423263</v>
      </c>
      <c r="H221" s="24">
        <f t="shared" si="6"/>
        <v>-323.14315767365542</v>
      </c>
      <c r="I221" s="20">
        <f t="shared" si="2"/>
        <v>19262.23070759152</v>
      </c>
      <c r="J221" s="17">
        <f t="shared" si="7"/>
        <v>1.9262230707591519</v>
      </c>
    </row>
    <row r="222" spans="1:10" ht="12" customHeight="1" x14ac:dyDescent="0.3">
      <c r="A222" s="1">
        <f t="shared" si="3"/>
        <v>43829</v>
      </c>
      <c r="B222" s="20">
        <v>8310.4395604395595</v>
      </c>
      <c r="C222" s="20">
        <f t="shared" si="4"/>
        <v>19791.417821309129</v>
      </c>
      <c r="D222" s="21" t="str">
        <f t="shared" si="0"/>
        <v>191230</v>
      </c>
      <c r="E222" s="22">
        <f t="shared" si="5"/>
        <v>2.458612</v>
      </c>
      <c r="F222" s="9">
        <v>0</v>
      </c>
      <c r="G222" s="14">
        <f t="shared" si="1"/>
        <v>100.04551916198194</v>
      </c>
      <c r="H222" s="24">
        <f t="shared" si="6"/>
        <v>-326.05838018056943</v>
      </c>
      <c r="I222" s="20">
        <f t="shared" si="2"/>
        <v>19465.359441128559</v>
      </c>
      <c r="J222" s="17">
        <f t="shared" si="7"/>
        <v>1.9465359441128558</v>
      </c>
    </row>
    <row r="223" spans="1:10" ht="12" customHeight="1" x14ac:dyDescent="0.3">
      <c r="A223" s="1">
        <f t="shared" si="3"/>
        <v>43830</v>
      </c>
      <c r="B223" s="20">
        <v>8379.1208791208774</v>
      </c>
      <c r="C223" s="20">
        <f t="shared" si="4"/>
        <v>19860.099139990445</v>
      </c>
      <c r="D223" s="21" t="str">
        <f t="shared" si="0"/>
        <v>191231</v>
      </c>
      <c r="E223" s="22">
        <f t="shared" si="5"/>
        <v>2.458612</v>
      </c>
      <c r="F223" s="9">
        <v>0</v>
      </c>
      <c r="G223" s="14">
        <f t="shared" si="1"/>
        <v>100.0454229175146</v>
      </c>
      <c r="H223" s="24">
        <f t="shared" si="6"/>
        <v>-327.02082485400297</v>
      </c>
      <c r="I223" s="20">
        <f t="shared" si="2"/>
        <v>19533.078315136441</v>
      </c>
      <c r="J223" s="17">
        <f t="shared" si="7"/>
        <v>1.9533078315136441</v>
      </c>
    </row>
    <row r="224" spans="1:10" ht="12" customHeight="1" x14ac:dyDescent="0.3">
      <c r="A224" s="1">
        <f t="shared" si="3"/>
        <v>43831</v>
      </c>
      <c r="B224" s="20">
        <v>8447.8021978021989</v>
      </c>
      <c r="C224" s="20">
        <f t="shared" si="4"/>
        <v>19928.780458671768</v>
      </c>
      <c r="D224" s="21" t="str">
        <f t="shared" si="0"/>
        <v>200101</v>
      </c>
      <c r="E224" s="22">
        <f t="shared" si="5"/>
        <v>2.458612</v>
      </c>
      <c r="F224" s="9">
        <v>0</v>
      </c>
      <c r="G224" s="14">
        <f t="shared" si="1"/>
        <v>100.04532713790798</v>
      </c>
      <c r="H224" s="24">
        <f t="shared" si="6"/>
        <v>-327.97862092024843</v>
      </c>
      <c r="I224" s="20">
        <f t="shared" si="2"/>
        <v>19600.801837751518</v>
      </c>
      <c r="J224" s="17">
        <f t="shared" si="7"/>
        <v>1.9600801837751518</v>
      </c>
    </row>
    <row r="225" spans="1:10" ht="12" customHeight="1" x14ac:dyDescent="0.3">
      <c r="A225" s="1">
        <f t="shared" si="3"/>
        <v>43832</v>
      </c>
      <c r="B225" s="20">
        <v>8516.4835164835167</v>
      </c>
      <c r="C225" s="20">
        <f t="shared" si="4"/>
        <v>19997.461777353084</v>
      </c>
      <c r="D225" s="21" t="str">
        <f t="shared" si="0"/>
        <v>200102</v>
      </c>
      <c r="E225" s="22">
        <f t="shared" si="5"/>
        <v>2.458612</v>
      </c>
      <c r="F225" s="9">
        <v>0</v>
      </c>
      <c r="G225" s="14">
        <f t="shared" si="1"/>
        <v>100.04523182319362</v>
      </c>
      <c r="H225" s="24">
        <f t="shared" si="6"/>
        <v>-328.93176806382485</v>
      </c>
      <c r="I225" s="20">
        <f t="shared" si="2"/>
        <v>19668.530009289261</v>
      </c>
      <c r="J225" s="17">
        <f t="shared" si="7"/>
        <v>1.966853000928926</v>
      </c>
    </row>
    <row r="226" spans="1:10" ht="12" customHeight="1" x14ac:dyDescent="0.3">
      <c r="A226" s="1">
        <f t="shared" si="3"/>
        <v>43833</v>
      </c>
      <c r="B226" s="20">
        <v>8585.1648351648364</v>
      </c>
      <c r="C226" s="20">
        <f t="shared" si="4"/>
        <v>20066.143096034404</v>
      </c>
      <c r="D226" s="21" t="str">
        <f t="shared" si="0"/>
        <v>200103</v>
      </c>
      <c r="E226" s="22">
        <f t="shared" si="5"/>
        <v>2.458612</v>
      </c>
      <c r="F226" s="9">
        <v>0</v>
      </c>
      <c r="G226" s="14">
        <f t="shared" si="1"/>
        <v>100.04513697340307</v>
      </c>
      <c r="H226" s="24">
        <f t="shared" si="6"/>
        <v>-329.88026596925124</v>
      </c>
      <c r="I226" s="20">
        <f t="shared" si="2"/>
        <v>19736.262830065152</v>
      </c>
      <c r="J226" s="17">
        <f t="shared" si="7"/>
        <v>1.9736262830065152</v>
      </c>
    </row>
    <row r="227" spans="1:10" ht="12" customHeight="1" x14ac:dyDescent="0.3">
      <c r="A227" s="1">
        <f t="shared" si="3"/>
        <v>43836</v>
      </c>
      <c r="B227" s="20">
        <v>8791.2087912087918</v>
      </c>
      <c r="C227" s="20">
        <f t="shared" si="4"/>
        <v>20272.18705207836</v>
      </c>
      <c r="D227" s="21" t="str">
        <f t="shared" si="0"/>
        <v>200106</v>
      </c>
      <c r="E227" s="22">
        <f t="shared" si="5"/>
        <v>2.458612</v>
      </c>
      <c r="F227" s="9">
        <v>0</v>
      </c>
      <c r="G227" s="14">
        <f t="shared" si="1"/>
        <v>100.04485521388999</v>
      </c>
      <c r="H227" s="24">
        <f t="shared" si="6"/>
        <v>-332.69786110011523</v>
      </c>
      <c r="I227" s="20">
        <f t="shared" si="2"/>
        <v>19939.489190978245</v>
      </c>
      <c r="J227" s="17">
        <f t="shared" si="7"/>
        <v>1.9939489190978246</v>
      </c>
    </row>
    <row r="228" spans="1:10" ht="12" customHeight="1" x14ac:dyDescent="0.3">
      <c r="A228" s="1">
        <f t="shared" si="3"/>
        <v>43837</v>
      </c>
      <c r="B228" s="20">
        <v>8859.8901098901097</v>
      </c>
      <c r="C228" s="20">
        <f t="shared" si="4"/>
        <v>20340.868370759679</v>
      </c>
      <c r="D228" s="21" t="str">
        <f t="shared" si="0"/>
        <v>200107</v>
      </c>
      <c r="E228" s="22">
        <f t="shared" si="5"/>
        <v>2.458612</v>
      </c>
      <c r="F228" s="9">
        <v>0</v>
      </c>
      <c r="G228" s="14">
        <f t="shared" si="1"/>
        <v>100.04476222411037</v>
      </c>
      <c r="H228" s="24">
        <f t="shared" si="6"/>
        <v>-333.62775889628438</v>
      </c>
      <c r="I228" s="20">
        <f t="shared" si="2"/>
        <v>20007.240611863395</v>
      </c>
      <c r="J228" s="17">
        <f t="shared" si="7"/>
        <v>2.0007240611863395</v>
      </c>
    </row>
    <row r="229" spans="1:10" ht="12" customHeight="1" x14ac:dyDescent="0.3">
      <c r="A229" s="1">
        <f t="shared" si="3"/>
        <v>43838</v>
      </c>
      <c r="B229" s="20">
        <v>8928.5714285714294</v>
      </c>
      <c r="C229" s="20">
        <f t="shared" si="4"/>
        <v>20409.549689440999</v>
      </c>
      <c r="D229" s="21" t="str">
        <f t="shared" si="0"/>
        <v>200108</v>
      </c>
      <c r="E229" s="22">
        <f t="shared" si="5"/>
        <v>2.458612</v>
      </c>
      <c r="F229" s="9">
        <v>0</v>
      </c>
      <c r="G229" s="14">
        <f t="shared" si="1"/>
        <v>100.04466969941235</v>
      </c>
      <c r="H229" s="24">
        <f t="shared" si="6"/>
        <v>-334.5530058764723</v>
      </c>
      <c r="I229" s="20">
        <f t="shared" si="2"/>
        <v>20074.996683564528</v>
      </c>
      <c r="J229" s="17">
        <f t="shared" si="7"/>
        <v>2.007499668356453</v>
      </c>
    </row>
    <row r="230" spans="1:10" ht="12" customHeight="1" x14ac:dyDescent="0.3">
      <c r="A230" s="1">
        <f t="shared" si="3"/>
        <v>43839</v>
      </c>
      <c r="B230" s="20">
        <v>8997.2527472527472</v>
      </c>
      <c r="C230" s="20">
        <f t="shared" si="4"/>
        <v>20478.231008122319</v>
      </c>
      <c r="D230" s="21" t="str">
        <f t="shared" si="0"/>
        <v>200109</v>
      </c>
      <c r="E230" s="22">
        <f t="shared" si="5"/>
        <v>2.458612</v>
      </c>
      <c r="F230" s="9">
        <v>0</v>
      </c>
      <c r="G230" s="14">
        <f t="shared" si="1"/>
        <v>100.04457763982755</v>
      </c>
      <c r="H230" s="24">
        <f t="shared" si="6"/>
        <v>-335.47360172448748</v>
      </c>
      <c r="I230" s="20">
        <f t="shared" si="2"/>
        <v>20142.757406397832</v>
      </c>
      <c r="J230" s="17">
        <f t="shared" si="7"/>
        <v>2.0142757406397833</v>
      </c>
    </row>
    <row r="231" spans="1:10" ht="12" customHeight="1" x14ac:dyDescent="0.3">
      <c r="A231" s="1">
        <f t="shared" si="3"/>
        <v>43840</v>
      </c>
      <c r="B231" s="20">
        <v>9065.9340659340651</v>
      </c>
      <c r="C231" s="20">
        <f t="shared" si="4"/>
        <v>20546.912326803635</v>
      </c>
      <c r="D231" s="21" t="str">
        <f t="shared" si="0"/>
        <v>200110</v>
      </c>
      <c r="E231" s="22">
        <f t="shared" si="5"/>
        <v>2.458612</v>
      </c>
      <c r="F231" s="9">
        <v>0</v>
      </c>
      <c r="G231" s="14">
        <f t="shared" si="1"/>
        <v>100.04448604538753</v>
      </c>
      <c r="H231" s="24">
        <f t="shared" si="6"/>
        <v>-336.38954612470684</v>
      </c>
      <c r="I231" s="20">
        <f t="shared" si="2"/>
        <v>20210.522780678926</v>
      </c>
      <c r="J231" s="17">
        <f t="shared" si="7"/>
        <v>2.0210522780678928</v>
      </c>
    </row>
    <row r="232" spans="1:10" ht="12" customHeight="1" x14ac:dyDescent="0.3">
      <c r="A232" s="1">
        <f t="shared" si="3"/>
        <v>43843</v>
      </c>
      <c r="B232" s="20">
        <v>9271.9780219780223</v>
      </c>
      <c r="C232" s="20">
        <f t="shared" si="4"/>
        <v>20752.95628284759</v>
      </c>
      <c r="D232" s="21" t="str">
        <f t="shared" si="0"/>
        <v>200113</v>
      </c>
      <c r="E232" s="22">
        <f t="shared" si="5"/>
        <v>2.458612</v>
      </c>
      <c r="F232" s="9">
        <v>0</v>
      </c>
      <c r="G232" s="14">
        <f t="shared" si="1"/>
        <v>100.04421405325191</v>
      </c>
      <c r="H232" s="24">
        <f t="shared" si="6"/>
        <v>-339.10946748093806</v>
      </c>
      <c r="I232" s="20">
        <f t="shared" si="2"/>
        <v>20413.846815366651</v>
      </c>
      <c r="J232" s="17">
        <f t="shared" si="7"/>
        <v>2.0413846815366652</v>
      </c>
    </row>
    <row r="233" spans="1:10" ht="12" customHeight="1" x14ac:dyDescent="0.3">
      <c r="A233" s="1">
        <f t="shared" si="3"/>
        <v>43844</v>
      </c>
      <c r="B233" s="20">
        <v>9340.6593406593402</v>
      </c>
      <c r="C233" s="20">
        <f t="shared" si="4"/>
        <v>20821.637601528906</v>
      </c>
      <c r="D233" s="21" t="str">
        <f t="shared" si="0"/>
        <v>200114</v>
      </c>
      <c r="E233" s="22">
        <f t="shared" si="5"/>
        <v>2.458612</v>
      </c>
      <c r="F233" s="9">
        <v>0</v>
      </c>
      <c r="G233" s="14">
        <f t="shared" si="1"/>
        <v>100.04412431970678</v>
      </c>
      <c r="H233" s="24">
        <f t="shared" si="6"/>
        <v>-340.00680293218016</v>
      </c>
      <c r="I233" s="20">
        <f t="shared" si="2"/>
        <v>20481.630798596725</v>
      </c>
      <c r="J233" s="17">
        <f t="shared" si="7"/>
        <v>2.0481630798596724</v>
      </c>
    </row>
    <row r="234" spans="1:10" ht="12" customHeight="1" x14ac:dyDescent="0.3">
      <c r="A234" s="1">
        <f t="shared" si="3"/>
        <v>43845</v>
      </c>
      <c r="B234" s="20">
        <v>9409.3406593406598</v>
      </c>
      <c r="C234" s="20">
        <f t="shared" si="4"/>
        <v>20890.318920210226</v>
      </c>
      <c r="D234" s="21" t="str">
        <f t="shared" si="0"/>
        <v>200115</v>
      </c>
      <c r="E234" s="22">
        <f t="shared" si="5"/>
        <v>2.458612</v>
      </c>
      <c r="F234" s="9">
        <v>0</v>
      </c>
      <c r="G234" s="14">
        <f t="shared" si="1"/>
        <v>100.04403505146433</v>
      </c>
      <c r="H234" s="24">
        <f t="shared" si="6"/>
        <v>-340.89948535665826</v>
      </c>
      <c r="I234" s="20">
        <f t="shared" si="2"/>
        <v>20549.419434853568</v>
      </c>
      <c r="J234" s="17">
        <f t="shared" si="7"/>
        <v>2.0549419434853569</v>
      </c>
    </row>
    <row r="235" spans="1:10" ht="12" customHeight="1" x14ac:dyDescent="0.3">
      <c r="A235" s="1">
        <f t="shared" si="3"/>
        <v>43846</v>
      </c>
      <c r="B235" s="20">
        <v>9478.0219780219777</v>
      </c>
      <c r="C235" s="20">
        <f t="shared" si="4"/>
        <v>20959.000238891545</v>
      </c>
      <c r="D235" s="21" t="str">
        <f t="shared" si="0"/>
        <v>200116</v>
      </c>
      <c r="E235" s="22">
        <f t="shared" si="5"/>
        <v>2.458612</v>
      </c>
      <c r="F235" s="9">
        <v>0</v>
      </c>
      <c r="G235" s="14">
        <f t="shared" si="1"/>
        <v>100.04394624855613</v>
      </c>
      <c r="H235" s="24">
        <f t="shared" si="6"/>
        <v>-341.78751443874944</v>
      </c>
      <c r="I235" s="20">
        <f t="shared" si="2"/>
        <v>20617.212724452795</v>
      </c>
      <c r="J235" s="17">
        <f t="shared" si="7"/>
        <v>2.0617212724452796</v>
      </c>
    </row>
    <row r="236" spans="1:10" ht="12" customHeight="1" x14ac:dyDescent="0.3">
      <c r="A236" s="1">
        <f t="shared" si="3"/>
        <v>43847</v>
      </c>
      <c r="B236" s="20">
        <v>9546.7032967032956</v>
      </c>
      <c r="C236" s="20">
        <f t="shared" si="4"/>
        <v>21027.681557572861</v>
      </c>
      <c r="D236" s="21" t="str">
        <f t="shared" si="0"/>
        <v>200117</v>
      </c>
      <c r="E236" s="22">
        <f t="shared" si="5"/>
        <v>2.458612</v>
      </c>
      <c r="F236" s="9">
        <v>0</v>
      </c>
      <c r="G236" s="14">
        <f t="shared" si="1"/>
        <v>100.04385791101377</v>
      </c>
      <c r="H236" s="24">
        <f t="shared" si="6"/>
        <v>-342.67088986226213</v>
      </c>
      <c r="I236" s="20">
        <f t="shared" si="2"/>
        <v>20685.010667710598</v>
      </c>
      <c r="J236" s="17">
        <f t="shared" si="7"/>
        <v>2.0685010667710597</v>
      </c>
    </row>
    <row r="237" spans="1:10" ht="12" customHeight="1" x14ac:dyDescent="0.3">
      <c r="A237" s="1">
        <f t="shared" si="3"/>
        <v>43850</v>
      </c>
      <c r="B237" s="20">
        <v>9752.7472527472528</v>
      </c>
      <c r="C237" s="20">
        <f t="shared" si="4"/>
        <v>21233.725513616817</v>
      </c>
      <c r="D237" s="21" t="str">
        <f t="shared" si="0"/>
        <v>200120</v>
      </c>
      <c r="E237" s="22">
        <f t="shared" si="5"/>
        <v>2.458612</v>
      </c>
      <c r="F237" s="9">
        <v>0</v>
      </c>
      <c r="G237" s="14">
        <f t="shared" si="1"/>
        <v>100.04359569089767</v>
      </c>
      <c r="H237" s="24">
        <f t="shared" si="6"/>
        <v>-345.29309102325101</v>
      </c>
      <c r="I237" s="20">
        <f t="shared" si="2"/>
        <v>20888.432422593567</v>
      </c>
      <c r="J237" s="17">
        <f t="shared" si="7"/>
        <v>2.0888432422593568</v>
      </c>
    </row>
    <row r="238" spans="1:10" ht="12" customHeight="1" x14ac:dyDescent="0.3">
      <c r="A238" s="1">
        <f t="shared" si="3"/>
        <v>43851</v>
      </c>
      <c r="B238" s="20">
        <v>9821.4285714285706</v>
      </c>
      <c r="C238" s="20">
        <f t="shared" si="4"/>
        <v>21302.406832298133</v>
      </c>
      <c r="D238" s="21" t="str">
        <f t="shared" si="0"/>
        <v>200121</v>
      </c>
      <c r="E238" s="22">
        <f t="shared" si="5"/>
        <v>2.458612</v>
      </c>
      <c r="F238" s="9">
        <v>0</v>
      </c>
      <c r="G238" s="14">
        <f t="shared" si="1"/>
        <v>100.04350921513463</v>
      </c>
      <c r="H238" s="24">
        <f t="shared" si="6"/>
        <v>-346.15784865366089</v>
      </c>
      <c r="I238" s="20">
        <f t="shared" si="2"/>
        <v>20956.248983644473</v>
      </c>
      <c r="J238" s="17">
        <f t="shared" si="7"/>
        <v>2.0956248983644472</v>
      </c>
    </row>
    <row r="239" spans="1:10" ht="12" customHeight="1" x14ac:dyDescent="0.3">
      <c r="A239" s="1">
        <f t="shared" si="3"/>
        <v>43852</v>
      </c>
      <c r="B239" s="20">
        <v>9890.1098901098903</v>
      </c>
      <c r="C239" s="20">
        <f t="shared" si="4"/>
        <v>21371.088150979453</v>
      </c>
      <c r="D239" s="21" t="str">
        <f t="shared" si="0"/>
        <v>200122</v>
      </c>
      <c r="E239" s="22">
        <f t="shared" si="5"/>
        <v>2.458612</v>
      </c>
      <c r="F239" s="9">
        <v>0</v>
      </c>
      <c r="G239" s="14">
        <f t="shared" si="1"/>
        <v>100.04342320489538</v>
      </c>
      <c r="H239" s="24">
        <f t="shared" si="6"/>
        <v>-347.01795104624011</v>
      </c>
      <c r="I239" s="20">
        <f t="shared" si="2"/>
        <v>21024.070199933212</v>
      </c>
      <c r="J239" s="17">
        <f t="shared" si="7"/>
        <v>2.1024070199933211</v>
      </c>
    </row>
    <row r="240" spans="1:10" ht="12" customHeight="1" x14ac:dyDescent="0.3">
      <c r="A240" s="1">
        <f t="shared" si="3"/>
        <v>43853</v>
      </c>
      <c r="B240" s="20">
        <v>9958.7912087912082</v>
      </c>
      <c r="C240" s="20">
        <f t="shared" si="4"/>
        <v>21439.769469660772</v>
      </c>
      <c r="D240" s="21" t="str">
        <f t="shared" si="0"/>
        <v>200123</v>
      </c>
      <c r="E240" s="22">
        <f t="shared" si="5"/>
        <v>2.458612</v>
      </c>
      <c r="F240" s="9">
        <v>0</v>
      </c>
      <c r="G240" s="14">
        <f t="shared" si="1"/>
        <v>100.04333766021156</v>
      </c>
      <c r="H240" s="24">
        <f t="shared" si="6"/>
        <v>-347.87339788437066</v>
      </c>
      <c r="I240" s="20">
        <f t="shared" si="2"/>
        <v>21091.896071776402</v>
      </c>
      <c r="J240" s="17">
        <f t="shared" si="7"/>
        <v>2.1091896071776404</v>
      </c>
    </row>
    <row r="241" spans="1:10" ht="12" customHeight="1" x14ac:dyDescent="0.3">
      <c r="A241" s="1">
        <f t="shared" si="3"/>
        <v>43854</v>
      </c>
      <c r="B241" s="20">
        <v>10027.472527472528</v>
      </c>
      <c r="C241" s="20">
        <f t="shared" si="4"/>
        <v>21508.450788342092</v>
      </c>
      <c r="D241" s="21" t="str">
        <f t="shared" si="0"/>
        <v>200124</v>
      </c>
      <c r="E241" s="22">
        <f t="shared" si="5"/>
        <v>2.458612</v>
      </c>
      <c r="F241" s="9">
        <v>0</v>
      </c>
      <c r="G241" s="14">
        <f t="shared" si="1"/>
        <v>100.04325258111474</v>
      </c>
      <c r="H241" s="24">
        <f t="shared" si="6"/>
        <v>-348.72418885257161</v>
      </c>
      <c r="I241" s="20">
        <f t="shared" si="2"/>
        <v>21159.726599489521</v>
      </c>
      <c r="J241" s="17">
        <f t="shared" si="7"/>
        <v>2.1159726599489521</v>
      </c>
    </row>
    <row r="242" spans="1:10" ht="12" customHeight="1" x14ac:dyDescent="0.3">
      <c r="A242" s="1">
        <f t="shared" si="3"/>
        <v>43857</v>
      </c>
      <c r="B242" s="20">
        <v>10233.516483516483</v>
      </c>
      <c r="C242" s="20">
        <f t="shared" si="4"/>
        <v>21714.494744386047</v>
      </c>
      <c r="D242" s="21" t="str">
        <f t="shared" si="0"/>
        <v>200127</v>
      </c>
      <c r="E242" s="22">
        <f t="shared" si="5"/>
        <v>2.458612</v>
      </c>
      <c r="F242" s="9">
        <v>0</v>
      </c>
      <c r="G242" s="14">
        <f t="shared" si="1"/>
        <v>100.04300013766245</v>
      </c>
      <c r="H242" s="24">
        <f t="shared" si="6"/>
        <v>-351.24862337553964</v>
      </c>
      <c r="I242" s="20">
        <f t="shared" si="2"/>
        <v>21363.246121010507</v>
      </c>
      <c r="J242" s="17">
        <f t="shared" si="7"/>
        <v>2.1363246121010504</v>
      </c>
    </row>
    <row r="243" spans="1:10" ht="12" customHeight="1" x14ac:dyDescent="0.3">
      <c r="A243" s="1">
        <f t="shared" si="3"/>
        <v>43858</v>
      </c>
      <c r="B243" s="20">
        <v>10302.197802197801</v>
      </c>
      <c r="C243" s="20">
        <f t="shared" si="4"/>
        <v>21783.176063067367</v>
      </c>
      <c r="D243" s="21" t="str">
        <f t="shared" si="0"/>
        <v>200128</v>
      </c>
      <c r="E243" s="22">
        <f t="shared" si="5"/>
        <v>2.458612</v>
      </c>
      <c r="F243" s="9">
        <v>0</v>
      </c>
      <c r="G243" s="14">
        <f t="shared" si="1"/>
        <v>100.04291692122978</v>
      </c>
      <c r="H243" s="24">
        <f t="shared" si="6"/>
        <v>-352.08078770224915</v>
      </c>
      <c r="I243" s="20">
        <f t="shared" si="2"/>
        <v>21431.095275365118</v>
      </c>
      <c r="J243" s="17">
        <f t="shared" si="7"/>
        <v>2.1431095275365117</v>
      </c>
    </row>
    <row r="244" spans="1:10" ht="12" customHeight="1" x14ac:dyDescent="0.3">
      <c r="A244" s="1">
        <f t="shared" si="3"/>
        <v>43859</v>
      </c>
      <c r="B244" s="20">
        <v>10370.879120879123</v>
      </c>
      <c r="C244" s="20">
        <f t="shared" si="4"/>
        <v>21851.85738174869</v>
      </c>
      <c r="D244" s="21" t="str">
        <f t="shared" si="0"/>
        <v>200129</v>
      </c>
      <c r="E244" s="22">
        <f t="shared" si="5"/>
        <v>2.458612</v>
      </c>
      <c r="F244" s="9">
        <v>0</v>
      </c>
      <c r="G244" s="14">
        <f t="shared" si="1"/>
        <v>100.04283417054216</v>
      </c>
      <c r="H244" s="24">
        <f t="shared" si="6"/>
        <v>-352.90829457835571</v>
      </c>
      <c r="I244" s="20">
        <f t="shared" si="2"/>
        <v>21498.949087170335</v>
      </c>
      <c r="J244" s="17">
        <f t="shared" si="7"/>
        <v>2.1498949087170334</v>
      </c>
    </row>
    <row r="245" spans="1:10" ht="12" customHeight="1" x14ac:dyDescent="0.3">
      <c r="A245" s="1">
        <f t="shared" si="3"/>
        <v>43860</v>
      </c>
      <c r="B245" s="20">
        <v>10439.56043956044</v>
      </c>
      <c r="C245" s="20">
        <f t="shared" si="4"/>
        <v>21920.538700430006</v>
      </c>
      <c r="D245" s="21" t="str">
        <f t="shared" si="0"/>
        <v>200130</v>
      </c>
      <c r="E245" s="22">
        <f t="shared" si="5"/>
        <v>2.458612</v>
      </c>
      <c r="F245" s="9">
        <v>0</v>
      </c>
      <c r="G245" s="14">
        <f t="shared" si="1"/>
        <v>100.04275188563122</v>
      </c>
      <c r="H245" s="24">
        <f t="shared" si="6"/>
        <v>-353.73114368780989</v>
      </c>
      <c r="I245" s="20">
        <f t="shared" si="2"/>
        <v>21566.807556742198</v>
      </c>
      <c r="J245" s="17">
        <f t="shared" si="7"/>
        <v>2.1566807556742198</v>
      </c>
    </row>
    <row r="246" spans="1:10" ht="12" customHeight="1" x14ac:dyDescent="0.3">
      <c r="A246" s="1">
        <f t="shared" si="3"/>
        <v>43861</v>
      </c>
      <c r="B246" s="20">
        <v>10508.241758241758</v>
      </c>
      <c r="C246" s="20">
        <f t="shared" si="4"/>
        <v>21989.220019111322</v>
      </c>
      <c r="D246" s="21" t="str">
        <f t="shared" si="0"/>
        <v>200131</v>
      </c>
      <c r="E246" s="22">
        <f t="shared" si="5"/>
        <v>2.458612</v>
      </c>
      <c r="F246" s="9">
        <v>0</v>
      </c>
      <c r="G246" s="14">
        <f t="shared" si="1"/>
        <v>100.04267006652856</v>
      </c>
      <c r="H246" s="24">
        <f t="shared" si="6"/>
        <v>-354.54933471442018</v>
      </c>
      <c r="I246" s="20">
        <f t="shared" si="2"/>
        <v>21634.6706843969</v>
      </c>
      <c r="J246" s="17">
        <f t="shared" si="7"/>
        <v>2.1634670684396902</v>
      </c>
    </row>
    <row r="247" spans="1:10" ht="12" customHeight="1" x14ac:dyDescent="0.3">
      <c r="A247" s="1">
        <f t="shared" si="3"/>
        <v>43864</v>
      </c>
      <c r="B247" s="20">
        <v>10714.285714285714</v>
      </c>
      <c r="C247" s="20">
        <f t="shared" si="4"/>
        <v>22195.263975155278</v>
      </c>
      <c r="D247" s="21" t="str">
        <f t="shared" si="0"/>
        <v>200203</v>
      </c>
      <c r="E247" s="22">
        <f t="shared" si="5"/>
        <v>2.458612</v>
      </c>
      <c r="F247" s="9">
        <v>0</v>
      </c>
      <c r="G247" s="14">
        <f t="shared" si="1"/>
        <v>100.04242740438656</v>
      </c>
      <c r="H247" s="24">
        <f t="shared" si="6"/>
        <v>-356.9759561344199</v>
      </c>
      <c r="I247" s="20">
        <f t="shared" si="2"/>
        <v>21838.28801902086</v>
      </c>
      <c r="J247" s="17">
        <f t="shared" si="7"/>
        <v>2.1838288019020857</v>
      </c>
    </row>
    <row r="248" spans="1:10" ht="12" customHeight="1" x14ac:dyDescent="0.3">
      <c r="A248" s="1">
        <f t="shared" si="3"/>
        <v>43865</v>
      </c>
      <c r="B248" s="20">
        <v>10782.967032967035</v>
      </c>
      <c r="C248" s="20">
        <f t="shared" si="4"/>
        <v>22263.945293836601</v>
      </c>
      <c r="D248" s="21" t="str">
        <f t="shared" si="0"/>
        <v>200204</v>
      </c>
      <c r="E248" s="22">
        <f t="shared" si="5"/>
        <v>2.458612</v>
      </c>
      <c r="F248" s="9">
        <v>0</v>
      </c>
      <c r="G248" s="14">
        <f t="shared" si="1"/>
        <v>100.04234744883328</v>
      </c>
      <c r="H248" s="24">
        <f t="shared" si="6"/>
        <v>-357.77551166717103</v>
      </c>
      <c r="I248" s="20">
        <f t="shared" si="2"/>
        <v>21906.169782169429</v>
      </c>
      <c r="J248" s="17">
        <f t="shared" si="7"/>
        <v>2.1906169782169429</v>
      </c>
    </row>
    <row r="249" spans="1:10" ht="12" customHeight="1" x14ac:dyDescent="0.3">
      <c r="A249" s="1">
        <f t="shared" si="3"/>
        <v>43866</v>
      </c>
      <c r="B249" s="20">
        <v>10851.648351648351</v>
      </c>
      <c r="C249" s="20">
        <f t="shared" si="4"/>
        <v>22332.626612517917</v>
      </c>
      <c r="D249" s="21" t="str">
        <f t="shared" si="0"/>
        <v>200205</v>
      </c>
      <c r="E249" s="22">
        <f t="shared" si="5"/>
        <v>2.458612</v>
      </c>
      <c r="F249" s="9">
        <v>0</v>
      </c>
      <c r="G249" s="14">
        <f t="shared" si="1"/>
        <v>100.04226795924642</v>
      </c>
      <c r="H249" s="24">
        <f t="shared" si="6"/>
        <v>-358.57040753583647</v>
      </c>
      <c r="I249" s="20">
        <f t="shared" si="2"/>
        <v>21974.05620498208</v>
      </c>
      <c r="J249" s="17">
        <f t="shared" si="7"/>
        <v>2.1974056204982078</v>
      </c>
    </row>
    <row r="250" spans="1:10" ht="12" customHeight="1" x14ac:dyDescent="0.3">
      <c r="A250" s="1">
        <f t="shared" si="3"/>
        <v>43867</v>
      </c>
      <c r="B250" s="20">
        <v>10920.329670329671</v>
      </c>
      <c r="C250" s="20">
        <f t="shared" si="4"/>
        <v>22401.307931199237</v>
      </c>
      <c r="D250" s="21" t="str">
        <f t="shared" si="0"/>
        <v>200206</v>
      </c>
      <c r="E250" s="22">
        <f t="shared" si="5"/>
        <v>2.458612</v>
      </c>
      <c r="F250" s="9">
        <v>0</v>
      </c>
      <c r="G250" s="14">
        <f t="shared" si="1"/>
        <v>100.04218893565758</v>
      </c>
      <c r="H250" s="24">
        <f t="shared" si="6"/>
        <v>-359.36064342422469</v>
      </c>
      <c r="I250" s="20">
        <f t="shared" si="2"/>
        <v>22041.947287775012</v>
      </c>
      <c r="J250" s="17">
        <f t="shared" si="7"/>
        <v>2.2041947287775012</v>
      </c>
    </row>
    <row r="251" spans="1:10" ht="12" customHeight="1" x14ac:dyDescent="0.3">
      <c r="A251" s="1">
        <f t="shared" si="3"/>
        <v>43868</v>
      </c>
      <c r="B251" s="20">
        <v>10989.010989010991</v>
      </c>
      <c r="C251" s="20">
        <f t="shared" si="4"/>
        <v>22469.989249880557</v>
      </c>
      <c r="D251" s="21" t="str">
        <f t="shared" si="0"/>
        <v>200207</v>
      </c>
      <c r="E251" s="22">
        <f t="shared" si="5"/>
        <v>2.458612</v>
      </c>
      <c r="F251" s="9">
        <v>0</v>
      </c>
      <c r="G251" s="14">
        <f t="shared" si="1"/>
        <v>100.04211037809843</v>
      </c>
      <c r="H251" s="24">
        <f t="shared" si="6"/>
        <v>-360.14621901571786</v>
      </c>
      <c r="I251" s="20">
        <f t="shared" si="2"/>
        <v>22109.843030864839</v>
      </c>
      <c r="J251" s="17">
        <f t="shared" si="7"/>
        <v>2.2109843030864837</v>
      </c>
    </row>
    <row r="252" spans="1:10" ht="12" customHeight="1" x14ac:dyDescent="0.3">
      <c r="A252" s="1">
        <f t="shared" si="3"/>
        <v>43871</v>
      </c>
      <c r="B252" s="20">
        <v>11195.054945054946</v>
      </c>
      <c r="C252" s="20">
        <f t="shared" si="4"/>
        <v>22676.033205924512</v>
      </c>
      <c r="D252" s="21" t="str">
        <f t="shared" si="0"/>
        <v>200210</v>
      </c>
      <c r="E252" s="22">
        <f t="shared" si="5"/>
        <v>2.458612</v>
      </c>
      <c r="F252" s="9">
        <v>0</v>
      </c>
      <c r="G252" s="14">
        <f t="shared" si="1"/>
        <v>100.04187750191539</v>
      </c>
      <c r="H252" s="24">
        <f t="shared" si="6"/>
        <v>-362.47498084605917</v>
      </c>
      <c r="I252" s="20">
        <f t="shared" si="2"/>
        <v>22313.558225078454</v>
      </c>
      <c r="J252" s="17">
        <f t="shared" si="7"/>
        <v>2.2313558225078451</v>
      </c>
    </row>
    <row r="253" spans="1:10" ht="12" customHeight="1" x14ac:dyDescent="0.3">
      <c r="A253" s="1">
        <f t="shared" si="3"/>
        <v>43872</v>
      </c>
      <c r="B253" s="20">
        <v>11263.736263736262</v>
      </c>
      <c r="C253" s="20">
        <f t="shared" si="4"/>
        <v>22744.714524605828</v>
      </c>
      <c r="D253" s="21" t="str">
        <f t="shared" si="0"/>
        <v>200211</v>
      </c>
      <c r="E253" s="22">
        <f t="shared" si="5"/>
        <v>2.458612</v>
      </c>
      <c r="F253" s="9">
        <v>0</v>
      </c>
      <c r="G253" s="14">
        <f t="shared" si="1"/>
        <v>100.04180080879131</v>
      </c>
      <c r="H253" s="24">
        <f t="shared" si="6"/>
        <v>-363.24191208692014</v>
      </c>
      <c r="I253" s="20">
        <f t="shared" si="2"/>
        <v>22381.472612518908</v>
      </c>
      <c r="J253" s="17">
        <f t="shared" si="7"/>
        <v>2.2381472612518905</v>
      </c>
    </row>
    <row r="254" spans="1:10" ht="12" customHeight="1" x14ac:dyDescent="0.3">
      <c r="A254" s="1">
        <f t="shared" si="3"/>
        <v>43873</v>
      </c>
      <c r="B254" s="20">
        <v>11332.417582417582</v>
      </c>
      <c r="C254" s="20">
        <f t="shared" si="4"/>
        <v>22813.395843287148</v>
      </c>
      <c r="D254" s="21" t="str">
        <f t="shared" si="0"/>
        <v>200212</v>
      </c>
      <c r="E254" s="22">
        <f t="shared" si="5"/>
        <v>2.458612</v>
      </c>
      <c r="F254" s="9">
        <v>0</v>
      </c>
      <c r="G254" s="14">
        <f t="shared" si="1"/>
        <v>100.04172458185506</v>
      </c>
      <c r="H254" s="24">
        <f t="shared" si="6"/>
        <v>-364.00418144935998</v>
      </c>
      <c r="I254" s="20">
        <f t="shared" si="2"/>
        <v>22449.391661837788</v>
      </c>
      <c r="J254" s="17">
        <f t="shared" si="7"/>
        <v>2.2449391661837788</v>
      </c>
    </row>
    <row r="255" spans="1:10" ht="12" customHeight="1" x14ac:dyDescent="0.3">
      <c r="A255" s="1">
        <f t="shared" si="3"/>
        <v>43874</v>
      </c>
      <c r="B255" s="20">
        <v>11401.098901098901</v>
      </c>
      <c r="C255" s="20">
        <f t="shared" si="4"/>
        <v>22882.077161968467</v>
      </c>
      <c r="D255" s="21" t="str">
        <f t="shared" si="0"/>
        <v>200213</v>
      </c>
      <c r="E255" s="22">
        <f t="shared" si="5"/>
        <v>2.458612</v>
      </c>
      <c r="F255" s="9">
        <v>0</v>
      </c>
      <c r="G255" s="14">
        <f t="shared" si="1"/>
        <v>100.04164882113837</v>
      </c>
      <c r="H255" s="24">
        <f t="shared" si="6"/>
        <v>-364.76178861633457</v>
      </c>
      <c r="I255" s="20">
        <f t="shared" si="2"/>
        <v>22517.315373352132</v>
      </c>
      <c r="J255" s="17">
        <f t="shared" si="7"/>
        <v>2.2517315373352131</v>
      </c>
    </row>
    <row r="256" spans="1:10" ht="12" customHeight="1" x14ac:dyDescent="0.3">
      <c r="A256" s="1">
        <f t="shared" si="3"/>
        <v>43875</v>
      </c>
      <c r="B256" s="20">
        <v>11469.780219780218</v>
      </c>
      <c r="C256" s="20">
        <f t="shared" si="4"/>
        <v>22950.758480649783</v>
      </c>
      <c r="D256" s="21" t="str">
        <f t="shared" si="0"/>
        <v>200214</v>
      </c>
      <c r="E256" s="22">
        <f t="shared" si="5"/>
        <v>2.458612</v>
      </c>
      <c r="F256" s="9">
        <v>0</v>
      </c>
      <c r="G256" s="14">
        <f t="shared" si="1"/>
        <v>100.04157352667281</v>
      </c>
      <c r="H256" s="24">
        <f t="shared" si="6"/>
        <v>-365.51473327193662</v>
      </c>
      <c r="I256" s="20">
        <f t="shared" si="2"/>
        <v>22585.243747377848</v>
      </c>
      <c r="J256" s="17">
        <f t="shared" si="7"/>
        <v>2.2585243747377848</v>
      </c>
    </row>
    <row r="257" spans="1:12" ht="12" customHeight="1" x14ac:dyDescent="0.3">
      <c r="A257" s="1">
        <f t="shared" si="3"/>
        <v>43878</v>
      </c>
      <c r="B257" s="20">
        <v>11675.824175824177</v>
      </c>
      <c r="C257" s="20">
        <f t="shared" si="4"/>
        <v>23156.802436693742</v>
      </c>
      <c r="D257" s="21" t="str">
        <f t="shared" si="0"/>
        <v>200217</v>
      </c>
      <c r="E257" s="22">
        <f t="shared" si="5"/>
        <v>2.458612</v>
      </c>
      <c r="F257" s="9">
        <v>0</v>
      </c>
      <c r="G257" s="14">
        <f t="shared" si="1"/>
        <v>100.04135044109961</v>
      </c>
      <c r="H257" s="24">
        <f t="shared" si="6"/>
        <v>-367.74558900390269</v>
      </c>
      <c r="I257" s="20">
        <f t="shared" si="2"/>
        <v>22789.056847689841</v>
      </c>
      <c r="J257" s="17">
        <f t="shared" si="7"/>
        <v>2.2789056847689841</v>
      </c>
    </row>
    <row r="258" spans="1:12" ht="12" customHeight="1" x14ac:dyDescent="0.3">
      <c r="A258" s="1">
        <f t="shared" si="3"/>
        <v>43879</v>
      </c>
      <c r="B258" s="20">
        <v>11744.505494505494</v>
      </c>
      <c r="C258" s="20">
        <f t="shared" si="4"/>
        <v>23225.483755375062</v>
      </c>
      <c r="D258" s="21" t="str">
        <f t="shared" si="0"/>
        <v>200218</v>
      </c>
      <c r="E258" s="22">
        <f t="shared" si="5"/>
        <v>2.458612</v>
      </c>
      <c r="F258" s="9">
        <v>0</v>
      </c>
      <c r="G258" s="14">
        <f t="shared" si="1"/>
        <v>100.04127701195522</v>
      </c>
      <c r="H258" s="24">
        <f t="shared" si="6"/>
        <v>-368.47988044783619</v>
      </c>
      <c r="I258" s="20">
        <f t="shared" si="2"/>
        <v>22857.003874927224</v>
      </c>
      <c r="J258" s="17">
        <f t="shared" si="7"/>
        <v>2.2857003874927226</v>
      </c>
    </row>
    <row r="259" spans="1:12" ht="12" customHeight="1" x14ac:dyDescent="0.3">
      <c r="A259" s="1">
        <f t="shared" si="3"/>
        <v>43880</v>
      </c>
      <c r="B259" s="20">
        <v>11813.186813186814</v>
      </c>
      <c r="C259" s="20">
        <f t="shared" si="4"/>
        <v>23294.165074056382</v>
      </c>
      <c r="D259" s="21" t="str">
        <f t="shared" si="0"/>
        <v>200219</v>
      </c>
      <c r="E259" s="22">
        <f t="shared" si="5"/>
        <v>2.458612</v>
      </c>
      <c r="F259" s="9">
        <v>0</v>
      </c>
      <c r="G259" s="14">
        <f t="shared" si="1"/>
        <v>100.04120404922023</v>
      </c>
      <c r="H259" s="24">
        <f t="shared" si="6"/>
        <v>-369.2095077977342</v>
      </c>
      <c r="I259" s="20">
        <f t="shared" si="2"/>
        <v>22924.955566258646</v>
      </c>
      <c r="J259" s="17">
        <f t="shared" si="7"/>
        <v>2.2924955566258647</v>
      </c>
      <c r="K259" s="14"/>
      <c r="L259" s="14"/>
    </row>
    <row r="260" spans="1:12" ht="12" customHeight="1" x14ac:dyDescent="0.3">
      <c r="A260" s="1">
        <f t="shared" si="3"/>
        <v>43881</v>
      </c>
      <c r="B260" s="20">
        <v>11881.868131868132</v>
      </c>
      <c r="C260" s="20">
        <f t="shared" si="4"/>
        <v>23362.846392737702</v>
      </c>
      <c r="D260" s="21" t="str">
        <f t="shared" si="0"/>
        <v>200220</v>
      </c>
      <c r="E260" s="22">
        <f t="shared" si="5"/>
        <v>2.458612</v>
      </c>
      <c r="F260" s="9">
        <v>0</v>
      </c>
      <c r="G260" s="14">
        <f t="shared" si="1"/>
        <v>100.04113155292634</v>
      </c>
      <c r="H260" s="24">
        <f t="shared" si="6"/>
        <v>-369.93447073655261</v>
      </c>
      <c r="I260" s="20">
        <f t="shared" si="2"/>
        <v>22992.911922001149</v>
      </c>
      <c r="J260" s="17">
        <f t="shared" si="7"/>
        <v>2.2992911922001151</v>
      </c>
    </row>
    <row r="261" spans="1:12" ht="12" customHeight="1" x14ac:dyDescent="0.3">
      <c r="A261" s="1">
        <f t="shared" si="3"/>
        <v>43882</v>
      </c>
      <c r="B261" s="20">
        <v>11950.54945054945</v>
      </c>
      <c r="C261" s="20">
        <f t="shared" si="4"/>
        <v>23431.527711419018</v>
      </c>
      <c r="D261" s="21" t="str">
        <f t="shared" si="0"/>
        <v>200221</v>
      </c>
      <c r="E261" s="22">
        <f t="shared" si="5"/>
        <v>2.458612</v>
      </c>
      <c r="F261" s="9">
        <v>0</v>
      </c>
      <c r="G261" s="14">
        <f t="shared" si="1"/>
        <v>100.04105952310522</v>
      </c>
      <c r="H261" s="24">
        <f t="shared" si="6"/>
        <v>-370.65476894781568</v>
      </c>
      <c r="I261" s="20">
        <f t="shared" si="2"/>
        <v>23060.8729424712</v>
      </c>
      <c r="J261" s="17">
        <f t="shared" si="7"/>
        <v>2.3060872942471202</v>
      </c>
    </row>
    <row r="262" spans="1:12" ht="12" customHeight="1" x14ac:dyDescent="0.3">
      <c r="A262" s="1">
        <f t="shared" si="3"/>
        <v>43885</v>
      </c>
      <c r="B262" s="20">
        <v>12156.593406593405</v>
      </c>
      <c r="C262" s="20">
        <f t="shared" si="4"/>
        <v>23637.571667462973</v>
      </c>
      <c r="D262" s="21" t="str">
        <f t="shared" si="0"/>
        <v>200224</v>
      </c>
      <c r="E262" s="22">
        <f t="shared" si="5"/>
        <v>2.458612</v>
      </c>
      <c r="F262" s="9">
        <v>0</v>
      </c>
      <c r="G262" s="14">
        <f t="shared" si="1"/>
        <v>100.04084623279495</v>
      </c>
      <c r="H262" s="24">
        <f t="shared" si="6"/>
        <v>-372.78767205052077</v>
      </c>
      <c r="I262" s="20">
        <f t="shared" si="2"/>
        <v>23264.783995412454</v>
      </c>
      <c r="J262" s="17">
        <f t="shared" si="7"/>
        <v>2.3264783995412452</v>
      </c>
    </row>
    <row r="263" spans="1:12" ht="12" customHeight="1" x14ac:dyDescent="0.3">
      <c r="A263" s="1">
        <f t="shared" si="3"/>
        <v>43886</v>
      </c>
      <c r="B263" s="20">
        <v>12225.274725274723</v>
      </c>
      <c r="C263" s="20">
        <f t="shared" si="4"/>
        <v>23706.252986144289</v>
      </c>
      <c r="D263" s="21" t="str">
        <f t="shared" si="0"/>
        <v>200225</v>
      </c>
      <c r="E263" s="22">
        <f t="shared" si="5"/>
        <v>2.458612</v>
      </c>
      <c r="F263" s="9">
        <v>0</v>
      </c>
      <c r="G263" s="14">
        <f t="shared" si="1"/>
        <v>100.0407760691815</v>
      </c>
      <c r="H263" s="24">
        <f t="shared" si="6"/>
        <v>-373.48930818495779</v>
      </c>
      <c r="I263" s="20">
        <f t="shared" si="2"/>
        <v>23332.76367795933</v>
      </c>
      <c r="J263" s="17">
        <f t="shared" si="7"/>
        <v>2.3332763677959329</v>
      </c>
    </row>
    <row r="264" spans="1:12" ht="12" customHeight="1" x14ac:dyDescent="0.3">
      <c r="A264" s="1">
        <f t="shared" si="3"/>
        <v>43887</v>
      </c>
      <c r="B264" s="20">
        <v>12293.956043956043</v>
      </c>
      <c r="C264" s="20">
        <f t="shared" si="4"/>
        <v>23774.934304825609</v>
      </c>
      <c r="D264" s="21" t="str">
        <f t="shared" si="0"/>
        <v>200226</v>
      </c>
      <c r="E264" s="22">
        <f t="shared" si="5"/>
        <v>2.458612</v>
      </c>
      <c r="F264" s="9">
        <v>0</v>
      </c>
      <c r="G264" s="14">
        <f t="shared" si="1"/>
        <v>100.04070637219914</v>
      </c>
      <c r="H264" s="24">
        <f t="shared" si="6"/>
        <v>-374.18627800860804</v>
      </c>
      <c r="I264" s="20">
        <f t="shared" si="2"/>
        <v>23400.748026817</v>
      </c>
      <c r="J264" s="17">
        <f t="shared" si="7"/>
        <v>2.3400748026816998</v>
      </c>
    </row>
    <row r="265" spans="1:12" ht="12" customHeight="1" x14ac:dyDescent="0.3">
      <c r="A265" s="1">
        <f t="shared" si="3"/>
        <v>43888</v>
      </c>
      <c r="B265" s="20">
        <v>12362.637362637364</v>
      </c>
      <c r="C265" s="20">
        <f t="shared" si="4"/>
        <v>23843.615623506928</v>
      </c>
      <c r="D265" s="21" t="str">
        <f t="shared" si="0"/>
        <v>200227</v>
      </c>
      <c r="E265" s="22">
        <f t="shared" si="5"/>
        <v>2.458612</v>
      </c>
      <c r="F265" s="9">
        <v>0</v>
      </c>
      <c r="G265" s="14">
        <f t="shared" si="1"/>
        <v>100.04063714187951</v>
      </c>
      <c r="H265" s="24">
        <f t="shared" si="6"/>
        <v>-374.87858120485384</v>
      </c>
      <c r="I265" s="20">
        <f t="shared" si="2"/>
        <v>23468.737042302073</v>
      </c>
      <c r="J265" s="17">
        <f t="shared" si="7"/>
        <v>2.346873704230207</v>
      </c>
    </row>
    <row r="266" spans="1:12" ht="12" customHeight="1" x14ac:dyDescent="0.3">
      <c r="A266" s="1">
        <f t="shared" si="3"/>
        <v>43889</v>
      </c>
      <c r="B266" s="20">
        <v>12431.31868131868</v>
      </c>
      <c r="C266" s="20">
        <f t="shared" si="4"/>
        <v>23912.296942188244</v>
      </c>
      <c r="D266" s="21" t="str">
        <f t="shared" si="0"/>
        <v>200228</v>
      </c>
      <c r="E266" s="22">
        <f t="shared" si="5"/>
        <v>2.458612</v>
      </c>
      <c r="F266" s="9">
        <v>0</v>
      </c>
      <c r="G266" s="14">
        <f t="shared" si="1"/>
        <v>100.04056837825436</v>
      </c>
      <c r="H266" s="24">
        <f t="shared" si="6"/>
        <v>-375.5662174563667</v>
      </c>
      <c r="I266" s="20">
        <f t="shared" si="2"/>
        <v>23536.730724731879</v>
      </c>
      <c r="J266" s="17">
        <f t="shared" si="7"/>
        <v>2.3536730724731876</v>
      </c>
    </row>
    <row r="267" spans="1:12" ht="12" customHeight="1" x14ac:dyDescent="0.3">
      <c r="A267" s="1">
        <f t="shared" si="3"/>
        <v>43892</v>
      </c>
      <c r="B267" s="20">
        <v>135.86956521739131</v>
      </c>
      <c r="C267" s="20">
        <f t="shared" si="4"/>
        <v>24116.847826086956</v>
      </c>
      <c r="D267" s="21" t="str">
        <f t="shared" si="0"/>
        <v>200302</v>
      </c>
      <c r="E267" s="22">
        <f t="shared" si="5"/>
        <v>2.458612</v>
      </c>
      <c r="F267" s="9">
        <v>0</v>
      </c>
      <c r="G267" s="14">
        <f t="shared" si="1"/>
        <v>100.04033037380941</v>
      </c>
      <c r="H267" s="24">
        <f t="shared" si="6"/>
        <v>-377.94626190589042</v>
      </c>
      <c r="I267" s="20">
        <f t="shared" si="2"/>
        <v>23738.901564181066</v>
      </c>
      <c r="J267" s="17">
        <f t="shared" si="7"/>
        <v>2.3738901564181067</v>
      </c>
    </row>
    <row r="268" spans="1:12" ht="12" customHeight="1" x14ac:dyDescent="0.3">
      <c r="A268" s="1">
        <f t="shared" si="3"/>
        <v>43893</v>
      </c>
      <c r="B268" s="20">
        <v>203.80434782608697</v>
      </c>
      <c r="C268" s="20">
        <f t="shared" si="4"/>
        <v>24184.782608695652</v>
      </c>
      <c r="D268" s="21" t="str">
        <f t="shared" si="0"/>
        <v>200303</v>
      </c>
      <c r="E268" s="22">
        <f t="shared" si="5"/>
        <v>2.458612</v>
      </c>
      <c r="F268" s="9">
        <v>0</v>
      </c>
      <c r="G268" s="14">
        <f t="shared" si="1"/>
        <v>100.04017768125522</v>
      </c>
      <c r="H268" s="24">
        <f t="shared" si="6"/>
        <v>-379.47318744784292</v>
      </c>
      <c r="I268" s="20">
        <f t="shared" si="2"/>
        <v>23805.30942124781</v>
      </c>
      <c r="J268" s="17">
        <f t="shared" si="7"/>
        <v>2.3805309421247811</v>
      </c>
    </row>
    <row r="269" spans="1:12" ht="12" customHeight="1" x14ac:dyDescent="0.3">
      <c r="A269" s="1">
        <f t="shared" si="3"/>
        <v>43894</v>
      </c>
      <c r="B269" s="20">
        <v>271.73913043478262</v>
      </c>
      <c r="C269" s="20">
        <f t="shared" si="4"/>
        <v>24252.717391304348</v>
      </c>
      <c r="D269" s="21" t="str">
        <f t="shared" si="0"/>
        <v>200304</v>
      </c>
      <c r="E269" s="22">
        <f t="shared" si="5"/>
        <v>2.458612</v>
      </c>
      <c r="F269" s="9">
        <v>0</v>
      </c>
      <c r="G269" s="14">
        <f t="shared" si="1"/>
        <v>100.04002544973</v>
      </c>
      <c r="H269" s="24">
        <f t="shared" si="6"/>
        <v>-380.99550270004556</v>
      </c>
      <c r="I269" s="20">
        <f t="shared" si="2"/>
        <v>23871.721888604301</v>
      </c>
      <c r="J269" s="17">
        <f t="shared" si="7"/>
        <v>2.38717218886043</v>
      </c>
    </row>
    <row r="270" spans="1:12" ht="12" customHeight="1" x14ac:dyDescent="0.3">
      <c r="A270" s="1">
        <f t="shared" si="3"/>
        <v>43895</v>
      </c>
      <c r="B270" s="20">
        <v>339.67391304347825</v>
      </c>
      <c r="C270" s="20">
        <f t="shared" si="4"/>
        <v>24320.652173913044</v>
      </c>
      <c r="D270" s="21" t="str">
        <f t="shared" si="0"/>
        <v>200305</v>
      </c>
      <c r="E270" s="22">
        <f t="shared" si="5"/>
        <v>2.458612</v>
      </c>
      <c r="F270" s="9">
        <v>0</v>
      </c>
      <c r="G270" s="14">
        <f t="shared" si="1"/>
        <v>100.03987367926501</v>
      </c>
      <c r="H270" s="24">
        <f t="shared" si="6"/>
        <v>-382.51320734985939</v>
      </c>
      <c r="I270" s="20">
        <f t="shared" si="2"/>
        <v>23938.138966563183</v>
      </c>
      <c r="J270" s="17">
        <f t="shared" si="7"/>
        <v>2.3938138966563183</v>
      </c>
    </row>
    <row r="271" spans="1:12" ht="12" customHeight="1" x14ac:dyDescent="0.3">
      <c r="A271" s="1">
        <f t="shared" si="3"/>
        <v>43896</v>
      </c>
      <c r="B271" s="20">
        <v>407.60869565217394</v>
      </c>
      <c r="C271" s="20">
        <f t="shared" si="4"/>
        <v>24388.58695652174</v>
      </c>
      <c r="D271" s="21" t="str">
        <f t="shared" si="0"/>
        <v>200306</v>
      </c>
      <c r="E271" s="22">
        <f t="shared" si="5"/>
        <v>2.458612</v>
      </c>
      <c r="F271" s="9">
        <v>0</v>
      </c>
      <c r="G271" s="14">
        <f t="shared" si="1"/>
        <v>100.03972236989165</v>
      </c>
      <c r="H271" s="24">
        <f t="shared" si="6"/>
        <v>-384.02630108350871</v>
      </c>
      <c r="I271" s="20">
        <f t="shared" si="2"/>
        <v>24004.560655438232</v>
      </c>
      <c r="J271" s="17">
        <f t="shared" si="7"/>
        <v>2.4004560655438234</v>
      </c>
    </row>
    <row r="272" spans="1:12" ht="12" customHeight="1" x14ac:dyDescent="0.3">
      <c r="A272" s="1">
        <f t="shared" si="3"/>
        <v>43899</v>
      </c>
      <c r="B272" s="20">
        <v>611.41304347826087</v>
      </c>
      <c r="C272" s="20">
        <f t="shared" si="4"/>
        <v>24592.391304347828</v>
      </c>
      <c r="D272" s="21" t="str">
        <f t="shared" si="0"/>
        <v>200309</v>
      </c>
      <c r="E272" s="22">
        <f t="shared" si="5"/>
        <v>2.458612</v>
      </c>
      <c r="F272" s="9">
        <v>0</v>
      </c>
      <c r="G272" s="14">
        <f t="shared" si="1"/>
        <v>100.03927120863385</v>
      </c>
      <c r="H272" s="24">
        <f t="shared" si="6"/>
        <v>-388.53791366150858</v>
      </c>
      <c r="I272" s="20">
        <f t="shared" si="2"/>
        <v>24203.853390686319</v>
      </c>
      <c r="J272" s="17">
        <f t="shared" si="7"/>
        <v>2.4203853390686323</v>
      </c>
    </row>
    <row r="273" spans="1:10" ht="12" customHeight="1" x14ac:dyDescent="0.3">
      <c r="A273" s="1">
        <f t="shared" si="3"/>
        <v>43900</v>
      </c>
      <c r="B273" s="20">
        <v>679.3478260869565</v>
      </c>
      <c r="C273" s="20">
        <f t="shared" si="4"/>
        <v>24660.326086956524</v>
      </c>
      <c r="D273" s="21" t="str">
        <f t="shared" si="0"/>
        <v>200310</v>
      </c>
      <c r="E273" s="22">
        <f t="shared" si="5"/>
        <v>2.458612</v>
      </c>
      <c r="F273" s="9">
        <v>0</v>
      </c>
      <c r="G273" s="14">
        <f t="shared" si="1"/>
        <v>100.03912174393973</v>
      </c>
      <c r="H273" s="24">
        <f t="shared" si="6"/>
        <v>-390.03256060269109</v>
      </c>
      <c r="I273" s="20">
        <f t="shared" si="2"/>
        <v>24270.293526353831</v>
      </c>
      <c r="J273" s="17">
        <f t="shared" si="7"/>
        <v>2.4270293526353832</v>
      </c>
    </row>
    <row r="274" spans="1:10" ht="12" customHeight="1" x14ac:dyDescent="0.3">
      <c r="A274" s="1">
        <f t="shared" si="3"/>
        <v>43901</v>
      </c>
      <c r="B274" s="20">
        <v>747.28260869565213</v>
      </c>
      <c r="C274" s="20">
        <f t="shared" si="4"/>
        <v>24728.26086956522</v>
      </c>
      <c r="D274" s="21" t="str">
        <f t="shared" si="0"/>
        <v>200311</v>
      </c>
      <c r="E274" s="22">
        <f t="shared" si="5"/>
        <v>2.458612</v>
      </c>
      <c r="F274" s="9">
        <v>0</v>
      </c>
      <c r="G274" s="14">
        <f t="shared" si="1"/>
        <v>100.03897274049368</v>
      </c>
      <c r="H274" s="24">
        <f t="shared" si="6"/>
        <v>-391.52259506323617</v>
      </c>
      <c r="I274" s="20">
        <f t="shared" si="2"/>
        <v>24336.738274501982</v>
      </c>
      <c r="J274" s="17">
        <f t="shared" si="7"/>
        <v>2.4336738274501983</v>
      </c>
    </row>
    <row r="275" spans="1:10" ht="12" customHeight="1" x14ac:dyDescent="0.3">
      <c r="A275" s="1">
        <f t="shared" si="3"/>
        <v>43902</v>
      </c>
      <c r="B275" s="20">
        <v>815.21739130434787</v>
      </c>
      <c r="C275" s="20">
        <f t="shared" si="4"/>
        <v>24796.195652173916</v>
      </c>
      <c r="D275" s="21" t="str">
        <f t="shared" si="0"/>
        <v>200312</v>
      </c>
      <c r="E275" s="22">
        <f t="shared" si="5"/>
        <v>2.458612</v>
      </c>
      <c r="F275" s="9">
        <v>0</v>
      </c>
      <c r="G275" s="14">
        <f t="shared" si="1"/>
        <v>100.03882419832702</v>
      </c>
      <c r="H275" s="24">
        <f t="shared" si="6"/>
        <v>-393.00801672979446</v>
      </c>
      <c r="I275" s="20">
        <f t="shared" si="2"/>
        <v>24403.187635444123</v>
      </c>
      <c r="J275" s="17">
        <f t="shared" si="7"/>
        <v>2.4403187635444126</v>
      </c>
    </row>
    <row r="276" spans="1:10" ht="12" customHeight="1" x14ac:dyDescent="0.3">
      <c r="A276" s="1">
        <f t="shared" si="3"/>
        <v>43903</v>
      </c>
      <c r="B276" s="20">
        <v>883.15217391304338</v>
      </c>
      <c r="C276" s="20">
        <f t="shared" si="4"/>
        <v>24864.130434782612</v>
      </c>
      <c r="D276" s="21" t="str">
        <f t="shared" si="0"/>
        <v>200313</v>
      </c>
      <c r="E276" s="22">
        <f t="shared" si="5"/>
        <v>2.458612</v>
      </c>
      <c r="F276" s="9">
        <v>0</v>
      </c>
      <c r="G276" s="14">
        <f t="shared" si="1"/>
        <v>100.03867611747107</v>
      </c>
      <c r="H276" s="24">
        <f t="shared" si="6"/>
        <v>-394.48882528930085</v>
      </c>
      <c r="I276" s="20">
        <f t="shared" si="2"/>
        <v>24469.641609493312</v>
      </c>
      <c r="J276" s="17">
        <f t="shared" si="7"/>
        <v>2.4469641609493311</v>
      </c>
    </row>
    <row r="277" spans="1:10" ht="12" customHeight="1" x14ac:dyDescent="0.3">
      <c r="A277" s="1">
        <f t="shared" si="3"/>
        <v>43906</v>
      </c>
      <c r="B277" s="20">
        <v>1086.9565217391305</v>
      </c>
      <c r="C277" s="20">
        <f t="shared" si="4"/>
        <v>25067.9347826087</v>
      </c>
      <c r="D277" s="21" t="str">
        <f t="shared" si="0"/>
        <v>200316</v>
      </c>
      <c r="E277" s="22">
        <f t="shared" si="5"/>
        <v>2.458612</v>
      </c>
      <c r="F277" s="9">
        <v>0</v>
      </c>
      <c r="G277" s="14">
        <f t="shared" si="1"/>
        <v>100.03823464308057</v>
      </c>
      <c r="H277" s="24">
        <f t="shared" si="6"/>
        <v>-398.90356919428882</v>
      </c>
      <c r="I277" s="20">
        <f t="shared" si="2"/>
        <v>24669.031213414411</v>
      </c>
      <c r="J277" s="17">
        <f t="shared" si="7"/>
        <v>2.4669031213414412</v>
      </c>
    </row>
    <row r="278" spans="1:10" ht="12" customHeight="1" x14ac:dyDescent="0.3">
      <c r="A278" s="1">
        <f t="shared" si="3"/>
        <v>43907</v>
      </c>
      <c r="B278" s="20">
        <v>1154.891304347826</v>
      </c>
      <c r="C278" s="20">
        <f t="shared" si="4"/>
        <v>25135.869565217396</v>
      </c>
      <c r="D278" s="21" t="str">
        <f t="shared" si="0"/>
        <v>200317</v>
      </c>
      <c r="E278" s="22">
        <f t="shared" si="5"/>
        <v>2.458612</v>
      </c>
      <c r="F278" s="9">
        <v>0</v>
      </c>
      <c r="G278" s="14">
        <f t="shared" si="1"/>
        <v>100.03808840778058</v>
      </c>
      <c r="H278" s="24">
        <f t="shared" si="6"/>
        <v>-400.36592219422573</v>
      </c>
      <c r="I278" s="20">
        <f t="shared" si="2"/>
        <v>24735.50364302317</v>
      </c>
      <c r="J278" s="17">
        <f t="shared" si="7"/>
        <v>2.4735503643023171</v>
      </c>
    </row>
    <row r="279" spans="1:10" ht="12" customHeight="1" x14ac:dyDescent="0.3">
      <c r="A279" s="1">
        <f t="shared" si="3"/>
        <v>43908</v>
      </c>
      <c r="B279" s="20">
        <v>1222.8260869565217</v>
      </c>
      <c r="C279" s="20">
        <f t="shared" si="4"/>
        <v>25203.804347826092</v>
      </c>
      <c r="D279" s="21" t="str">
        <f t="shared" si="0"/>
        <v>200318</v>
      </c>
      <c r="E279" s="22">
        <f t="shared" si="5"/>
        <v>2.458612</v>
      </c>
      <c r="F279" s="9">
        <v>0</v>
      </c>
      <c r="G279" s="14">
        <f t="shared" si="1"/>
        <v>100.03794263394791</v>
      </c>
      <c r="H279" s="24">
        <f t="shared" si="6"/>
        <v>-401.82366052093244</v>
      </c>
      <c r="I279" s="20">
        <f t="shared" si="2"/>
        <v>24801.98068730516</v>
      </c>
      <c r="J279" s="17">
        <f t="shared" si="7"/>
        <v>2.4801980687305161</v>
      </c>
    </row>
    <row r="280" spans="1:10" ht="12" customHeight="1" x14ac:dyDescent="0.3">
      <c r="A280" s="1">
        <f t="shared" si="3"/>
        <v>43909</v>
      </c>
      <c r="B280" s="20">
        <v>1290.7608695652173</v>
      </c>
      <c r="C280" s="20">
        <f t="shared" si="4"/>
        <v>25271.739130434788</v>
      </c>
      <c r="D280" s="21" t="str">
        <f t="shared" si="0"/>
        <v>200319</v>
      </c>
      <c r="E280" s="22">
        <f t="shared" si="5"/>
        <v>2.458612</v>
      </c>
      <c r="F280" s="9">
        <v>0</v>
      </c>
      <c r="G280" s="14">
        <f t="shared" si="1"/>
        <v>100.03779732161385</v>
      </c>
      <c r="H280" s="24">
        <f t="shared" si="6"/>
        <v>-403.27678386148591</v>
      </c>
      <c r="I280" s="20">
        <f t="shared" si="2"/>
        <v>24868.462346573302</v>
      </c>
      <c r="J280" s="17">
        <f t="shared" si="7"/>
        <v>2.4868462346573303</v>
      </c>
    </row>
    <row r="281" spans="1:10" ht="12" customHeight="1" x14ac:dyDescent="0.3">
      <c r="A281" s="1">
        <f t="shared" si="3"/>
        <v>43910</v>
      </c>
      <c r="B281" s="20">
        <v>1358.695652173913</v>
      </c>
      <c r="C281" s="20">
        <f t="shared" si="4"/>
        <v>25339.673913043483</v>
      </c>
      <c r="D281" s="21" t="str">
        <f t="shared" si="0"/>
        <v>200320</v>
      </c>
      <c r="E281" s="22">
        <f t="shared" si="5"/>
        <v>2.458612</v>
      </c>
      <c r="F281" s="9">
        <v>0</v>
      </c>
      <c r="G281" s="14">
        <f t="shared" si="1"/>
        <v>100.03765247080972</v>
      </c>
      <c r="H281" s="24">
        <f t="shared" si="6"/>
        <v>-404.72529190282103</v>
      </c>
      <c r="I281" s="20">
        <f t="shared" si="2"/>
        <v>24934.948621140662</v>
      </c>
      <c r="J281" s="17">
        <f t="shared" si="7"/>
        <v>2.493494862114066</v>
      </c>
    </row>
    <row r="282" spans="1:10" ht="12" customHeight="1" x14ac:dyDescent="0.3">
      <c r="A282" s="1">
        <f t="shared" si="3"/>
        <v>43913</v>
      </c>
      <c r="B282" s="20">
        <v>1562.5</v>
      </c>
      <c r="C282" s="20">
        <f t="shared" si="4"/>
        <v>25543.478260869571</v>
      </c>
      <c r="D282" s="21" t="str">
        <f t="shared" si="0"/>
        <v>200323</v>
      </c>
      <c r="E282" s="22">
        <f t="shared" si="5"/>
        <v>2.458612</v>
      </c>
      <c r="F282" s="9">
        <v>0</v>
      </c>
      <c r="G282" s="14">
        <f t="shared" si="1"/>
        <v>100.03722068789031</v>
      </c>
      <c r="H282" s="24">
        <f t="shared" si="6"/>
        <v>-409.0431210968859</v>
      </c>
      <c r="I282" s="20">
        <f t="shared" si="2"/>
        <v>25134.435139772686</v>
      </c>
      <c r="J282" s="17">
        <f t="shared" si="7"/>
        <v>2.5134435139772688</v>
      </c>
    </row>
    <row r="283" spans="1:10" ht="12" customHeight="1" x14ac:dyDescent="0.3">
      <c r="A283" s="1">
        <f t="shared" si="3"/>
        <v>43914</v>
      </c>
      <c r="B283" s="20">
        <v>1630.4347826086957</v>
      </c>
      <c r="C283" s="20">
        <f t="shared" si="4"/>
        <v>25611.413043478267</v>
      </c>
      <c r="D283" s="21" t="str">
        <f t="shared" si="0"/>
        <v>200324</v>
      </c>
      <c r="E283" s="22">
        <f t="shared" si="5"/>
        <v>2.458612</v>
      </c>
      <c r="F283" s="9">
        <v>0</v>
      </c>
      <c r="G283" s="14">
        <f t="shared" si="1"/>
        <v>100.03707768351927</v>
      </c>
      <c r="H283" s="24">
        <f t="shared" si="6"/>
        <v>-410.47316480728563</v>
      </c>
      <c r="I283" s="20">
        <f t="shared" si="2"/>
        <v>25200.939878670983</v>
      </c>
      <c r="J283" s="17">
        <f t="shared" si="7"/>
        <v>2.520093987867098</v>
      </c>
    </row>
    <row r="284" spans="1:10" ht="12" customHeight="1" x14ac:dyDescent="0.3">
      <c r="A284" s="1">
        <f t="shared" si="3"/>
        <v>43915</v>
      </c>
      <c r="B284" s="20">
        <v>1698.3695652173913</v>
      </c>
      <c r="C284" s="20">
        <f t="shared" si="4"/>
        <v>25679.347826086963</v>
      </c>
      <c r="D284" s="21" t="str">
        <f t="shared" si="0"/>
        <v>200325</v>
      </c>
      <c r="E284" s="22">
        <f t="shared" si="5"/>
        <v>2.458612</v>
      </c>
      <c r="F284" s="9">
        <v>0</v>
      </c>
      <c r="G284" s="14">
        <f t="shared" si="1"/>
        <v>100.03693514083486</v>
      </c>
      <c r="H284" s="24">
        <f t="shared" si="6"/>
        <v>-411.89859165143616</v>
      </c>
      <c r="I284" s="20">
        <f t="shared" si="2"/>
        <v>25267.449234435528</v>
      </c>
      <c r="J284" s="17">
        <f t="shared" si="7"/>
        <v>2.5267449234435526</v>
      </c>
    </row>
    <row r="285" spans="1:10" ht="12" customHeight="1" x14ac:dyDescent="0.3">
      <c r="A285" s="1">
        <f t="shared" si="3"/>
        <v>43916</v>
      </c>
      <c r="B285" s="20">
        <v>1766.3043478260868</v>
      </c>
      <c r="C285" s="20">
        <f t="shared" si="4"/>
        <v>25747.282608695659</v>
      </c>
      <c r="D285" s="21" t="str">
        <f t="shared" si="0"/>
        <v>200326</v>
      </c>
      <c r="E285" s="22">
        <f t="shared" si="5"/>
        <v>2.458612</v>
      </c>
      <c r="F285" s="9">
        <v>0</v>
      </c>
      <c r="G285" s="14">
        <f t="shared" si="1"/>
        <v>100.0367930598684</v>
      </c>
      <c r="H285" s="24">
        <f t="shared" si="6"/>
        <v>-413.31940131598799</v>
      </c>
      <c r="I285" s="20">
        <f t="shared" si="2"/>
        <v>25333.963207379671</v>
      </c>
      <c r="J285" s="17">
        <f t="shared" si="7"/>
        <v>2.5333963207379671</v>
      </c>
    </row>
    <row r="286" spans="1:10" ht="12" customHeight="1" x14ac:dyDescent="0.3">
      <c r="A286" s="1">
        <f t="shared" si="3"/>
        <v>43917</v>
      </c>
      <c r="B286" s="20">
        <v>1834.2391304347827</v>
      </c>
      <c r="C286" s="20">
        <f t="shared" si="4"/>
        <v>25815.217391304355</v>
      </c>
      <c r="D286" s="21" t="str">
        <f t="shared" si="0"/>
        <v>200327</v>
      </c>
      <c r="E286" s="22">
        <f t="shared" si="5"/>
        <v>2.458612</v>
      </c>
      <c r="F286" s="9">
        <v>0</v>
      </c>
      <c r="G286" s="14">
        <f t="shared" si="1"/>
        <v>100.03665144065121</v>
      </c>
      <c r="H286" s="24">
        <f t="shared" si="6"/>
        <v>-414.73559348787603</v>
      </c>
      <c r="I286" s="20">
        <f t="shared" si="2"/>
        <v>25400.481797816479</v>
      </c>
      <c r="J286" s="17">
        <f t="shared" si="7"/>
        <v>2.5400481797816479</v>
      </c>
    </row>
    <row r="287" spans="1:10" ht="12" customHeight="1" x14ac:dyDescent="0.3">
      <c r="A287" s="1">
        <f t="shared" si="3"/>
        <v>43920</v>
      </c>
      <c r="B287" s="20">
        <v>2038.0434782608697</v>
      </c>
      <c r="C287" s="20">
        <f t="shared" si="4"/>
        <v>26019.021739130443</v>
      </c>
      <c r="D287" s="21" t="str">
        <f t="shared" si="0"/>
        <v>200330</v>
      </c>
      <c r="E287" s="22">
        <f t="shared" si="5"/>
        <v>2.458612</v>
      </c>
      <c r="F287" s="9">
        <v>0</v>
      </c>
      <c r="G287" s="14">
        <f t="shared" si="1"/>
        <v>100.03622935380891</v>
      </c>
      <c r="H287" s="24">
        <f t="shared" si="6"/>
        <v>-418.95646191093761</v>
      </c>
      <c r="I287" s="20">
        <f t="shared" si="2"/>
        <v>25600.065277219506</v>
      </c>
      <c r="J287" s="17">
        <f t="shared" si="7"/>
        <v>2.5600065277219506</v>
      </c>
    </row>
    <row r="288" spans="1:10" ht="12" customHeight="1" x14ac:dyDescent="0.3">
      <c r="A288" s="1">
        <f t="shared" si="3"/>
        <v>43921</v>
      </c>
      <c r="B288" s="20">
        <v>2105.978260869565</v>
      </c>
      <c r="C288" s="20">
        <f t="shared" si="4"/>
        <v>26086.956521739139</v>
      </c>
      <c r="D288" s="21" t="str">
        <f t="shared" si="0"/>
        <v>200331</v>
      </c>
      <c r="E288" s="22">
        <f t="shared" si="5"/>
        <v>2.458612</v>
      </c>
      <c r="F288" s="9">
        <v>0</v>
      </c>
      <c r="G288" s="14">
        <f t="shared" si="1"/>
        <v>100.03608958190236</v>
      </c>
      <c r="H288" s="24">
        <f t="shared" si="6"/>
        <v>-420.35418097640331</v>
      </c>
      <c r="I288" s="20">
        <f t="shared" si="2"/>
        <v>25666.602340762736</v>
      </c>
      <c r="J288" s="17">
        <f t="shared" si="7"/>
        <v>2.5666602340762736</v>
      </c>
    </row>
    <row r="289" spans="1:10" ht="12" customHeight="1" x14ac:dyDescent="0.3">
      <c r="A289" s="1">
        <f t="shared" si="3"/>
        <v>43922</v>
      </c>
      <c r="B289" s="20">
        <v>2173.913043478261</v>
      </c>
      <c r="C289" s="20">
        <f t="shared" si="4"/>
        <v>26154.891304347835</v>
      </c>
      <c r="D289" s="21" t="str">
        <f t="shared" si="0"/>
        <v>200401</v>
      </c>
      <c r="E289" s="22">
        <f t="shared" si="5"/>
        <v>2.458612</v>
      </c>
      <c r="F289" s="9">
        <v>0</v>
      </c>
      <c r="G289" s="14">
        <f t="shared" si="1"/>
        <v>100.03595027190184</v>
      </c>
      <c r="H289" s="24">
        <f t="shared" si="6"/>
        <v>-421.74728098160585</v>
      </c>
      <c r="I289" s="20">
        <f t="shared" si="2"/>
        <v>25733.144023366229</v>
      </c>
      <c r="J289" s="17">
        <f t="shared" si="7"/>
        <v>2.573314402336623</v>
      </c>
    </row>
    <row r="290" spans="1:10" ht="12" customHeight="1" x14ac:dyDescent="0.3">
      <c r="A290" s="1">
        <f t="shared" si="3"/>
        <v>43923</v>
      </c>
      <c r="B290" s="20">
        <v>2241.8478260869565</v>
      </c>
      <c r="C290" s="20">
        <f t="shared" si="4"/>
        <v>26222.826086956531</v>
      </c>
      <c r="D290" s="21" t="str">
        <f t="shared" si="0"/>
        <v>200402</v>
      </c>
      <c r="E290" s="22">
        <f t="shared" si="5"/>
        <v>2.458612</v>
      </c>
      <c r="F290" s="9">
        <v>0</v>
      </c>
      <c r="G290" s="14">
        <f t="shared" si="1"/>
        <v>100.03581142383871</v>
      </c>
      <c r="H290" s="24">
        <f t="shared" si="6"/>
        <v>-423.13576161291166</v>
      </c>
      <c r="I290" s="20">
        <f t="shared" si="2"/>
        <v>25799.690325343618</v>
      </c>
      <c r="J290" s="17">
        <f t="shared" si="7"/>
        <v>2.5799690325343616</v>
      </c>
    </row>
    <row r="291" spans="1:10" ht="12" customHeight="1" x14ac:dyDescent="0.3">
      <c r="A291" s="1">
        <f t="shared" si="3"/>
        <v>43924</v>
      </c>
      <c r="B291" s="20">
        <v>2309.782608695652</v>
      </c>
      <c r="C291" s="20">
        <f t="shared" si="4"/>
        <v>26290.760869565227</v>
      </c>
      <c r="D291" s="21" t="str">
        <f t="shared" si="0"/>
        <v>200403</v>
      </c>
      <c r="E291" s="22">
        <f t="shared" si="5"/>
        <v>2.458612</v>
      </c>
      <c r="F291" s="9">
        <v>0</v>
      </c>
      <c r="G291" s="14">
        <f t="shared" si="1"/>
        <v>100.03567303774435</v>
      </c>
      <c r="H291" s="24">
        <f t="shared" si="6"/>
        <v>-424.51962255654507</v>
      </c>
      <c r="I291" s="20">
        <f t="shared" si="2"/>
        <v>25866.241247008682</v>
      </c>
      <c r="J291" s="17">
        <f t="shared" si="7"/>
        <v>2.5866241247008683</v>
      </c>
    </row>
    <row r="292" spans="1:10" ht="12" customHeight="1" x14ac:dyDescent="0.3">
      <c r="A292" s="1">
        <f t="shared" si="3"/>
        <v>43927</v>
      </c>
      <c r="B292" s="20">
        <v>2513.5869565217395</v>
      </c>
      <c r="C292" s="20">
        <f t="shared" si="4"/>
        <v>26494.565217391315</v>
      </c>
      <c r="D292" s="21" t="str">
        <f t="shared" si="0"/>
        <v>200406</v>
      </c>
      <c r="E292" s="22">
        <f t="shared" si="5"/>
        <v>2.458612</v>
      </c>
      <c r="F292" s="9">
        <v>0</v>
      </c>
      <c r="G292" s="14">
        <f t="shared" si="1"/>
        <v>100.03526065158729</v>
      </c>
      <c r="H292" s="24">
        <f t="shared" si="6"/>
        <v>-428.64348412706471</v>
      </c>
      <c r="I292" s="20">
        <f t="shared" si="2"/>
        <v>26065.921733264251</v>
      </c>
      <c r="J292" s="17">
        <f t="shared" si="7"/>
        <v>2.6065921733264252</v>
      </c>
    </row>
    <row r="293" spans="1:10" ht="12" customHeight="1" x14ac:dyDescent="0.3">
      <c r="A293" s="1">
        <f t="shared" si="3"/>
        <v>43928</v>
      </c>
      <c r="B293" s="20">
        <v>2581.5217391304345</v>
      </c>
      <c r="C293" s="20">
        <f t="shared" si="4"/>
        <v>26562.500000000011</v>
      </c>
      <c r="D293" s="21" t="str">
        <f t="shared" si="0"/>
        <v>200407</v>
      </c>
      <c r="E293" s="22">
        <f t="shared" si="5"/>
        <v>2.458612</v>
      </c>
      <c r="F293" s="9">
        <v>0</v>
      </c>
      <c r="G293" s="14">
        <f t="shared" si="1"/>
        <v>100.03512411368149</v>
      </c>
      <c r="H293" s="24">
        <f t="shared" si="6"/>
        <v>-430.00886318509401</v>
      </c>
      <c r="I293" s="20">
        <f t="shared" si="2"/>
        <v>26132.491136814919</v>
      </c>
      <c r="J293" s="17">
        <f t="shared" si="7"/>
        <v>2.6132491136814919</v>
      </c>
    </row>
    <row r="294" spans="1:10" ht="12" customHeight="1" x14ac:dyDescent="0.3">
      <c r="A294" s="1">
        <f t="shared" si="3"/>
        <v>43929</v>
      </c>
      <c r="B294" s="20">
        <v>2649.45652173913</v>
      </c>
      <c r="C294" s="20">
        <f t="shared" si="4"/>
        <v>26630.434782608707</v>
      </c>
      <c r="D294" s="21" t="str">
        <f t="shared" si="0"/>
        <v>200408</v>
      </c>
      <c r="E294" s="22">
        <f t="shared" si="5"/>
        <v>2.458612</v>
      </c>
      <c r="F294" s="9">
        <v>0</v>
      </c>
      <c r="G294" s="14">
        <f t="shared" si="1"/>
        <v>100.03498803790127</v>
      </c>
      <c r="H294" s="24">
        <f t="shared" si="6"/>
        <v>-431.36962098728304</v>
      </c>
      <c r="I294" s="20">
        <f t="shared" si="2"/>
        <v>26199.065161621424</v>
      </c>
      <c r="J294" s="17">
        <f t="shared" si="7"/>
        <v>2.6199065161621427</v>
      </c>
    </row>
    <row r="295" spans="1:10" ht="12" customHeight="1" x14ac:dyDescent="0.3">
      <c r="A295" s="1">
        <f t="shared" si="3"/>
        <v>43930</v>
      </c>
      <c r="B295" s="20">
        <v>2717.391304347826</v>
      </c>
      <c r="C295" s="20">
        <f t="shared" si="4"/>
        <v>26698.369565217403</v>
      </c>
      <c r="D295" s="21" t="str">
        <f t="shared" si="0"/>
        <v>200409</v>
      </c>
      <c r="E295" s="22">
        <f t="shared" si="5"/>
        <v>2.458612</v>
      </c>
      <c r="F295" s="9">
        <v>0</v>
      </c>
      <c r="G295" s="14">
        <f t="shared" si="1"/>
        <v>100.03485242427797</v>
      </c>
      <c r="H295" s="24">
        <f t="shared" si="6"/>
        <v>-432.72575722028256</v>
      </c>
      <c r="I295" s="20">
        <f t="shared" si="2"/>
        <v>26265.643807997119</v>
      </c>
      <c r="J295" s="17">
        <f t="shared" si="7"/>
        <v>2.6265643807997119</v>
      </c>
    </row>
    <row r="296" spans="1:10" ht="12" customHeight="1" x14ac:dyDescent="0.3">
      <c r="A296" s="1">
        <f t="shared" si="3"/>
        <v>43931</v>
      </c>
      <c r="B296" s="20">
        <v>2785.3260869565215</v>
      </c>
      <c r="C296" s="20">
        <f t="shared" si="4"/>
        <v>26766.304347826099</v>
      </c>
      <c r="D296" s="21" t="str">
        <f t="shared" si="0"/>
        <v>200410</v>
      </c>
      <c r="E296" s="22">
        <f t="shared" si="5"/>
        <v>2.458612</v>
      </c>
      <c r="F296" s="9">
        <v>0</v>
      </c>
      <c r="G296" s="14">
        <f t="shared" si="1"/>
        <v>100.03471727284295</v>
      </c>
      <c r="H296" s="24">
        <f t="shared" si="6"/>
        <v>-434.07727157045883</v>
      </c>
      <c r="I296" s="20">
        <f t="shared" si="2"/>
        <v>26332.22707625564</v>
      </c>
      <c r="J296" s="17">
        <f t="shared" si="7"/>
        <v>2.6332227076255639</v>
      </c>
    </row>
    <row r="297" spans="1:10" ht="12" customHeight="1" x14ac:dyDescent="0.3">
      <c r="A297" s="1">
        <f t="shared" si="3"/>
        <v>43934</v>
      </c>
      <c r="B297" s="20">
        <v>2989.1304347826085</v>
      </c>
      <c r="C297" s="20">
        <f t="shared" si="4"/>
        <v>26970.108695652187</v>
      </c>
      <c r="D297" s="21" t="str">
        <f t="shared" si="0"/>
        <v>200413</v>
      </c>
      <c r="E297" s="22">
        <f t="shared" si="5"/>
        <v>2.458612</v>
      </c>
      <c r="F297" s="9">
        <v>0</v>
      </c>
      <c r="G297" s="14">
        <f t="shared" si="1"/>
        <v>100.03431459198154</v>
      </c>
      <c r="H297" s="24">
        <f t="shared" si="6"/>
        <v>-438.10408018458702</v>
      </c>
      <c r="I297" s="20">
        <f t="shared" si="2"/>
        <v>26532.004615467598</v>
      </c>
      <c r="J297" s="17">
        <f t="shared" si="7"/>
        <v>2.6532004615467599</v>
      </c>
    </row>
    <row r="298" spans="1:10" ht="12" customHeight="1" x14ac:dyDescent="0.3">
      <c r="A298" s="1">
        <f t="shared" si="3"/>
        <v>43935</v>
      </c>
      <c r="B298" s="20">
        <v>3057.0652173913045</v>
      </c>
      <c r="C298" s="20">
        <f t="shared" si="4"/>
        <v>27038.043478260883</v>
      </c>
      <c r="D298" s="21" t="str">
        <f t="shared" si="0"/>
        <v>200414</v>
      </c>
      <c r="E298" s="22">
        <f t="shared" si="5"/>
        <v>2.458612</v>
      </c>
      <c r="F298" s="9">
        <v>0</v>
      </c>
      <c r="G298" s="14">
        <f t="shared" si="1"/>
        <v>100.0341812896135</v>
      </c>
      <c r="H298" s="24">
        <f t="shared" si="6"/>
        <v>-439.43710386500356</v>
      </c>
      <c r="I298" s="20">
        <f t="shared" si="2"/>
        <v>26598.60637439588</v>
      </c>
      <c r="J298" s="17">
        <f t="shared" si="7"/>
        <v>2.6598606374395879</v>
      </c>
    </row>
    <row r="299" spans="1:10" ht="12" customHeight="1" x14ac:dyDescent="0.3">
      <c r="A299" s="1">
        <f t="shared" si="3"/>
        <v>43936</v>
      </c>
      <c r="B299" s="20">
        <v>3125</v>
      </c>
      <c r="C299" s="20">
        <f t="shared" si="4"/>
        <v>27105.978260869579</v>
      </c>
      <c r="D299" s="21" t="str">
        <f t="shared" si="0"/>
        <v>200415</v>
      </c>
      <c r="E299" s="22">
        <f t="shared" si="5"/>
        <v>2.458612</v>
      </c>
      <c r="F299" s="9">
        <v>0</v>
      </c>
      <c r="G299" s="14">
        <f t="shared" si="1"/>
        <v>100.03404844959064</v>
      </c>
      <c r="H299" s="24">
        <f t="shared" si="6"/>
        <v>-440.76550409357651</v>
      </c>
      <c r="I299" s="20">
        <f t="shared" si="2"/>
        <v>26665.212756776004</v>
      </c>
      <c r="J299" s="17">
        <f t="shared" si="7"/>
        <v>2.6665212756776002</v>
      </c>
    </row>
    <row r="300" spans="1:10" ht="12" customHeight="1" x14ac:dyDescent="0.3">
      <c r="A300" s="1">
        <f t="shared" si="3"/>
        <v>43937</v>
      </c>
      <c r="B300" s="20">
        <v>3192.9347826086964</v>
      </c>
      <c r="C300" s="20">
        <f t="shared" si="4"/>
        <v>27173.913043478275</v>
      </c>
      <c r="D300" s="21" t="str">
        <f t="shared" si="0"/>
        <v>200416</v>
      </c>
      <c r="E300" s="22">
        <f t="shared" si="5"/>
        <v>2.458612</v>
      </c>
      <c r="F300" s="9">
        <v>0</v>
      </c>
      <c r="G300" s="14">
        <f t="shared" si="1"/>
        <v>100.03391607194438</v>
      </c>
      <c r="H300" s="24">
        <f t="shared" si="6"/>
        <v>-442.08928055624597</v>
      </c>
      <c r="I300" s="20">
        <f t="shared" si="2"/>
        <v>26731.823762922028</v>
      </c>
      <c r="J300" s="17">
        <f t="shared" si="7"/>
        <v>2.6731823762922025</v>
      </c>
    </row>
    <row r="301" spans="1:10" ht="12" customHeight="1" x14ac:dyDescent="0.3">
      <c r="A301" s="1">
        <f t="shared" si="3"/>
        <v>43938</v>
      </c>
      <c r="B301" s="20">
        <v>3260.8695652173915</v>
      </c>
      <c r="C301" s="20">
        <f t="shared" si="4"/>
        <v>27241.847826086971</v>
      </c>
      <c r="D301" s="21" t="str">
        <f t="shared" si="0"/>
        <v>200417</v>
      </c>
      <c r="E301" s="22">
        <f t="shared" si="5"/>
        <v>2.458612</v>
      </c>
      <c r="F301" s="9">
        <v>0</v>
      </c>
      <c r="G301" s="14">
        <f t="shared" si="1"/>
        <v>100.03378415670608</v>
      </c>
      <c r="H301" s="24">
        <f t="shared" si="6"/>
        <v>-443.40843293923621</v>
      </c>
      <c r="I301" s="20">
        <f t="shared" si="2"/>
        <v>26798.439393147735</v>
      </c>
      <c r="J301" s="17">
        <f t="shared" si="7"/>
        <v>2.6798439393147735</v>
      </c>
    </row>
    <row r="302" spans="1:10" ht="12" customHeight="1" x14ac:dyDescent="0.3">
      <c r="A302" s="1">
        <f t="shared" si="3"/>
        <v>43941</v>
      </c>
      <c r="B302" s="20">
        <v>3464.6739130434785</v>
      </c>
      <c r="C302" s="20">
        <f t="shared" si="4"/>
        <v>27445.652173913059</v>
      </c>
      <c r="D302" s="21" t="str">
        <f t="shared" si="0"/>
        <v>200420</v>
      </c>
      <c r="E302" s="22">
        <f t="shared" si="5"/>
        <v>2.458612</v>
      </c>
      <c r="F302" s="9">
        <v>0</v>
      </c>
      <c r="G302" s="14">
        <f t="shared" si="1"/>
        <v>100.03339118575281</v>
      </c>
      <c r="H302" s="24">
        <f t="shared" si="6"/>
        <v>-447.33814247194908</v>
      </c>
      <c r="I302" s="20">
        <f t="shared" si="2"/>
        <v>26998.31403144111</v>
      </c>
      <c r="J302" s="17">
        <f t="shared" si="7"/>
        <v>2.6998314031441111</v>
      </c>
    </row>
    <row r="303" spans="1:10" ht="12" customHeight="1" x14ac:dyDescent="0.3">
      <c r="A303" s="1">
        <f t="shared" si="3"/>
        <v>43942</v>
      </c>
      <c r="B303" s="20">
        <v>3532.6086956521735</v>
      </c>
      <c r="C303" s="20">
        <f t="shared" si="4"/>
        <v>27513.586956521754</v>
      </c>
      <c r="D303" s="21" t="str">
        <f t="shared" si="0"/>
        <v>200421</v>
      </c>
      <c r="E303" s="22">
        <f t="shared" si="5"/>
        <v>2.458612</v>
      </c>
      <c r="F303" s="9">
        <v>0</v>
      </c>
      <c r="G303" s="14">
        <f t="shared" si="1"/>
        <v>100.03326112046024</v>
      </c>
      <c r="H303" s="24">
        <f t="shared" si="6"/>
        <v>-448.63879539761342</v>
      </c>
      <c r="I303" s="20">
        <f t="shared" si="2"/>
        <v>27064.948161124143</v>
      </c>
      <c r="J303" s="17">
        <f t="shared" si="7"/>
        <v>2.7064948161124143</v>
      </c>
    </row>
    <row r="304" spans="1:10" ht="12" customHeight="1" x14ac:dyDescent="0.3">
      <c r="A304" s="1">
        <f t="shared" si="3"/>
        <v>43943</v>
      </c>
      <c r="B304" s="20">
        <v>3600.54347826087</v>
      </c>
      <c r="C304" s="20">
        <f t="shared" si="4"/>
        <v>27581.52173913045</v>
      </c>
      <c r="D304" s="21" t="str">
        <f t="shared" si="0"/>
        <v>200422</v>
      </c>
      <c r="E304" s="22">
        <f t="shared" si="5"/>
        <v>2.458612</v>
      </c>
      <c r="F304" s="9">
        <v>0</v>
      </c>
      <c r="G304" s="14">
        <f t="shared" si="1"/>
        <v>100.03313151773261</v>
      </c>
      <c r="H304" s="24">
        <f t="shared" si="6"/>
        <v>-449.93482267386753</v>
      </c>
      <c r="I304" s="20">
        <f t="shared" si="2"/>
        <v>27131.586916456581</v>
      </c>
      <c r="J304" s="17">
        <f t="shared" si="7"/>
        <v>2.713158691645658</v>
      </c>
    </row>
    <row r="305" spans="1:10" ht="12" customHeight="1" x14ac:dyDescent="0.3">
      <c r="A305" s="1">
        <f t="shared" si="3"/>
        <v>43944</v>
      </c>
      <c r="B305" s="20">
        <v>3668.4782608695655</v>
      </c>
      <c r="C305" s="20">
        <f t="shared" si="4"/>
        <v>27649.456521739146</v>
      </c>
      <c r="D305" s="21" t="str">
        <f t="shared" si="0"/>
        <v>200423</v>
      </c>
      <c r="E305" s="22">
        <f t="shared" si="5"/>
        <v>2.458612</v>
      </c>
      <c r="F305" s="9">
        <v>0</v>
      </c>
      <c r="G305" s="14">
        <f t="shared" si="1"/>
        <v>100.03300237760132</v>
      </c>
      <c r="H305" s="24">
        <f t="shared" si="6"/>
        <v>-451.22622398679368</v>
      </c>
      <c r="I305" s="20">
        <f t="shared" si="2"/>
        <v>27198.230297752354</v>
      </c>
      <c r="J305" s="17">
        <f t="shared" si="7"/>
        <v>2.7198230297752355</v>
      </c>
    </row>
    <row r="306" spans="1:10" ht="12" customHeight="1" x14ac:dyDescent="0.3">
      <c r="A306" s="1">
        <f t="shared" si="3"/>
        <v>43945</v>
      </c>
      <c r="B306" s="20">
        <v>3736.4130434782605</v>
      </c>
      <c r="C306" s="20">
        <f t="shared" si="4"/>
        <v>27717.391304347842</v>
      </c>
      <c r="D306" s="21" t="str">
        <f t="shared" si="0"/>
        <v>200424</v>
      </c>
      <c r="E306" s="22">
        <f t="shared" si="5"/>
        <v>2.458612</v>
      </c>
      <c r="F306" s="9">
        <v>0</v>
      </c>
      <c r="G306" s="14">
        <f t="shared" si="1"/>
        <v>100.03287370009774</v>
      </c>
      <c r="H306" s="24">
        <f t="shared" si="6"/>
        <v>-452.51299902261621</v>
      </c>
      <c r="I306" s="20">
        <f t="shared" si="2"/>
        <v>27264.878305325226</v>
      </c>
      <c r="J306" s="17">
        <f t="shared" si="7"/>
        <v>2.7264878305325224</v>
      </c>
    </row>
    <row r="307" spans="1:10" ht="12" customHeight="1" x14ac:dyDescent="0.3">
      <c r="A307" s="1">
        <f t="shared" si="3"/>
        <v>43948</v>
      </c>
      <c r="B307" s="20">
        <v>3940.217391304348</v>
      </c>
      <c r="C307" s="20">
        <f t="shared" si="4"/>
        <v>27921.19565217393</v>
      </c>
      <c r="D307" s="21" t="str">
        <f t="shared" si="0"/>
        <v>200427</v>
      </c>
      <c r="E307" s="22">
        <f t="shared" si="5"/>
        <v>2.458612</v>
      </c>
      <c r="F307" s="9">
        <v>0</v>
      </c>
      <c r="G307" s="14">
        <f t="shared" si="1"/>
        <v>100.03249044366738</v>
      </c>
      <c r="H307" s="24">
        <f t="shared" si="6"/>
        <v>-456.34556332615261</v>
      </c>
      <c r="I307" s="20">
        <f t="shared" si="2"/>
        <v>27464.850088847779</v>
      </c>
      <c r="J307" s="17">
        <f t="shared" si="7"/>
        <v>2.7464850088847781</v>
      </c>
    </row>
    <row r="308" spans="1:10" ht="12" customHeight="1" x14ac:dyDescent="0.3">
      <c r="A308" s="1">
        <f t="shared" si="3"/>
        <v>43949</v>
      </c>
      <c r="B308" s="20">
        <v>4008.152173913043</v>
      </c>
      <c r="C308" s="20">
        <f t="shared" si="4"/>
        <v>27989.130434782626</v>
      </c>
      <c r="D308" s="21" t="str">
        <f t="shared" si="0"/>
        <v>200428</v>
      </c>
      <c r="E308" s="22">
        <f t="shared" si="5"/>
        <v>2.458612</v>
      </c>
      <c r="F308" s="9">
        <v>0</v>
      </c>
      <c r="G308" s="14">
        <f t="shared" si="1"/>
        <v>100.03236361698877</v>
      </c>
      <c r="H308" s="24">
        <f t="shared" si="6"/>
        <v>-457.61383011225121</v>
      </c>
      <c r="I308" s="20">
        <f t="shared" si="2"/>
        <v>27531.516604670374</v>
      </c>
      <c r="J308" s="17">
        <f t="shared" si="7"/>
        <v>2.7531516604670374</v>
      </c>
    </row>
    <row r="309" spans="1:10" ht="12" customHeight="1" x14ac:dyDescent="0.3">
      <c r="A309" s="1">
        <f t="shared" si="3"/>
        <v>43950</v>
      </c>
      <c r="B309" s="20">
        <v>4076.0869565217395</v>
      </c>
      <c r="C309" s="20">
        <f t="shared" si="4"/>
        <v>28057.065217391322</v>
      </c>
      <c r="D309" s="21" t="str">
        <f t="shared" si="0"/>
        <v>200429</v>
      </c>
      <c r="E309" s="22">
        <f t="shared" si="5"/>
        <v>2.458612</v>
      </c>
      <c r="F309" s="9">
        <v>0</v>
      </c>
      <c r="G309" s="14">
        <f t="shared" si="1"/>
        <v>100.03223725309493</v>
      </c>
      <c r="H309" s="24">
        <f t="shared" si="6"/>
        <v>-458.87746905066246</v>
      </c>
      <c r="I309" s="20">
        <f t="shared" si="2"/>
        <v>27598.187748340661</v>
      </c>
      <c r="J309" s="17">
        <f t="shared" si="7"/>
        <v>2.7598187748340659</v>
      </c>
    </row>
    <row r="310" spans="1:10" ht="12" customHeight="1" x14ac:dyDescent="0.3">
      <c r="A310" s="1">
        <f t="shared" si="3"/>
        <v>43951</v>
      </c>
      <c r="B310" s="20">
        <v>4144.021739130435</v>
      </c>
      <c r="C310" s="20">
        <f t="shared" si="4"/>
        <v>28125.000000000018</v>
      </c>
      <c r="D310" s="21" t="str">
        <f t="shared" si="0"/>
        <v>200430</v>
      </c>
      <c r="E310" s="22">
        <f t="shared" si="5"/>
        <v>2.458612</v>
      </c>
      <c r="F310" s="9">
        <v>0</v>
      </c>
      <c r="G310" s="14">
        <f t="shared" si="1"/>
        <v>100.03211135201725</v>
      </c>
      <c r="H310" s="24">
        <f t="shared" si="6"/>
        <v>-460.13647982746875</v>
      </c>
      <c r="I310" s="20">
        <f t="shared" si="2"/>
        <v>27664.863520172548</v>
      </c>
      <c r="J310" s="17">
        <f t="shared" si="7"/>
        <v>2.7664863520172549</v>
      </c>
    </row>
    <row r="311" spans="1:10" ht="12" customHeight="1" x14ac:dyDescent="0.3">
      <c r="A311" s="1">
        <f t="shared" si="3"/>
        <v>43952</v>
      </c>
      <c r="B311" s="20">
        <v>4211.95652173913</v>
      </c>
      <c r="C311" s="20">
        <f t="shared" si="4"/>
        <v>28192.934782608714</v>
      </c>
      <c r="D311" s="21" t="str">
        <f t="shared" si="0"/>
        <v>200501</v>
      </c>
      <c r="E311" s="22">
        <f t="shared" si="5"/>
        <v>2.458612</v>
      </c>
      <c r="F311" s="9">
        <v>0</v>
      </c>
      <c r="G311" s="14">
        <f t="shared" si="1"/>
        <v>100.03198591378717</v>
      </c>
      <c r="H311" s="24">
        <f t="shared" si="6"/>
        <v>-461.39086212832581</v>
      </c>
      <c r="I311" s="20">
        <f t="shared" si="2"/>
        <v>27731.543920480388</v>
      </c>
      <c r="J311" s="17">
        <f t="shared" si="7"/>
        <v>2.7731543920480388</v>
      </c>
    </row>
    <row r="312" spans="1:10" ht="12" customHeight="1" x14ac:dyDescent="0.3">
      <c r="A312" s="1">
        <f t="shared" si="3"/>
        <v>43955</v>
      </c>
      <c r="B312" s="20">
        <v>4415.760869565217</v>
      </c>
      <c r="C312" s="20">
        <f t="shared" si="4"/>
        <v>28396.739130434802</v>
      </c>
      <c r="D312" s="21" t="str">
        <f t="shared" si="0"/>
        <v>200504</v>
      </c>
      <c r="E312" s="22">
        <f t="shared" si="5"/>
        <v>2.458612</v>
      </c>
      <c r="F312" s="9">
        <v>0</v>
      </c>
      <c r="G312" s="14">
        <f t="shared" si="1"/>
        <v>100.0316123764967</v>
      </c>
      <c r="H312" s="24">
        <f t="shared" si="6"/>
        <v>-465.12623503303985</v>
      </c>
      <c r="I312" s="20">
        <f t="shared" si="2"/>
        <v>27931.612895401762</v>
      </c>
      <c r="J312" s="17">
        <f t="shared" si="7"/>
        <v>2.7931612895401763</v>
      </c>
    </row>
    <row r="313" spans="1:10" ht="12" customHeight="1" x14ac:dyDescent="0.3">
      <c r="A313" s="1">
        <f t="shared" si="3"/>
        <v>43956</v>
      </c>
      <c r="B313" s="20">
        <v>4483.695652173913</v>
      </c>
      <c r="C313" s="20">
        <f t="shared" si="4"/>
        <v>28464.673913043498</v>
      </c>
      <c r="D313" s="21" t="str">
        <f t="shared" si="0"/>
        <v>200505</v>
      </c>
      <c r="E313" s="22">
        <f t="shared" si="5"/>
        <v>2.458612</v>
      </c>
      <c r="F313" s="9">
        <v>0</v>
      </c>
      <c r="G313" s="14">
        <f t="shared" si="1"/>
        <v>100.03148878997121</v>
      </c>
      <c r="H313" s="24">
        <f t="shared" si="6"/>
        <v>-466.36210028793806</v>
      </c>
      <c r="I313" s="20">
        <f t="shared" si="2"/>
        <v>27998.311812755561</v>
      </c>
      <c r="J313" s="17">
        <f t="shared" si="7"/>
        <v>2.7998311812755561</v>
      </c>
    </row>
    <row r="314" spans="1:10" ht="12" customHeight="1" x14ac:dyDescent="0.3">
      <c r="A314" s="1">
        <f t="shared" si="3"/>
        <v>43957</v>
      </c>
      <c r="B314" s="20">
        <v>4551.630434782609</v>
      </c>
      <c r="C314" s="20">
        <f t="shared" si="4"/>
        <v>28532.608695652194</v>
      </c>
      <c r="D314" s="21" t="str">
        <f t="shared" si="0"/>
        <v>200506</v>
      </c>
      <c r="E314" s="22">
        <f t="shared" si="5"/>
        <v>2.458612</v>
      </c>
      <c r="F314" s="9">
        <v>0</v>
      </c>
      <c r="G314" s="14">
        <f t="shared" si="1"/>
        <v>100.03136566645043</v>
      </c>
      <c r="H314" s="24">
        <f t="shared" si="6"/>
        <v>-467.59333549573506</v>
      </c>
      <c r="I314" s="20">
        <f t="shared" si="2"/>
        <v>28065.01536015646</v>
      </c>
      <c r="J314" s="17">
        <f t="shared" si="7"/>
        <v>2.806501536015646</v>
      </c>
    </row>
    <row r="315" spans="1:10" ht="12" customHeight="1" x14ac:dyDescent="0.3">
      <c r="A315" s="1">
        <f t="shared" si="3"/>
        <v>43958</v>
      </c>
      <c r="B315" s="20">
        <v>4619.565217391304</v>
      </c>
      <c r="C315" s="20">
        <f t="shared" si="4"/>
        <v>28600.54347826089</v>
      </c>
      <c r="D315" s="21" t="str">
        <f t="shared" si="0"/>
        <v>200507</v>
      </c>
      <c r="E315" s="22">
        <f t="shared" si="5"/>
        <v>2.458612</v>
      </c>
      <c r="F315" s="9">
        <v>0</v>
      </c>
      <c r="G315" s="14">
        <f t="shared" si="1"/>
        <v>100.03124300596576</v>
      </c>
      <c r="H315" s="24">
        <f t="shared" si="6"/>
        <v>-468.81994034237096</v>
      </c>
      <c r="I315" s="20">
        <f t="shared" si="2"/>
        <v>28131.723537918519</v>
      </c>
      <c r="J315" s="17">
        <f t="shared" si="7"/>
        <v>2.813172353791852</v>
      </c>
    </row>
    <row r="316" spans="1:10" ht="12" customHeight="1" x14ac:dyDescent="0.3">
      <c r="A316" s="1">
        <f t="shared" si="3"/>
        <v>43959</v>
      </c>
      <c r="B316" s="20">
        <v>4687.5</v>
      </c>
      <c r="C316" s="20">
        <f t="shared" si="4"/>
        <v>28668.478260869586</v>
      </c>
      <c r="D316" s="21" t="str">
        <f t="shared" si="0"/>
        <v>200508</v>
      </c>
      <c r="E316" s="22">
        <f t="shared" si="5"/>
        <v>2.458612</v>
      </c>
      <c r="F316" s="9">
        <v>0</v>
      </c>
      <c r="G316" s="14">
        <f t="shared" si="1"/>
        <v>100.03112080854868</v>
      </c>
      <c r="H316" s="24">
        <f t="shared" si="6"/>
        <v>-470.04191451321736</v>
      </c>
      <c r="I316" s="20">
        <f t="shared" si="2"/>
        <v>28198.436346356368</v>
      </c>
      <c r="J316" s="17">
        <f t="shared" si="7"/>
        <v>2.8198436346356366</v>
      </c>
    </row>
    <row r="317" spans="1:10" ht="12" customHeight="1" x14ac:dyDescent="0.3">
      <c r="A317" s="1">
        <f t="shared" si="3"/>
        <v>43962</v>
      </c>
      <c r="B317" s="20">
        <v>4891.304347826087</v>
      </c>
      <c r="C317" s="20">
        <f t="shared" si="4"/>
        <v>28872.282608695674</v>
      </c>
      <c r="D317" s="21" t="str">
        <f t="shared" si="0"/>
        <v>200511</v>
      </c>
      <c r="E317" s="22">
        <f t="shared" si="5"/>
        <v>2.458612</v>
      </c>
      <c r="F317" s="9">
        <v>0</v>
      </c>
      <c r="G317" s="14">
        <f t="shared" si="1"/>
        <v>100.03075699501723</v>
      </c>
      <c r="H317" s="24">
        <f t="shared" si="6"/>
        <v>-473.6800498277205</v>
      </c>
      <c r="I317" s="20">
        <f t="shared" si="2"/>
        <v>28398.602558867955</v>
      </c>
      <c r="J317" s="17">
        <f t="shared" si="7"/>
        <v>2.8398602558867956</v>
      </c>
    </row>
    <row r="318" spans="1:10" ht="12" customHeight="1" x14ac:dyDescent="0.3">
      <c r="A318" s="1">
        <f t="shared" si="3"/>
        <v>43963</v>
      </c>
      <c r="B318" s="20">
        <v>4959.239130434783</v>
      </c>
      <c r="C318" s="20">
        <f t="shared" si="4"/>
        <v>28940.21739130437</v>
      </c>
      <c r="D318" s="21" t="str">
        <f t="shared" si="0"/>
        <v>200512</v>
      </c>
      <c r="E318" s="22">
        <f t="shared" si="5"/>
        <v>2.458612</v>
      </c>
      <c r="F318" s="9">
        <v>0</v>
      </c>
      <c r="G318" s="14">
        <f t="shared" si="1"/>
        <v>100.03063665018477</v>
      </c>
      <c r="H318" s="24">
        <f t="shared" si="6"/>
        <v>-474.88349815225206</v>
      </c>
      <c r="I318" s="20">
        <f t="shared" si="2"/>
        <v>28465.333893152118</v>
      </c>
      <c r="J318" s="17">
        <f t="shared" si="7"/>
        <v>2.8465333893152116</v>
      </c>
    </row>
    <row r="319" spans="1:10" ht="12" customHeight="1" x14ac:dyDescent="0.3">
      <c r="A319" s="1">
        <f t="shared" si="3"/>
        <v>43964</v>
      </c>
      <c r="B319" s="20">
        <v>5027.1739130434789</v>
      </c>
      <c r="C319" s="20">
        <f t="shared" si="4"/>
        <v>29008.152173913066</v>
      </c>
      <c r="D319" s="21" t="str">
        <f t="shared" si="0"/>
        <v>200513</v>
      </c>
      <c r="E319" s="22">
        <f t="shared" si="5"/>
        <v>2.458612</v>
      </c>
      <c r="F319" s="9">
        <v>0</v>
      </c>
      <c r="G319" s="14">
        <f t="shared" si="1"/>
        <v>100.03051676857709</v>
      </c>
      <c r="H319" s="24">
        <f t="shared" si="6"/>
        <v>-476.0823142291315</v>
      </c>
      <c r="I319" s="20">
        <f t="shared" si="2"/>
        <v>28532.069859683936</v>
      </c>
      <c r="J319" s="17">
        <f t="shared" si="7"/>
        <v>2.8532069859683937</v>
      </c>
    </row>
    <row r="320" spans="1:10" ht="12" customHeight="1" x14ac:dyDescent="0.3">
      <c r="A320" s="1">
        <f t="shared" si="3"/>
        <v>43965</v>
      </c>
      <c r="B320" s="20">
        <v>5095.108695652174</v>
      </c>
      <c r="C320" s="20">
        <f t="shared" si="4"/>
        <v>29076.086956521762</v>
      </c>
      <c r="D320" s="21" t="str">
        <f t="shared" si="0"/>
        <v>200514</v>
      </c>
      <c r="E320" s="22">
        <f t="shared" si="5"/>
        <v>2.458612</v>
      </c>
      <c r="F320" s="9">
        <v>0</v>
      </c>
      <c r="G320" s="14">
        <f t="shared" si="1"/>
        <v>100.03039735022561</v>
      </c>
      <c r="H320" s="24">
        <f t="shared" si="6"/>
        <v>-477.2764977438726</v>
      </c>
      <c r="I320" s="20">
        <f t="shared" si="2"/>
        <v>28598.810458777891</v>
      </c>
      <c r="J320" s="17">
        <f t="shared" si="7"/>
        <v>2.8598810458777888</v>
      </c>
    </row>
    <row r="321" spans="1:10" ht="12" customHeight="1" x14ac:dyDescent="0.3">
      <c r="A321" s="1">
        <f t="shared" si="3"/>
        <v>43966</v>
      </c>
      <c r="B321" s="20">
        <v>5163.0434782608691</v>
      </c>
      <c r="C321" s="20">
        <f t="shared" si="4"/>
        <v>29144.021739130458</v>
      </c>
      <c r="D321" s="21" t="str">
        <f t="shared" si="0"/>
        <v>200515</v>
      </c>
      <c r="E321" s="22">
        <f t="shared" si="5"/>
        <v>2.458612</v>
      </c>
      <c r="F321" s="9">
        <v>0</v>
      </c>
      <c r="G321" s="14">
        <f t="shared" si="1"/>
        <v>100.03027839516177</v>
      </c>
      <c r="H321" s="24">
        <f t="shared" si="6"/>
        <v>-478.46604838227336</v>
      </c>
      <c r="I321" s="20">
        <f t="shared" si="2"/>
        <v>28665.555690748184</v>
      </c>
      <c r="J321" s="17">
        <f t="shared" si="7"/>
        <v>2.8665555690748183</v>
      </c>
    </row>
    <row r="322" spans="1:10" ht="12" customHeight="1" x14ac:dyDescent="0.3">
      <c r="A322" s="1">
        <f t="shared" si="3"/>
        <v>43969</v>
      </c>
      <c r="B322" s="20">
        <v>5366.847826086957</v>
      </c>
      <c r="C322" s="20">
        <f t="shared" si="4"/>
        <v>29347.826086956546</v>
      </c>
      <c r="D322" s="21" t="str">
        <f t="shared" si="0"/>
        <v>200518</v>
      </c>
      <c r="E322" s="22">
        <f t="shared" si="5"/>
        <v>2.458612</v>
      </c>
      <c r="F322" s="9">
        <v>0</v>
      </c>
      <c r="G322" s="14">
        <f t="shared" si="1"/>
        <v>100.02992431001064</v>
      </c>
      <c r="H322" s="24">
        <f t="shared" si="6"/>
        <v>-482.0068998935767</v>
      </c>
      <c r="I322" s="20">
        <f t="shared" si="2"/>
        <v>28865.819187062967</v>
      </c>
      <c r="J322" s="17">
        <f t="shared" si="7"/>
        <v>2.8865819187062969</v>
      </c>
    </row>
    <row r="323" spans="1:10" ht="12" customHeight="1" x14ac:dyDescent="0.3">
      <c r="A323" s="1">
        <f t="shared" si="3"/>
        <v>43970</v>
      </c>
      <c r="B323" s="20">
        <v>5434.782608695652</v>
      </c>
      <c r="C323" s="20">
        <f t="shared" si="4"/>
        <v>29415.760869565242</v>
      </c>
      <c r="D323" s="21" t="str">
        <f t="shared" si="0"/>
        <v>200519</v>
      </c>
      <c r="E323" s="22">
        <f t="shared" si="5"/>
        <v>2.458612</v>
      </c>
      <c r="F323" s="9">
        <v>0</v>
      </c>
      <c r="G323" s="14">
        <f t="shared" si="1"/>
        <v>100.02980720841188</v>
      </c>
      <c r="H323" s="24">
        <f t="shared" si="6"/>
        <v>-483.17791588118553</v>
      </c>
      <c r="I323" s="20">
        <f t="shared" si="2"/>
        <v>28932.582953684057</v>
      </c>
      <c r="J323" s="17">
        <f t="shared" si="7"/>
        <v>2.8932582953684056</v>
      </c>
    </row>
    <row r="324" spans="1:10" ht="12" customHeight="1" x14ac:dyDescent="0.3">
      <c r="A324" s="1">
        <f t="shared" si="3"/>
        <v>43971</v>
      </c>
      <c r="B324" s="20">
        <v>5502.717391304348</v>
      </c>
      <c r="C324" s="20">
        <f t="shared" si="4"/>
        <v>29483.695652173938</v>
      </c>
      <c r="D324" s="21" t="str">
        <f t="shared" si="0"/>
        <v>200520</v>
      </c>
      <c r="E324" s="22">
        <f t="shared" si="5"/>
        <v>2.458612</v>
      </c>
      <c r="F324" s="9">
        <v>0</v>
      </c>
      <c r="G324" s="14">
        <f t="shared" si="1"/>
        <v>100.02969057025804</v>
      </c>
      <c r="H324" s="24">
        <f t="shared" si="6"/>
        <v>-484.34429741959661</v>
      </c>
      <c r="I324" s="20">
        <f t="shared" si="2"/>
        <v>28999.351354754341</v>
      </c>
      <c r="J324" s="17">
        <f t="shared" si="7"/>
        <v>2.8999351354754341</v>
      </c>
    </row>
    <row r="325" spans="1:10" ht="12" customHeight="1" x14ac:dyDescent="0.3">
      <c r="A325" s="1">
        <f t="shared" si="3"/>
        <v>43972</v>
      </c>
      <c r="B325" s="20">
        <v>5570.652173913043</v>
      </c>
      <c r="C325" s="20">
        <f t="shared" si="4"/>
        <v>29551.630434782634</v>
      </c>
      <c r="D325" s="21" t="str">
        <f t="shared" si="0"/>
        <v>200521</v>
      </c>
      <c r="E325" s="22">
        <f t="shared" si="5"/>
        <v>2.458612</v>
      </c>
      <c r="F325" s="9">
        <v>0</v>
      </c>
      <c r="G325" s="14">
        <f t="shared" si="1"/>
        <v>100.0295743955806</v>
      </c>
      <c r="H325" s="24">
        <f t="shared" si="6"/>
        <v>-485.50604419403959</v>
      </c>
      <c r="I325" s="20">
        <f t="shared" si="2"/>
        <v>29066.124390588593</v>
      </c>
      <c r="J325" s="17">
        <f t="shared" si="7"/>
        <v>2.906612439058859</v>
      </c>
    </row>
    <row r="326" spans="1:10" ht="12" customHeight="1" x14ac:dyDescent="0.3">
      <c r="A326" s="1">
        <f t="shared" si="3"/>
        <v>43973</v>
      </c>
      <c r="B326" s="20">
        <v>5638.5869565217399</v>
      </c>
      <c r="C326" s="20">
        <f t="shared" si="4"/>
        <v>29619.565217391329</v>
      </c>
      <c r="D326" s="21" t="str">
        <f t="shared" si="0"/>
        <v>200522</v>
      </c>
      <c r="E326" s="22">
        <f t="shared" si="5"/>
        <v>2.458612</v>
      </c>
      <c r="F326" s="9">
        <v>0</v>
      </c>
      <c r="G326" s="14">
        <f t="shared" si="1"/>
        <v>100.02945868441097</v>
      </c>
      <c r="H326" s="24">
        <f t="shared" si="6"/>
        <v>-486.66315589031228</v>
      </c>
      <c r="I326" s="20">
        <f t="shared" si="2"/>
        <v>29132.902061501016</v>
      </c>
      <c r="J326" s="17">
        <f t="shared" si="7"/>
        <v>2.9132902061501014</v>
      </c>
    </row>
    <row r="327" spans="1:10" ht="12" customHeight="1" x14ac:dyDescent="0.3">
      <c r="A327" s="1">
        <f t="shared" si="3"/>
        <v>43976</v>
      </c>
      <c r="B327" s="20">
        <v>5842.391304347826</v>
      </c>
      <c r="C327" s="20">
        <f t="shared" si="4"/>
        <v>29823.369565217414</v>
      </c>
      <c r="D327" s="21" t="str">
        <f t="shared" si="0"/>
        <v>200525</v>
      </c>
      <c r="E327" s="22">
        <f t="shared" si="5"/>
        <v>2.458612</v>
      </c>
      <c r="F327" s="9">
        <v>0</v>
      </c>
      <c r="G327" s="14">
        <f t="shared" si="1"/>
        <v>100.02911433226367</v>
      </c>
      <c r="H327" s="24">
        <f t="shared" si="6"/>
        <v>-490.10667736325786</v>
      </c>
      <c r="I327" s="20">
        <f t="shared" si="2"/>
        <v>29333.262887854155</v>
      </c>
      <c r="J327" s="17">
        <f t="shared" si="7"/>
        <v>2.9333262887854152</v>
      </c>
    </row>
    <row r="328" spans="1:10" ht="12" customHeight="1" x14ac:dyDescent="0.3">
      <c r="A328" s="1">
        <f t="shared" si="3"/>
        <v>43977</v>
      </c>
      <c r="B328" s="20">
        <v>5910.3260869565211</v>
      </c>
      <c r="C328" s="20">
        <f t="shared" si="4"/>
        <v>29891.30434782611</v>
      </c>
      <c r="D328" s="21" t="str">
        <f t="shared" si="0"/>
        <v>200526</v>
      </c>
      <c r="E328" s="22">
        <f t="shared" si="5"/>
        <v>2.458612</v>
      </c>
      <c r="F328" s="9">
        <v>0</v>
      </c>
      <c r="G328" s="14">
        <f t="shared" si="1"/>
        <v>100.02900047544003</v>
      </c>
      <c r="H328" s="24">
        <f t="shared" si="6"/>
        <v>-491.24524559971405</v>
      </c>
      <c r="I328" s="20">
        <f t="shared" si="2"/>
        <v>29400.059102226394</v>
      </c>
      <c r="J328" s="17">
        <f t="shared" si="7"/>
        <v>2.9400059102226392</v>
      </c>
    </row>
    <row r="329" spans="1:10" ht="12" customHeight="1" x14ac:dyDescent="0.3">
      <c r="A329" s="1">
        <f t="shared" si="3"/>
        <v>43978</v>
      </c>
      <c r="B329" s="20">
        <v>5978.260869565217</v>
      </c>
      <c r="C329" s="20">
        <f t="shared" si="4"/>
        <v>29959.239130434806</v>
      </c>
      <c r="D329" s="21" t="str">
        <f t="shared" si="0"/>
        <v>200527</v>
      </c>
      <c r="E329" s="22">
        <f t="shared" si="5"/>
        <v>2.458612</v>
      </c>
      <c r="F329" s="9">
        <v>0</v>
      </c>
      <c r="G329" s="14">
        <f t="shared" si="1"/>
        <v>100.02888708228153</v>
      </c>
      <c r="H329" s="24">
        <f t="shared" si="6"/>
        <v>-492.37917718471641</v>
      </c>
      <c r="I329" s="20">
        <f t="shared" si="2"/>
        <v>29466.859953250088</v>
      </c>
      <c r="J329" s="17">
        <f t="shared" si="7"/>
        <v>2.9466859953250086</v>
      </c>
    </row>
    <row r="330" spans="1:10" ht="12" customHeight="1" x14ac:dyDescent="0.3">
      <c r="A330" s="1">
        <f t="shared" si="3"/>
        <v>43979</v>
      </c>
      <c r="B330" s="20">
        <v>6046.1956521739121</v>
      </c>
      <c r="C330" s="20">
        <f t="shared" si="4"/>
        <v>30027.173913043502</v>
      </c>
      <c r="D330" s="21" t="str">
        <f t="shared" si="0"/>
        <v>200528</v>
      </c>
      <c r="E330" s="22">
        <f t="shared" si="5"/>
        <v>2.458612</v>
      </c>
      <c r="F330" s="9">
        <v>0</v>
      </c>
      <c r="G330" s="14">
        <f t="shared" si="1"/>
        <v>100.02877415281969</v>
      </c>
      <c r="H330" s="24">
        <f t="shared" si="6"/>
        <v>-493.50847180306801</v>
      </c>
      <c r="I330" s="20">
        <f t="shared" si="2"/>
        <v>29533.665441240435</v>
      </c>
      <c r="J330" s="17">
        <f t="shared" si="7"/>
        <v>2.9533665441240435</v>
      </c>
    </row>
    <row r="331" spans="1:10" ht="12" customHeight="1" x14ac:dyDescent="0.3">
      <c r="A331" s="1">
        <f t="shared" si="3"/>
        <v>43980</v>
      </c>
      <c r="B331" s="20">
        <v>6114.130434782609</v>
      </c>
      <c r="C331" s="20">
        <f t="shared" si="4"/>
        <v>30095.108695652198</v>
      </c>
      <c r="D331" s="21" t="str">
        <f t="shared" si="0"/>
        <v>200529</v>
      </c>
      <c r="E331" s="22">
        <f t="shared" si="5"/>
        <v>2.458612</v>
      </c>
      <c r="F331" s="9">
        <v>0</v>
      </c>
      <c r="G331" s="14">
        <f t="shared" si="1"/>
        <v>100.02866168708594</v>
      </c>
      <c r="H331" s="24">
        <f t="shared" si="6"/>
        <v>-494.63312914056701</v>
      </c>
      <c r="I331" s="20">
        <f t="shared" si="2"/>
        <v>29600.475566511632</v>
      </c>
      <c r="J331" s="17">
        <f t="shared" si="7"/>
        <v>2.9600475566511628</v>
      </c>
    </row>
    <row r="332" spans="1:10" ht="12" customHeight="1" x14ac:dyDescent="0.3">
      <c r="A332" s="1">
        <f t="shared" si="3"/>
        <v>43983</v>
      </c>
      <c r="B332" s="20">
        <v>6317.934782608696</v>
      </c>
      <c r="C332" s="20">
        <f t="shared" si="4"/>
        <v>30298.913043478286</v>
      </c>
      <c r="D332" s="21" t="str">
        <f t="shared" si="0"/>
        <v>200601</v>
      </c>
      <c r="E332" s="22">
        <f t="shared" si="5"/>
        <v>2.458612</v>
      </c>
      <c r="F332" s="9">
        <v>0</v>
      </c>
      <c r="G332" s="14">
        <f t="shared" si="1"/>
        <v>100.02832707256829</v>
      </c>
      <c r="H332" s="24">
        <f t="shared" si="6"/>
        <v>-497.97927431711736</v>
      </c>
      <c r="I332" s="20">
        <f t="shared" si="2"/>
        <v>29800.933769161169</v>
      </c>
      <c r="J332" s="17">
        <f t="shared" si="7"/>
        <v>2.9800933769161171</v>
      </c>
    </row>
    <row r="333" spans="1:10" ht="12" customHeight="1" x14ac:dyDescent="0.3">
      <c r="A333" s="1">
        <f t="shared" si="3"/>
        <v>43984</v>
      </c>
      <c r="B333" s="20">
        <v>6385.8695652173928</v>
      </c>
      <c r="C333" s="20">
        <f t="shared" si="4"/>
        <v>30366.847826086982</v>
      </c>
      <c r="D333" s="21" t="str">
        <f t="shared" si="0"/>
        <v>200602</v>
      </c>
      <c r="E333" s="22">
        <f t="shared" si="5"/>
        <v>2.458612</v>
      </c>
      <c r="F333" s="9">
        <v>0</v>
      </c>
      <c r="G333" s="14">
        <f t="shared" si="1"/>
        <v>100.02821646206181</v>
      </c>
      <c r="H333" s="24">
        <f t="shared" si="6"/>
        <v>-499.08537938193831</v>
      </c>
      <c r="I333" s="20">
        <f t="shared" si="2"/>
        <v>29867.762446705045</v>
      </c>
      <c r="J333" s="17">
        <f t="shared" si="7"/>
        <v>2.9867762446705042</v>
      </c>
    </row>
    <row r="334" spans="1:10" ht="12" customHeight="1" x14ac:dyDescent="0.3">
      <c r="A334" s="1">
        <f t="shared" si="3"/>
        <v>43985</v>
      </c>
      <c r="B334" s="20">
        <v>6453.8043478260861</v>
      </c>
      <c r="C334" s="20">
        <f t="shared" si="4"/>
        <v>30434.782608695674</v>
      </c>
      <c r="D334" s="21" t="str">
        <f t="shared" si="0"/>
        <v>200603</v>
      </c>
      <c r="E334" s="22">
        <f t="shared" si="5"/>
        <v>2.458612</v>
      </c>
      <c r="F334" s="9">
        <v>0</v>
      </c>
      <c r="G334" s="14">
        <f t="shared" si="1"/>
        <v>100.02810631544088</v>
      </c>
      <c r="H334" s="24">
        <f t="shared" si="6"/>
        <v>-500.18684559120169</v>
      </c>
      <c r="I334" s="20">
        <f t="shared" si="2"/>
        <v>29934.595763104473</v>
      </c>
      <c r="J334" s="17">
        <f t="shared" si="7"/>
        <v>2.9934595763104475</v>
      </c>
    </row>
    <row r="335" spans="1:10" ht="12" customHeight="1" x14ac:dyDescent="0.3">
      <c r="A335" s="1">
        <f t="shared" si="3"/>
        <v>43986</v>
      </c>
      <c r="B335" s="20">
        <v>6521.739130434783</v>
      </c>
      <c r="C335" s="20">
        <f t="shared" si="4"/>
        <v>30502.71739130437</v>
      </c>
      <c r="D335" s="21" t="str">
        <f t="shared" si="0"/>
        <v>200604</v>
      </c>
      <c r="E335" s="22">
        <f t="shared" si="5"/>
        <v>2.458612</v>
      </c>
      <c r="F335" s="9">
        <v>0</v>
      </c>
      <c r="G335" s="14">
        <f t="shared" si="1"/>
        <v>100.02799663273699</v>
      </c>
      <c r="H335" s="24">
        <f t="shared" si="6"/>
        <v>-501.28367263013729</v>
      </c>
      <c r="I335" s="20">
        <f t="shared" si="2"/>
        <v>30001.433718674234</v>
      </c>
      <c r="J335" s="17">
        <f t="shared" si="7"/>
        <v>3.0001433718674235</v>
      </c>
    </row>
    <row r="336" spans="1:10" ht="12" customHeight="1" x14ac:dyDescent="0.3">
      <c r="A336" s="1">
        <f t="shared" si="3"/>
        <v>43987</v>
      </c>
      <c r="B336" s="20">
        <v>6589.6739130434789</v>
      </c>
      <c r="C336" s="20">
        <f t="shared" si="4"/>
        <v>30570.652173913066</v>
      </c>
      <c r="D336" s="21" t="str">
        <f t="shared" si="0"/>
        <v>200605</v>
      </c>
      <c r="E336" s="22">
        <f t="shared" si="5"/>
        <v>2.458612</v>
      </c>
      <c r="F336" s="9">
        <v>0</v>
      </c>
      <c r="G336" s="14">
        <f t="shared" si="1"/>
        <v>100.02788741398157</v>
      </c>
      <c r="H336" s="24">
        <f t="shared" si="6"/>
        <v>-502.37586018425873</v>
      </c>
      <c r="I336" s="20">
        <f t="shared" si="2"/>
        <v>30068.276313728806</v>
      </c>
      <c r="J336" s="17">
        <f t="shared" si="7"/>
        <v>3.0068276313728806</v>
      </c>
    </row>
    <row r="337" spans="1:10" ht="12" customHeight="1" x14ac:dyDescent="0.3">
      <c r="A337" s="1">
        <f t="shared" si="3"/>
        <v>43990</v>
      </c>
      <c r="B337" s="20">
        <v>6793.478260869565</v>
      </c>
      <c r="C337" s="20">
        <f t="shared" si="4"/>
        <v>30774.45652173915</v>
      </c>
      <c r="D337" s="21" t="str">
        <f t="shared" si="0"/>
        <v>200608</v>
      </c>
      <c r="E337" s="22">
        <f t="shared" si="5"/>
        <v>2.458612</v>
      </c>
      <c r="F337" s="9">
        <v>0</v>
      </c>
      <c r="G337" s="14">
        <f t="shared" si="1"/>
        <v>100.02756254172141</v>
      </c>
      <c r="H337" s="24">
        <f t="shared" si="6"/>
        <v>-505.62458278591293</v>
      </c>
      <c r="I337" s="20">
        <f t="shared" si="2"/>
        <v>30268.831938953237</v>
      </c>
      <c r="J337" s="17">
        <f t="shared" si="7"/>
        <v>3.0268831938953236</v>
      </c>
    </row>
    <row r="338" spans="1:10" ht="12" customHeight="1" x14ac:dyDescent="0.3">
      <c r="A338" s="1">
        <f t="shared" si="3"/>
        <v>43991</v>
      </c>
      <c r="B338" s="20">
        <v>6861.4130434782601</v>
      </c>
      <c r="C338" s="20">
        <f t="shared" si="4"/>
        <v>30842.391304347846</v>
      </c>
      <c r="D338" s="21" t="str">
        <f t="shared" si="0"/>
        <v>200609</v>
      </c>
      <c r="E338" s="22">
        <f t="shared" si="5"/>
        <v>2.458612</v>
      </c>
      <c r="F338" s="9">
        <v>0</v>
      </c>
      <c r="G338" s="14">
        <f t="shared" si="1"/>
        <v>100.02745517907501</v>
      </c>
      <c r="H338" s="24">
        <f t="shared" si="6"/>
        <v>-506.69820924994724</v>
      </c>
      <c r="I338" s="20">
        <f t="shared" si="2"/>
        <v>30335.6930950979</v>
      </c>
      <c r="J338" s="17">
        <f t="shared" si="7"/>
        <v>3.0335693095097898</v>
      </c>
    </row>
    <row r="339" spans="1:10" ht="12" customHeight="1" x14ac:dyDescent="0.3">
      <c r="A339" s="1">
        <f t="shared" si="3"/>
        <v>43992</v>
      </c>
      <c r="B339" s="20">
        <v>6929.347826086957</v>
      </c>
      <c r="C339" s="20">
        <f t="shared" si="4"/>
        <v>30910.326086956542</v>
      </c>
      <c r="D339" s="21" t="str">
        <f t="shared" si="0"/>
        <v>200610</v>
      </c>
      <c r="E339" s="22">
        <f t="shared" si="5"/>
        <v>2.458612</v>
      </c>
      <c r="F339" s="9">
        <v>0</v>
      </c>
      <c r="G339" s="14">
        <f t="shared" si="1"/>
        <v>100.0273482805346</v>
      </c>
      <c r="H339" s="24">
        <f t="shared" si="6"/>
        <v>-507.7671946540363</v>
      </c>
      <c r="I339" s="20">
        <f t="shared" si="2"/>
        <v>30402.558892302506</v>
      </c>
      <c r="J339" s="17">
        <f t="shared" si="7"/>
        <v>3.0402558892302505</v>
      </c>
    </row>
    <row r="340" spans="1:10" ht="12" customHeight="1" x14ac:dyDescent="0.3">
      <c r="A340" s="1">
        <f t="shared" si="3"/>
        <v>43993</v>
      </c>
      <c r="B340" s="20">
        <v>6997.2826086956529</v>
      </c>
      <c r="C340" s="20">
        <f t="shared" si="4"/>
        <v>30978.260869565238</v>
      </c>
      <c r="D340" s="21" t="str">
        <f t="shared" si="0"/>
        <v>200611</v>
      </c>
      <c r="E340" s="22">
        <f t="shared" si="5"/>
        <v>2.458612</v>
      </c>
      <c r="F340" s="9">
        <v>0</v>
      </c>
      <c r="G340" s="14">
        <f t="shared" si="1"/>
        <v>100.0272418461317</v>
      </c>
      <c r="H340" s="24">
        <f t="shared" si="6"/>
        <v>-508.83153868298336</v>
      </c>
      <c r="I340" s="20">
        <f t="shared" si="2"/>
        <v>30469.429330882256</v>
      </c>
      <c r="J340" s="17">
        <f t="shared" si="7"/>
        <v>3.0469429330882254</v>
      </c>
    </row>
    <row r="341" spans="1:10" ht="12" customHeight="1" x14ac:dyDescent="0.3">
      <c r="A341" s="1">
        <f t="shared" si="3"/>
        <v>43994</v>
      </c>
      <c r="B341" s="20">
        <v>7065.2173913043471</v>
      </c>
      <c r="C341" s="20">
        <f t="shared" si="4"/>
        <v>31046.195652173934</v>
      </c>
      <c r="D341" s="21" t="str">
        <f t="shared" si="0"/>
        <v>200612</v>
      </c>
      <c r="E341" s="22">
        <f t="shared" si="5"/>
        <v>2.458612</v>
      </c>
      <c r="F341" s="9">
        <v>0</v>
      </c>
      <c r="G341" s="14">
        <f t="shared" si="1"/>
        <v>100.0271358758978</v>
      </c>
      <c r="H341" s="24">
        <f t="shared" si="6"/>
        <v>-509.89124102201799</v>
      </c>
      <c r="I341" s="20">
        <f t="shared" si="2"/>
        <v>30536.304411151916</v>
      </c>
      <c r="J341" s="17">
        <f t="shared" si="7"/>
        <v>3.0536304411151916</v>
      </c>
    </row>
    <row r="342" spans="1:10" ht="12" customHeight="1" x14ac:dyDescent="0.3">
      <c r="A342" s="1">
        <f t="shared" si="3"/>
        <v>43997</v>
      </c>
      <c r="B342" s="20">
        <v>7269.021739130435</v>
      </c>
      <c r="C342" s="20">
        <f t="shared" si="4"/>
        <v>31250.000000000022</v>
      </c>
      <c r="D342" s="21" t="str">
        <f t="shared" si="0"/>
        <v>200615</v>
      </c>
      <c r="E342" s="22">
        <f t="shared" si="5"/>
        <v>2.458612</v>
      </c>
      <c r="F342" s="9">
        <v>0</v>
      </c>
      <c r="G342" s="14">
        <f t="shared" si="1"/>
        <v>100.02682075052526</v>
      </c>
      <c r="H342" s="24">
        <f t="shared" si="6"/>
        <v>-513.04249474739549</v>
      </c>
      <c r="I342" s="20">
        <f t="shared" si="2"/>
        <v>30736.957505252627</v>
      </c>
      <c r="J342" s="17">
        <f t="shared" si="7"/>
        <v>3.0736957505252627</v>
      </c>
    </row>
    <row r="343" spans="1:10" ht="12" customHeight="1" x14ac:dyDescent="0.3">
      <c r="A343" s="1">
        <f t="shared" si="3"/>
        <v>43998</v>
      </c>
      <c r="B343" s="20">
        <v>7336.9565217391309</v>
      </c>
      <c r="C343" s="20">
        <f t="shared" si="4"/>
        <v>31317.934782608718</v>
      </c>
      <c r="D343" s="21" t="str">
        <f t="shared" si="0"/>
        <v>200616</v>
      </c>
      <c r="E343" s="22">
        <f t="shared" si="5"/>
        <v>2.458612</v>
      </c>
      <c r="F343" s="9">
        <v>0</v>
      </c>
      <c r="G343" s="14">
        <f t="shared" si="1"/>
        <v>100.02671663728248</v>
      </c>
      <c r="H343" s="24">
        <f t="shared" si="6"/>
        <v>-514.08362717523914</v>
      </c>
      <c r="I343" s="20">
        <f t="shared" si="2"/>
        <v>30803.85115543348</v>
      </c>
      <c r="J343" s="17">
        <f t="shared" si="7"/>
        <v>3.0803851155433479</v>
      </c>
    </row>
    <row r="344" spans="1:10" ht="12" customHeight="1" x14ac:dyDescent="0.3">
      <c r="A344" s="1">
        <f t="shared" si="3"/>
        <v>43999</v>
      </c>
      <c r="B344" s="20">
        <v>7404.891304347826</v>
      </c>
      <c r="C344" s="20">
        <f t="shared" si="4"/>
        <v>31385.869565217414</v>
      </c>
      <c r="D344" s="21" t="str">
        <f t="shared" si="0"/>
        <v>200617</v>
      </c>
      <c r="E344" s="22">
        <f t="shared" si="5"/>
        <v>2.458612</v>
      </c>
      <c r="F344" s="9">
        <v>0</v>
      </c>
      <c r="G344" s="14">
        <f t="shared" si="1"/>
        <v>100.02661298836628</v>
      </c>
      <c r="H344" s="24">
        <f t="shared" si="6"/>
        <v>-515.12011633718657</v>
      </c>
      <c r="I344" s="20">
        <f t="shared" si="2"/>
        <v>30870.749448880226</v>
      </c>
      <c r="J344" s="17">
        <f t="shared" si="7"/>
        <v>3.0870749448880228</v>
      </c>
    </row>
    <row r="345" spans="1:10" ht="12" customHeight="1" x14ac:dyDescent="0.3">
      <c r="A345" s="1">
        <f t="shared" si="3"/>
        <v>44000</v>
      </c>
      <c r="B345" s="20">
        <v>7472.8260869565211</v>
      </c>
      <c r="C345" s="20">
        <f t="shared" si="4"/>
        <v>31453.80434782611</v>
      </c>
      <c r="D345" s="21" t="str">
        <f t="shared" si="0"/>
        <v>200618</v>
      </c>
      <c r="E345" s="22">
        <f t="shared" si="5"/>
        <v>2.458612</v>
      </c>
      <c r="F345" s="9">
        <v>0</v>
      </c>
      <c r="G345" s="14">
        <f t="shared" si="1"/>
        <v>100.0265098038082</v>
      </c>
      <c r="H345" s="24">
        <f t="shared" si="6"/>
        <v>-516.15196191804102</v>
      </c>
      <c r="I345" s="20">
        <f t="shared" si="2"/>
        <v>30937.65238590807</v>
      </c>
      <c r="J345" s="17">
        <f t="shared" si="7"/>
        <v>3.093765238590807</v>
      </c>
    </row>
    <row r="346" spans="1:10" ht="12" customHeight="1" x14ac:dyDescent="0.3">
      <c r="A346" s="1">
        <f t="shared" si="3"/>
        <v>44001</v>
      </c>
      <c r="B346" s="20">
        <v>7540.760869565217</v>
      </c>
      <c r="C346" s="20">
        <f t="shared" si="4"/>
        <v>31521.739130434806</v>
      </c>
      <c r="D346" s="21" t="str">
        <f t="shared" si="0"/>
        <v>200619</v>
      </c>
      <c r="E346" s="22">
        <f t="shared" si="5"/>
        <v>2.458612</v>
      </c>
      <c r="F346" s="9">
        <v>0</v>
      </c>
      <c r="G346" s="14">
        <f t="shared" si="1"/>
        <v>100.0264070836397</v>
      </c>
      <c r="H346" s="24">
        <f t="shared" si="6"/>
        <v>-517.17916360303207</v>
      </c>
      <c r="I346" s="20">
        <f t="shared" si="2"/>
        <v>31004.559966831774</v>
      </c>
      <c r="J346" s="17">
        <f t="shared" si="7"/>
        <v>3.1004559966831775</v>
      </c>
    </row>
    <row r="347" spans="1:10" ht="12" customHeight="1" x14ac:dyDescent="0.3">
      <c r="A347" s="1">
        <f t="shared" si="3"/>
        <v>44004</v>
      </c>
      <c r="B347" s="20">
        <v>7744.565217391304</v>
      </c>
      <c r="C347" s="20">
        <f t="shared" si="4"/>
        <v>31725.543478260894</v>
      </c>
      <c r="D347" s="21" t="str">
        <f t="shared" si="0"/>
        <v>200622</v>
      </c>
      <c r="E347" s="22">
        <f t="shared" si="5"/>
        <v>2.458612</v>
      </c>
      <c r="F347" s="9">
        <v>0</v>
      </c>
      <c r="G347" s="14">
        <f t="shared" si="1"/>
        <v>100.02610170978708</v>
      </c>
      <c r="H347" s="24">
        <f t="shared" si="6"/>
        <v>-520.23290212915185</v>
      </c>
      <c r="I347" s="20">
        <f t="shared" si="2"/>
        <v>31205.310576131742</v>
      </c>
      <c r="J347" s="17">
        <f t="shared" si="7"/>
        <v>3.1205310576131744</v>
      </c>
    </row>
    <row r="348" spans="1:10" ht="12" customHeight="1" x14ac:dyDescent="0.3">
      <c r="A348" s="1">
        <f t="shared" si="3"/>
        <v>44005</v>
      </c>
      <c r="B348" s="20">
        <v>7812.5</v>
      </c>
      <c r="C348" s="20">
        <f t="shared" si="4"/>
        <v>31793.47826086959</v>
      </c>
      <c r="D348" s="21" t="str">
        <f t="shared" si="0"/>
        <v>200623</v>
      </c>
      <c r="E348" s="22">
        <f t="shared" si="5"/>
        <v>2.458612</v>
      </c>
      <c r="F348" s="9">
        <v>0</v>
      </c>
      <c r="G348" s="14">
        <f t="shared" si="1"/>
        <v>100.02600084749228</v>
      </c>
      <c r="H348" s="24">
        <f t="shared" si="6"/>
        <v>-521.24152507715849</v>
      </c>
      <c r="I348" s="20">
        <f t="shared" si="2"/>
        <v>31272.23673579243</v>
      </c>
      <c r="J348" s="17">
        <f t="shared" si="7"/>
        <v>3.1272236735792429</v>
      </c>
    </row>
    <row r="349" spans="1:10" ht="12" customHeight="1" x14ac:dyDescent="0.3">
      <c r="A349" s="1">
        <f t="shared" si="3"/>
        <v>44006</v>
      </c>
      <c r="B349" s="20">
        <v>7880.434782608696</v>
      </c>
      <c r="C349" s="20">
        <f t="shared" si="4"/>
        <v>31861.413043478286</v>
      </c>
      <c r="D349" s="21" t="str">
        <f t="shared" si="0"/>
        <v>200624</v>
      </c>
      <c r="E349" s="22">
        <f t="shared" si="5"/>
        <v>2.458612</v>
      </c>
      <c r="F349" s="9">
        <v>0</v>
      </c>
      <c r="G349" s="14">
        <f t="shared" si="1"/>
        <v>100.02590044974474</v>
      </c>
      <c r="H349" s="24">
        <f t="shared" si="6"/>
        <v>-522.24550255260738</v>
      </c>
      <c r="I349" s="20">
        <f t="shared" si="2"/>
        <v>31339.167540925679</v>
      </c>
      <c r="J349" s="17">
        <f t="shared" si="7"/>
        <v>3.1339167540925681</v>
      </c>
    </row>
    <row r="350" spans="1:10" ht="12" customHeight="1" x14ac:dyDescent="0.3">
      <c r="A350" s="1">
        <f t="shared" si="3"/>
        <v>44007</v>
      </c>
      <c r="B350" s="20">
        <v>7948.3695652173928</v>
      </c>
      <c r="C350" s="20">
        <f t="shared" si="4"/>
        <v>31929.347826086982</v>
      </c>
      <c r="D350" s="21" t="str">
        <f t="shared" si="0"/>
        <v>200625</v>
      </c>
      <c r="E350" s="22">
        <f t="shared" si="5"/>
        <v>2.458612</v>
      </c>
      <c r="F350" s="9">
        <v>0</v>
      </c>
      <c r="G350" s="14">
        <f t="shared" si="1"/>
        <v>100.02580051657594</v>
      </c>
      <c r="H350" s="24">
        <f t="shared" si="6"/>
        <v>-523.24483424058599</v>
      </c>
      <c r="I350" s="20">
        <f t="shared" si="2"/>
        <v>31406.102991846397</v>
      </c>
      <c r="J350" s="17">
        <f t="shared" si="7"/>
        <v>3.1406102991846394</v>
      </c>
    </row>
    <row r="351" spans="1:10" ht="12" customHeight="1" x14ac:dyDescent="0.3">
      <c r="A351" s="1">
        <f t="shared" si="3"/>
        <v>44008</v>
      </c>
      <c r="B351" s="20">
        <v>8016.3043478260861</v>
      </c>
      <c r="C351" s="20">
        <f t="shared" si="4"/>
        <v>31997.282608695674</v>
      </c>
      <c r="D351" s="21" t="str">
        <f t="shared" si="0"/>
        <v>200626</v>
      </c>
      <c r="E351" s="22">
        <f t="shared" si="5"/>
        <v>2.458612</v>
      </c>
      <c r="F351" s="9">
        <v>0</v>
      </c>
      <c r="G351" s="14">
        <f t="shared" si="1"/>
        <v>100.02570104801748</v>
      </c>
      <c r="H351" s="24">
        <f t="shared" si="6"/>
        <v>-524.23951982518702</v>
      </c>
      <c r="I351" s="20">
        <f t="shared" si="2"/>
        <v>31473.043088870487</v>
      </c>
      <c r="J351" s="17">
        <f t="shared" si="7"/>
        <v>3.1473043088870485</v>
      </c>
    </row>
    <row r="352" spans="1:10" ht="12" customHeight="1" x14ac:dyDescent="0.3">
      <c r="A352" s="1">
        <f t="shared" si="3"/>
        <v>44011</v>
      </c>
      <c r="B352" s="20">
        <v>8220.108695652174</v>
      </c>
      <c r="C352" s="20">
        <f t="shared" si="4"/>
        <v>32201.086956521762</v>
      </c>
      <c r="D352" s="21" t="str">
        <f t="shared" si="0"/>
        <v>200629</v>
      </c>
      <c r="E352" s="22">
        <f t="shared" si="5"/>
        <v>2.458612</v>
      </c>
      <c r="F352" s="9">
        <v>0</v>
      </c>
      <c r="G352" s="14">
        <f t="shared" si="1"/>
        <v>100.02540543031935</v>
      </c>
      <c r="H352" s="24">
        <f t="shared" si="6"/>
        <v>-527.19569680647282</v>
      </c>
      <c r="I352" s="20">
        <f t="shared" si="2"/>
        <v>31673.891259715288</v>
      </c>
      <c r="J352" s="17">
        <f t="shared" si="7"/>
        <v>3.1673891259715288</v>
      </c>
    </row>
    <row r="353" spans="1:10" ht="12" customHeight="1" x14ac:dyDescent="0.3">
      <c r="A353" s="1">
        <f t="shared" si="3"/>
        <v>44012</v>
      </c>
      <c r="B353" s="20">
        <v>8288.04347826087</v>
      </c>
      <c r="C353" s="20">
        <f t="shared" si="4"/>
        <v>32269.021739130458</v>
      </c>
      <c r="D353" s="21" t="str">
        <f t="shared" si="0"/>
        <v>200630</v>
      </c>
      <c r="E353" s="22">
        <f t="shared" si="5"/>
        <v>2.458612</v>
      </c>
      <c r="F353" s="9">
        <v>0</v>
      </c>
      <c r="G353" s="14">
        <f t="shared" si="1"/>
        <v>100.02530782051754</v>
      </c>
      <c r="H353" s="24">
        <f t="shared" si="6"/>
        <v>-528.17179482460119</v>
      </c>
      <c r="I353" s="20">
        <f t="shared" si="2"/>
        <v>31740.849944305857</v>
      </c>
      <c r="J353" s="17">
        <f t="shared" si="7"/>
        <v>3.1740849944305856</v>
      </c>
    </row>
    <row r="354" spans="1:10" ht="12" customHeight="1" x14ac:dyDescent="0.3">
      <c r="A354" s="1">
        <f t="shared" si="3"/>
        <v>44013</v>
      </c>
      <c r="B354" s="20">
        <v>8355.9782608695659</v>
      </c>
      <c r="C354" s="20">
        <f t="shared" si="4"/>
        <v>32336.956521739154</v>
      </c>
      <c r="D354" s="21" t="str">
        <f t="shared" si="0"/>
        <v>200701</v>
      </c>
      <c r="E354" s="22">
        <f t="shared" si="5"/>
        <v>2.458612</v>
      </c>
      <c r="F354" s="9">
        <v>0</v>
      </c>
      <c r="G354" s="14">
        <f t="shared" si="1"/>
        <v>100.02521067548378</v>
      </c>
      <c r="H354" s="24">
        <f t="shared" si="6"/>
        <v>-529.14324516223132</v>
      </c>
      <c r="I354" s="20">
        <f t="shared" si="2"/>
        <v>31807.813276576922</v>
      </c>
      <c r="J354" s="17">
        <f t="shared" si="7"/>
        <v>3.1807813276576926</v>
      </c>
    </row>
    <row r="355" spans="1:10" ht="12" customHeight="1" x14ac:dyDescent="0.3">
      <c r="A355" s="1">
        <f t="shared" si="3"/>
        <v>44014</v>
      </c>
      <c r="B355" s="20">
        <v>8423.9130434782601</v>
      </c>
      <c r="C355" s="20">
        <f t="shared" si="4"/>
        <v>32404.891304347846</v>
      </c>
      <c r="D355" s="21" t="str">
        <f t="shared" si="0"/>
        <v>200702</v>
      </c>
      <c r="E355" s="22">
        <f t="shared" si="5"/>
        <v>2.458612</v>
      </c>
      <c r="F355" s="9">
        <v>0</v>
      </c>
      <c r="G355" s="14">
        <f t="shared" si="1"/>
        <v>100.02511399524957</v>
      </c>
      <c r="H355" s="24">
        <f t="shared" si="6"/>
        <v>-530.11004750430857</v>
      </c>
      <c r="I355" s="20">
        <f t="shared" si="2"/>
        <v>31874.781256843537</v>
      </c>
      <c r="J355" s="17">
        <f t="shared" si="7"/>
        <v>3.1874781256843536</v>
      </c>
    </row>
    <row r="356" spans="1:10" ht="12" customHeight="1" x14ac:dyDescent="0.3">
      <c r="A356" s="1">
        <f t="shared" si="3"/>
        <v>44015</v>
      </c>
      <c r="B356" s="20">
        <v>8491.847826086956</v>
      </c>
      <c r="C356" s="20">
        <f t="shared" si="4"/>
        <v>32472.826086956542</v>
      </c>
      <c r="D356" s="21" t="str">
        <f t="shared" si="0"/>
        <v>200703</v>
      </c>
      <c r="E356" s="22">
        <f t="shared" si="5"/>
        <v>2.458612</v>
      </c>
      <c r="F356" s="9">
        <v>0</v>
      </c>
      <c r="G356" s="14">
        <f t="shared" si="1"/>
        <v>100.02501777984651</v>
      </c>
      <c r="H356" s="24">
        <f t="shared" si="6"/>
        <v>-531.07220153492563</v>
      </c>
      <c r="I356" s="20">
        <f t="shared" si="2"/>
        <v>31941.753885421618</v>
      </c>
      <c r="J356" s="17">
        <f t="shared" si="7"/>
        <v>3.194175388542162</v>
      </c>
    </row>
    <row r="357" spans="1:10" ht="12" customHeight="1" x14ac:dyDescent="0.3">
      <c r="A357" s="1">
        <f t="shared" si="3"/>
        <v>44018</v>
      </c>
      <c r="B357" s="20">
        <v>8695.652173913044</v>
      </c>
      <c r="C357" s="20">
        <f t="shared" si="4"/>
        <v>32676.63043478263</v>
      </c>
      <c r="D357" s="21" t="str">
        <f t="shared" si="0"/>
        <v>200706</v>
      </c>
      <c r="E357" s="22">
        <f t="shared" si="5"/>
        <v>2.458612</v>
      </c>
      <c r="F357" s="9">
        <v>0</v>
      </c>
      <c r="G357" s="14">
        <f t="shared" si="1"/>
        <v>100.02473192293961</v>
      </c>
      <c r="H357" s="24">
        <f t="shared" si="6"/>
        <v>-533.93077060391647</v>
      </c>
      <c r="I357" s="20">
        <f t="shared" si="2"/>
        <v>32142.699664178712</v>
      </c>
      <c r="J357" s="17">
        <f t="shared" si="7"/>
        <v>3.2142699664178709</v>
      </c>
    </row>
    <row r="358" spans="1:10" ht="12" customHeight="1" x14ac:dyDescent="0.3">
      <c r="A358" s="1">
        <f t="shared" si="3"/>
        <v>44019</v>
      </c>
      <c r="B358" s="20">
        <v>8763.5869565217399</v>
      </c>
      <c r="C358" s="20">
        <f t="shared" si="4"/>
        <v>32744.565217391326</v>
      </c>
      <c r="D358" s="21" t="str">
        <f t="shared" si="0"/>
        <v>200707</v>
      </c>
      <c r="E358" s="22">
        <f t="shared" si="5"/>
        <v>2.458612</v>
      </c>
      <c r="F358" s="9">
        <v>0</v>
      </c>
      <c r="G358" s="14">
        <f t="shared" si="1"/>
        <v>100.0246375671766</v>
      </c>
      <c r="H358" s="24">
        <f t="shared" si="6"/>
        <v>-534.87432823402514</v>
      </c>
      <c r="I358" s="20">
        <f t="shared" si="2"/>
        <v>32209.6908891573</v>
      </c>
      <c r="J358" s="17">
        <f t="shared" si="7"/>
        <v>3.2209690889157301</v>
      </c>
    </row>
    <row r="359" spans="1:10" ht="12" customHeight="1" x14ac:dyDescent="0.3">
      <c r="A359" s="1">
        <f t="shared" si="3"/>
        <v>44020</v>
      </c>
      <c r="B359" s="20">
        <v>8831.5217391304341</v>
      </c>
      <c r="C359" s="20">
        <f t="shared" si="4"/>
        <v>32812.500000000022</v>
      </c>
      <c r="D359" s="21" t="str">
        <f t="shared" si="0"/>
        <v>200708</v>
      </c>
      <c r="E359" s="22">
        <f t="shared" si="5"/>
        <v>2.458612</v>
      </c>
      <c r="F359" s="9">
        <v>0</v>
      </c>
      <c r="G359" s="14">
        <f t="shared" si="1"/>
        <v>100.0245436764025</v>
      </c>
      <c r="H359" s="24">
        <f t="shared" si="6"/>
        <v>-535.81323597498454</v>
      </c>
      <c r="I359" s="20">
        <f t="shared" si="2"/>
        <v>32276.686764025038</v>
      </c>
      <c r="J359" s="17">
        <f t="shared" si="7"/>
        <v>3.2276686764025038</v>
      </c>
    </row>
    <row r="360" spans="1:10" ht="12" customHeight="1" x14ac:dyDescent="0.3">
      <c r="A360" s="1">
        <f t="shared" si="3"/>
        <v>44021</v>
      </c>
      <c r="B360" s="20">
        <v>8899.45652173913</v>
      </c>
      <c r="C360" s="20">
        <f t="shared" si="4"/>
        <v>32880.434782608718</v>
      </c>
      <c r="D360" s="21" t="str">
        <f t="shared" si="0"/>
        <v>200709</v>
      </c>
      <c r="E360" s="22">
        <f t="shared" si="5"/>
        <v>2.458612</v>
      </c>
      <c r="F360" s="9">
        <v>0</v>
      </c>
      <c r="G360" s="14">
        <f t="shared" si="1"/>
        <v>100.02445025064885</v>
      </c>
      <c r="H360" s="24">
        <f t="shared" si="6"/>
        <v>-536.74749351145579</v>
      </c>
      <c r="I360" s="20">
        <f t="shared" si="2"/>
        <v>32343.687289097263</v>
      </c>
      <c r="J360" s="17">
        <f t="shared" si="7"/>
        <v>3.2343687289097263</v>
      </c>
    </row>
    <row r="361" spans="1:10" ht="12" customHeight="1" x14ac:dyDescent="0.3">
      <c r="A361" s="1">
        <f t="shared" si="3"/>
        <v>44022</v>
      </c>
      <c r="B361" s="20">
        <v>8967.391304347826</v>
      </c>
      <c r="C361" s="20">
        <f t="shared" si="4"/>
        <v>32948.369565217414</v>
      </c>
      <c r="D361" s="21" t="str">
        <f t="shared" si="0"/>
        <v>200710</v>
      </c>
      <c r="E361" s="22">
        <f t="shared" si="5"/>
        <v>2.458612</v>
      </c>
      <c r="F361" s="9">
        <v>0</v>
      </c>
      <c r="G361" s="14">
        <f t="shared" si="1"/>
        <v>100.0243572899473</v>
      </c>
      <c r="H361" s="24">
        <f t="shared" si="6"/>
        <v>-537.67710052696316</v>
      </c>
      <c r="I361" s="20">
        <f t="shared" si="2"/>
        <v>32410.692464690452</v>
      </c>
      <c r="J361" s="17">
        <f t="shared" si="7"/>
        <v>3.2410692464690452</v>
      </c>
    </row>
    <row r="362" spans="1:10" ht="12" customHeight="1" x14ac:dyDescent="0.3">
      <c r="A362" s="1">
        <f t="shared" si="3"/>
        <v>44025</v>
      </c>
      <c r="B362" s="20">
        <v>9171.1956521739139</v>
      </c>
      <c r="C362" s="20">
        <f t="shared" si="4"/>
        <v>33152.173913043502</v>
      </c>
      <c r="D362" s="21" t="str">
        <f t="shared" si="0"/>
        <v>200713</v>
      </c>
      <c r="E362" s="22">
        <f t="shared" si="5"/>
        <v>2.458612</v>
      </c>
      <c r="F362" s="9">
        <v>0</v>
      </c>
      <c r="G362" s="14">
        <f t="shared" si="1"/>
        <v>100.02408119847051</v>
      </c>
      <c r="H362" s="24">
        <f t="shared" si="6"/>
        <v>-540.43801529488178</v>
      </c>
      <c r="I362" s="20">
        <f t="shared" si="2"/>
        <v>32611.735897748618</v>
      </c>
      <c r="J362" s="17">
        <f t="shared" si="7"/>
        <v>3.2611735897748622</v>
      </c>
    </row>
    <row r="363" spans="1:10" ht="12" customHeight="1" x14ac:dyDescent="0.3">
      <c r="A363" s="1">
        <f t="shared" si="3"/>
        <v>44026</v>
      </c>
      <c r="B363" s="20">
        <v>9239.1304347826081</v>
      </c>
      <c r="C363" s="20">
        <f t="shared" si="4"/>
        <v>33220.108695652198</v>
      </c>
      <c r="D363" s="21" t="str">
        <f t="shared" si="0"/>
        <v>200714</v>
      </c>
      <c r="E363" s="22">
        <f t="shared" si="5"/>
        <v>2.458612</v>
      </c>
      <c r="F363" s="9">
        <v>0</v>
      </c>
      <c r="G363" s="14">
        <f t="shared" si="1"/>
        <v>100.02399009829283</v>
      </c>
      <c r="H363" s="24">
        <f t="shared" si="6"/>
        <v>-541.34901707172389</v>
      </c>
      <c r="I363" s="20">
        <f t="shared" si="2"/>
        <v>32678.759678580474</v>
      </c>
      <c r="J363" s="17">
        <f t="shared" si="7"/>
        <v>3.2678759678580471</v>
      </c>
    </row>
    <row r="364" spans="1:10" ht="12" customHeight="1" x14ac:dyDescent="0.3">
      <c r="A364" s="1">
        <f t="shared" si="3"/>
        <v>44027</v>
      </c>
      <c r="B364" s="20">
        <v>9307.065217391304</v>
      </c>
      <c r="C364" s="20">
        <f t="shared" si="4"/>
        <v>33288.043478260894</v>
      </c>
      <c r="D364" s="21" t="str">
        <f t="shared" si="0"/>
        <v>200715</v>
      </c>
      <c r="E364" s="22">
        <f t="shared" si="5"/>
        <v>2.458612</v>
      </c>
      <c r="F364" s="9">
        <v>0</v>
      </c>
      <c r="G364" s="14">
        <f t="shared" si="1"/>
        <v>100.02389946332502</v>
      </c>
      <c r="H364" s="24">
        <f t="shared" si="6"/>
        <v>-542.25536674977093</v>
      </c>
      <c r="I364" s="20">
        <f t="shared" si="2"/>
        <v>32745.788111511123</v>
      </c>
      <c r="J364" s="17">
        <f t="shared" si="7"/>
        <v>3.2745788111511125</v>
      </c>
    </row>
    <row r="365" spans="1:10" ht="12" customHeight="1" x14ac:dyDescent="0.3">
      <c r="A365" s="1">
        <f t="shared" si="3"/>
        <v>44028</v>
      </c>
      <c r="B365" s="20">
        <v>9375</v>
      </c>
      <c r="C365" s="20">
        <f t="shared" si="4"/>
        <v>33355.97826086959</v>
      </c>
      <c r="D365" s="21" t="str">
        <f t="shared" si="0"/>
        <v>200716</v>
      </c>
      <c r="E365" s="22">
        <f t="shared" si="5"/>
        <v>2.458612</v>
      </c>
      <c r="F365" s="9">
        <v>0</v>
      </c>
      <c r="G365" s="14">
        <f t="shared" si="1"/>
        <v>100.02380929359872</v>
      </c>
      <c r="H365" s="24">
        <f t="shared" si="6"/>
        <v>-543.15706401283137</v>
      </c>
      <c r="I365" s="20">
        <f t="shared" si="2"/>
        <v>32812.821196856756</v>
      </c>
      <c r="J365" s="17">
        <f t="shared" si="7"/>
        <v>3.2812821196856761</v>
      </c>
    </row>
    <row r="366" spans="1:10" ht="12" customHeight="1" x14ac:dyDescent="0.3">
      <c r="A366" s="1">
        <f t="shared" si="3"/>
        <v>44029</v>
      </c>
      <c r="B366" s="20">
        <v>9442.934782608696</v>
      </c>
      <c r="C366" s="20">
        <f t="shared" si="4"/>
        <v>33423.913043478286</v>
      </c>
      <c r="D366" s="21" t="str">
        <f t="shared" si="0"/>
        <v>200717</v>
      </c>
      <c r="E366" s="22">
        <f t="shared" si="5"/>
        <v>2.458612</v>
      </c>
      <c r="F366" s="9">
        <v>0</v>
      </c>
      <c r="G366" s="14">
        <f t="shared" si="1"/>
        <v>100.02371958914549</v>
      </c>
      <c r="H366" s="24">
        <f t="shared" si="6"/>
        <v>-544.05410854514002</v>
      </c>
      <c r="I366" s="20">
        <f t="shared" si="2"/>
        <v>32879.858934933145</v>
      </c>
      <c r="J366" s="17">
        <f t="shared" si="7"/>
        <v>3.2879858934933144</v>
      </c>
    </row>
    <row r="367" spans="1:10" ht="12" customHeight="1" x14ac:dyDescent="0.3">
      <c r="A367" s="1">
        <f t="shared" si="3"/>
        <v>44032</v>
      </c>
      <c r="B367" s="20">
        <v>9646.7391304347821</v>
      </c>
      <c r="C367" s="20">
        <f t="shared" si="4"/>
        <v>33627.717391304373</v>
      </c>
      <c r="D367" s="21" t="str">
        <f t="shared" si="0"/>
        <v>200720</v>
      </c>
      <c r="E367" s="22">
        <f t="shared" si="5"/>
        <v>2.458612</v>
      </c>
      <c r="F367" s="9">
        <v>0</v>
      </c>
      <c r="G367" s="14">
        <f t="shared" si="1"/>
        <v>100.02345326773997</v>
      </c>
      <c r="H367" s="24">
        <f t="shared" si="6"/>
        <v>-546.71732260032968</v>
      </c>
      <c r="I367" s="20">
        <f t="shared" si="2"/>
        <v>33081.000068704045</v>
      </c>
      <c r="J367" s="17">
        <f t="shared" si="7"/>
        <v>3.3081000068704043</v>
      </c>
    </row>
    <row r="368" spans="1:10" ht="12" customHeight="1" x14ac:dyDescent="0.3">
      <c r="A368" s="1">
        <f t="shared" si="3"/>
        <v>44033</v>
      </c>
      <c r="B368" s="20">
        <v>9714.6739130434798</v>
      </c>
      <c r="C368" s="20">
        <f t="shared" si="4"/>
        <v>33695.652173913069</v>
      </c>
      <c r="D368" s="21" t="str">
        <f t="shared" si="0"/>
        <v>200721</v>
      </c>
      <c r="E368" s="22">
        <f t="shared" si="5"/>
        <v>2.458612</v>
      </c>
      <c r="F368" s="9">
        <v>0</v>
      </c>
      <c r="G368" s="14">
        <f t="shared" si="1"/>
        <v>100.02336542469484</v>
      </c>
      <c r="H368" s="24">
        <f t="shared" si="6"/>
        <v>-547.59575305155295</v>
      </c>
      <c r="I368" s="20">
        <f t="shared" si="2"/>
        <v>33148.056420861518</v>
      </c>
      <c r="J368" s="17">
        <f t="shared" si="7"/>
        <v>3.3148056420861516</v>
      </c>
    </row>
    <row r="369" spans="1:10" ht="12" customHeight="1" x14ac:dyDescent="0.3">
      <c r="A369" s="1">
        <f t="shared" si="3"/>
        <v>44034</v>
      </c>
      <c r="B369" s="20">
        <v>9782.608695652174</v>
      </c>
      <c r="C369" s="20">
        <f t="shared" si="4"/>
        <v>33763.586956521765</v>
      </c>
      <c r="D369" s="21" t="str">
        <f t="shared" si="0"/>
        <v>200722</v>
      </c>
      <c r="E369" s="22">
        <f t="shared" si="5"/>
        <v>2.458612</v>
      </c>
      <c r="F369" s="9">
        <v>0</v>
      </c>
      <c r="G369" s="14">
        <f t="shared" si="1"/>
        <v>100.02327804708071</v>
      </c>
      <c r="H369" s="24">
        <f t="shared" si="6"/>
        <v>-548.46952919291425</v>
      </c>
      <c r="I369" s="20">
        <f t="shared" si="2"/>
        <v>33215.117427328849</v>
      </c>
      <c r="J369" s="17">
        <f t="shared" si="7"/>
        <v>3.3215117427328846</v>
      </c>
    </row>
    <row r="370" spans="1:10" ht="12" customHeight="1" x14ac:dyDescent="0.3">
      <c r="A370" s="1">
        <f t="shared" si="3"/>
        <v>44035</v>
      </c>
      <c r="B370" s="20">
        <v>9850.54347826087</v>
      </c>
      <c r="C370" s="20">
        <f t="shared" si="4"/>
        <v>33831.521739130461</v>
      </c>
      <c r="D370" s="21" t="str">
        <f t="shared" si="0"/>
        <v>200723</v>
      </c>
      <c r="E370" s="22">
        <f t="shared" si="5"/>
        <v>2.458612</v>
      </c>
      <c r="F370" s="9">
        <v>0</v>
      </c>
      <c r="G370" s="14">
        <f t="shared" si="1"/>
        <v>100.02319113492918</v>
      </c>
      <c r="H370" s="24">
        <f t="shared" si="6"/>
        <v>-549.33865070822208</v>
      </c>
      <c r="I370" s="20">
        <f t="shared" si="2"/>
        <v>33282.183088422236</v>
      </c>
      <c r="J370" s="17">
        <f t="shared" si="7"/>
        <v>3.3282183088422235</v>
      </c>
    </row>
    <row r="371" spans="1:10" ht="12" customHeight="1" x14ac:dyDescent="0.3">
      <c r="A371" s="1">
        <f t="shared" si="3"/>
        <v>44036</v>
      </c>
      <c r="B371" s="20">
        <v>9918.4782608695659</v>
      </c>
      <c r="C371" s="20">
        <f t="shared" si="4"/>
        <v>33899.456521739157</v>
      </c>
      <c r="D371" s="21" t="str">
        <f t="shared" si="0"/>
        <v>200724</v>
      </c>
      <c r="E371" s="22">
        <f t="shared" si="5"/>
        <v>2.458612</v>
      </c>
      <c r="F371" s="9">
        <v>0</v>
      </c>
      <c r="G371" s="14">
        <f t="shared" si="1"/>
        <v>100.02310468827184</v>
      </c>
      <c r="H371" s="24">
        <f t="shared" si="6"/>
        <v>-550.20311728156912</v>
      </c>
      <c r="I371" s="20">
        <f t="shared" si="2"/>
        <v>33349.253404457588</v>
      </c>
      <c r="J371" s="17">
        <f t="shared" si="7"/>
        <v>3.3349253404457588</v>
      </c>
    </row>
    <row r="372" spans="1:10" ht="12" customHeight="1" x14ac:dyDescent="0.3">
      <c r="A372" s="1">
        <f t="shared" si="3"/>
        <v>44039</v>
      </c>
      <c r="B372" s="20">
        <v>10122.282608695652</v>
      </c>
      <c r="C372" s="20">
        <f t="shared" si="4"/>
        <v>34103.260869565245</v>
      </c>
      <c r="D372" s="21" t="str">
        <f t="shared" si="0"/>
        <v>200727</v>
      </c>
      <c r="E372" s="22">
        <f t="shared" si="5"/>
        <v>2.458612</v>
      </c>
      <c r="F372" s="9">
        <v>0</v>
      </c>
      <c r="G372" s="14">
        <f t="shared" si="1"/>
        <v>100.02284814158094</v>
      </c>
      <c r="H372" s="24">
        <f t="shared" si="6"/>
        <v>-552.76858419063046</v>
      </c>
      <c r="I372" s="20">
        <f t="shared" si="2"/>
        <v>33550.492285374617</v>
      </c>
      <c r="J372" s="17">
        <f t="shared" si="7"/>
        <v>3.3550492285374616</v>
      </c>
    </row>
    <row r="373" spans="1:10" ht="12" customHeight="1" x14ac:dyDescent="0.3">
      <c r="A373" s="1">
        <f t="shared" si="3"/>
        <v>44040</v>
      </c>
      <c r="B373" s="20">
        <v>10190.217391304348</v>
      </c>
      <c r="C373" s="20">
        <f t="shared" si="4"/>
        <v>34171.195652173941</v>
      </c>
      <c r="D373" s="21" t="str">
        <f t="shared" si="0"/>
        <v>200728</v>
      </c>
      <c r="E373" s="22">
        <f t="shared" si="5"/>
        <v>2.458612</v>
      </c>
      <c r="F373" s="9">
        <v>0</v>
      </c>
      <c r="G373" s="14">
        <f t="shared" si="1"/>
        <v>100.02276355721638</v>
      </c>
      <c r="H373" s="24">
        <f t="shared" si="6"/>
        <v>-553.61442783620873</v>
      </c>
      <c r="I373" s="20">
        <f t="shared" si="2"/>
        <v>33617.58122433773</v>
      </c>
      <c r="J373" s="17">
        <f t="shared" si="7"/>
        <v>3.3617581224337729</v>
      </c>
    </row>
    <row r="374" spans="1:10" ht="12" customHeight="1" x14ac:dyDescent="0.3">
      <c r="A374" s="1">
        <f t="shared" si="3"/>
        <v>44041</v>
      </c>
      <c r="B374" s="20">
        <v>10258.152173913042</v>
      </c>
      <c r="C374" s="20">
        <f t="shared" si="4"/>
        <v>34239.130434782637</v>
      </c>
      <c r="D374" s="21" t="str">
        <f t="shared" si="0"/>
        <v>200729</v>
      </c>
      <c r="E374" s="22">
        <f t="shared" si="5"/>
        <v>2.458612</v>
      </c>
      <c r="F374" s="9">
        <v>0</v>
      </c>
      <c r="G374" s="14">
        <f t="shared" si="1"/>
        <v>100.02267943850401</v>
      </c>
      <c r="H374" s="24">
        <f t="shared" si="6"/>
        <v>-554.4556149598634</v>
      </c>
      <c r="I374" s="20">
        <f t="shared" si="2"/>
        <v>33684.674819822772</v>
      </c>
      <c r="J374" s="17">
        <f t="shared" si="7"/>
        <v>3.3684674819822771</v>
      </c>
    </row>
    <row r="375" spans="1:10" ht="12" customHeight="1" x14ac:dyDescent="0.3">
      <c r="A375" s="1">
        <f t="shared" si="3"/>
        <v>44042</v>
      </c>
      <c r="B375" s="20">
        <v>10326.086956521738</v>
      </c>
      <c r="C375" s="20">
        <f t="shared" si="4"/>
        <v>34307.065217391333</v>
      </c>
      <c r="D375" s="21" t="str">
        <f t="shared" si="0"/>
        <v>200730</v>
      </c>
      <c r="E375" s="22">
        <f t="shared" si="5"/>
        <v>2.458612</v>
      </c>
      <c r="F375" s="9">
        <v>0</v>
      </c>
      <c r="G375" s="14">
        <f t="shared" si="1"/>
        <v>100.02259578547545</v>
      </c>
      <c r="H375" s="24">
        <f t="shared" si="6"/>
        <v>-555.29214524554504</v>
      </c>
      <c r="I375" s="20">
        <f t="shared" si="2"/>
        <v>33751.773072145785</v>
      </c>
      <c r="J375" s="17">
        <f t="shared" si="7"/>
        <v>3.375177307214579</v>
      </c>
    </row>
    <row r="376" spans="1:10" ht="12" customHeight="1" x14ac:dyDescent="0.3">
      <c r="A376" s="1">
        <f t="shared" si="3"/>
        <v>44043</v>
      </c>
      <c r="B376" s="20">
        <v>10394.021739130434</v>
      </c>
      <c r="C376" s="20">
        <f t="shared" si="4"/>
        <v>34375.000000000029</v>
      </c>
      <c r="D376" s="21" t="str">
        <f t="shared" si="0"/>
        <v>200731</v>
      </c>
      <c r="E376" s="22">
        <f t="shared" si="5"/>
        <v>2.458612</v>
      </c>
      <c r="F376" s="9">
        <v>0</v>
      </c>
      <c r="G376" s="14">
        <f t="shared" si="1"/>
        <v>100.02251259816231</v>
      </c>
      <c r="H376" s="24">
        <f t="shared" si="6"/>
        <v>-556.12401837692005</v>
      </c>
      <c r="I376" s="20">
        <f t="shared" si="2"/>
        <v>33818.87598162311</v>
      </c>
      <c r="J376" s="17">
        <f t="shared" si="7"/>
        <v>3.3818875981623107</v>
      </c>
    </row>
    <row r="377" spans="1:10" ht="12" customHeight="1" x14ac:dyDescent="0.3">
      <c r="A377" s="1">
        <f t="shared" si="3"/>
        <v>44046</v>
      </c>
      <c r="B377" s="20">
        <v>10597.82608695652</v>
      </c>
      <c r="C377" s="20">
        <f t="shared" si="4"/>
        <v>34578.804347826117</v>
      </c>
      <c r="D377" s="21" t="str">
        <f t="shared" si="0"/>
        <v>200803</v>
      </c>
      <c r="E377" s="22">
        <f t="shared" si="5"/>
        <v>2.458612</v>
      </c>
      <c r="F377" s="9">
        <v>0</v>
      </c>
      <c r="G377" s="14">
        <f t="shared" si="1"/>
        <v>100.0222658308316</v>
      </c>
      <c r="H377" s="24">
        <f t="shared" si="6"/>
        <v>-558.59169168400058</v>
      </c>
      <c r="I377" s="20">
        <f t="shared" si="2"/>
        <v>34020.212656142117</v>
      </c>
      <c r="J377" s="17">
        <f t="shared" si="7"/>
        <v>3.4020212656142115</v>
      </c>
    </row>
    <row r="378" spans="1:10" ht="12" customHeight="1" x14ac:dyDescent="0.3">
      <c r="A378" s="1">
        <f t="shared" si="3"/>
        <v>44047</v>
      </c>
      <c r="B378" s="20">
        <v>10665.760869565218</v>
      </c>
      <c r="C378" s="20">
        <f t="shared" si="4"/>
        <v>34646.739130434813</v>
      </c>
      <c r="D378" s="21" t="str">
        <f t="shared" si="0"/>
        <v>200804</v>
      </c>
      <c r="E378" s="22">
        <f t="shared" si="5"/>
        <v>2.458612</v>
      </c>
      <c r="F378" s="9">
        <v>0</v>
      </c>
      <c r="G378" s="14">
        <f t="shared" si="1"/>
        <v>100.02218450669631</v>
      </c>
      <c r="H378" s="24">
        <f t="shared" si="6"/>
        <v>-559.40493303694439</v>
      </c>
      <c r="I378" s="20">
        <f t="shared" si="2"/>
        <v>34087.334197397868</v>
      </c>
      <c r="J378" s="17">
        <f t="shared" si="7"/>
        <v>3.4087334197397867</v>
      </c>
    </row>
    <row r="379" spans="1:10" ht="12" customHeight="1" x14ac:dyDescent="0.3">
      <c r="A379" s="1">
        <f t="shared" si="3"/>
        <v>44048</v>
      </c>
      <c r="B379" s="20">
        <v>10733.695652173914</v>
      </c>
      <c r="C379" s="20">
        <f t="shared" si="4"/>
        <v>34714.673913043509</v>
      </c>
      <c r="D379" s="21" t="str">
        <f t="shared" si="0"/>
        <v>200805</v>
      </c>
      <c r="E379" s="22">
        <f t="shared" si="5"/>
        <v>2.458612</v>
      </c>
      <c r="F379" s="9">
        <v>0</v>
      </c>
      <c r="G379" s="14">
        <f t="shared" si="1"/>
        <v>100.02210364843449</v>
      </c>
      <c r="H379" s="24">
        <f t="shared" si="6"/>
        <v>-560.21351565505029</v>
      </c>
      <c r="I379" s="20">
        <f t="shared" si="2"/>
        <v>34154.460397388459</v>
      </c>
      <c r="J379" s="17">
        <f t="shared" si="7"/>
        <v>3.4154460397388462</v>
      </c>
    </row>
    <row r="380" spans="1:10" ht="12" customHeight="1" x14ac:dyDescent="0.3">
      <c r="A380" s="1">
        <f t="shared" si="3"/>
        <v>44049</v>
      </c>
      <c r="B380" s="20">
        <v>10801.630434782608</v>
      </c>
      <c r="C380" s="20">
        <f t="shared" si="4"/>
        <v>34782.608695652205</v>
      </c>
      <c r="D380" s="21" t="str">
        <f t="shared" si="0"/>
        <v>200806</v>
      </c>
      <c r="E380" s="22">
        <f t="shared" si="5"/>
        <v>2.458612</v>
      </c>
      <c r="F380" s="9">
        <v>0</v>
      </c>
      <c r="G380" s="14">
        <f t="shared" si="1"/>
        <v>100.02202325607786</v>
      </c>
      <c r="H380" s="24">
        <f t="shared" si="6"/>
        <v>-561.01743922141623</v>
      </c>
      <c r="I380" s="20">
        <f t="shared" si="2"/>
        <v>34221.591256430787</v>
      </c>
      <c r="J380" s="17">
        <f t="shared" si="7"/>
        <v>3.4221591256430788</v>
      </c>
    </row>
    <row r="381" spans="1:10" ht="12" customHeight="1" x14ac:dyDescent="0.3">
      <c r="A381" s="1">
        <f t="shared" si="3"/>
        <v>44050</v>
      </c>
      <c r="B381" s="20">
        <v>10869.565217391304</v>
      </c>
      <c r="C381" s="20">
        <f t="shared" si="4"/>
        <v>34850.543478260901</v>
      </c>
      <c r="D381" s="21" t="str">
        <f t="shared" si="0"/>
        <v>200807</v>
      </c>
      <c r="E381" s="22">
        <f t="shared" si="5"/>
        <v>2.458612</v>
      </c>
      <c r="F381" s="9">
        <v>0</v>
      </c>
      <c r="G381" s="14">
        <f t="shared" si="1"/>
        <v>100.02194332965797</v>
      </c>
      <c r="H381" s="24">
        <f t="shared" si="6"/>
        <v>-561.81670342027701</v>
      </c>
      <c r="I381" s="20">
        <f t="shared" si="2"/>
        <v>34288.726774840623</v>
      </c>
      <c r="J381" s="17">
        <f t="shared" si="7"/>
        <v>3.4288726774840619</v>
      </c>
    </row>
    <row r="382" spans="1:10" ht="12" customHeight="1" x14ac:dyDescent="0.3">
      <c r="A382" s="1">
        <f t="shared" si="3"/>
        <v>44053</v>
      </c>
      <c r="B382" s="20">
        <v>11073.369565217392</v>
      </c>
      <c r="C382" s="20">
        <f t="shared" si="4"/>
        <v>35054.347826086989</v>
      </c>
      <c r="D382" s="21" t="str">
        <f t="shared" si="0"/>
        <v>200810</v>
      </c>
      <c r="E382" s="22">
        <f t="shared" si="5"/>
        <v>2.458612</v>
      </c>
      <c r="F382" s="9">
        <v>0</v>
      </c>
      <c r="G382" s="14">
        <f t="shared" si="1"/>
        <v>100.02170634633519</v>
      </c>
      <c r="H382" s="24">
        <f t="shared" si="6"/>
        <v>-564.18653664806584</v>
      </c>
      <c r="I382" s="20">
        <f t="shared" si="2"/>
        <v>34490.161289438925</v>
      </c>
      <c r="J382" s="17">
        <f t="shared" si="7"/>
        <v>3.4490161289438923</v>
      </c>
    </row>
    <row r="383" spans="1:10" ht="12" customHeight="1" x14ac:dyDescent="0.3">
      <c r="A383" s="1">
        <f t="shared" si="3"/>
        <v>44054</v>
      </c>
      <c r="B383" s="20">
        <v>11141.304347826086</v>
      </c>
      <c r="C383" s="20">
        <f t="shared" si="4"/>
        <v>35122.282608695685</v>
      </c>
      <c r="D383" s="21" t="str">
        <f t="shared" si="0"/>
        <v>200811</v>
      </c>
      <c r="E383" s="22">
        <f t="shared" si="5"/>
        <v>2.458612</v>
      </c>
      <c r="F383" s="9">
        <v>0</v>
      </c>
      <c r="G383" s="14">
        <f t="shared" si="1"/>
        <v>100.02162828397864</v>
      </c>
      <c r="H383" s="24">
        <f t="shared" si="6"/>
        <v>-564.96716021356974</v>
      </c>
      <c r="I383" s="20">
        <f t="shared" si="2"/>
        <v>34557.315448482113</v>
      </c>
      <c r="J383" s="17">
        <f t="shared" si="7"/>
        <v>3.4557315448482111</v>
      </c>
    </row>
    <row r="384" spans="1:10" ht="12" customHeight="1" x14ac:dyDescent="0.3">
      <c r="A384" s="1">
        <f t="shared" si="3"/>
        <v>44055</v>
      </c>
      <c r="B384" s="20">
        <v>11209.239130434782</v>
      </c>
      <c r="C384" s="20">
        <f t="shared" si="4"/>
        <v>35190.217391304381</v>
      </c>
      <c r="D384" s="21" t="str">
        <f t="shared" si="0"/>
        <v>200812</v>
      </c>
      <c r="E384" s="22">
        <f t="shared" si="5"/>
        <v>2.458612</v>
      </c>
      <c r="F384" s="9">
        <v>0</v>
      </c>
      <c r="G384" s="14">
        <f t="shared" si="1"/>
        <v>100.02155068771701</v>
      </c>
      <c r="H384" s="24">
        <f t="shared" si="6"/>
        <v>-565.74312282990036</v>
      </c>
      <c r="I384" s="20">
        <f t="shared" si="2"/>
        <v>34624.474268474478</v>
      </c>
      <c r="J384" s="17">
        <f t="shared" si="7"/>
        <v>3.4624474268474481</v>
      </c>
    </row>
    <row r="385" spans="1:10" ht="12" customHeight="1" x14ac:dyDescent="0.3">
      <c r="A385" s="1">
        <f t="shared" si="3"/>
        <v>44056</v>
      </c>
      <c r="B385" s="20">
        <v>11277.17391304348</v>
      </c>
      <c r="C385" s="20">
        <f t="shared" si="4"/>
        <v>35258.152173913077</v>
      </c>
      <c r="D385" s="21" t="str">
        <f t="shared" si="0"/>
        <v>200813</v>
      </c>
      <c r="E385" s="22">
        <f t="shared" si="5"/>
        <v>2.458612</v>
      </c>
      <c r="F385" s="9">
        <v>0</v>
      </c>
      <c r="G385" s="14">
        <f t="shared" si="1"/>
        <v>100.02147355758197</v>
      </c>
      <c r="H385" s="24">
        <f t="shared" si="6"/>
        <v>-566.51442418029774</v>
      </c>
      <c r="I385" s="20">
        <f t="shared" si="2"/>
        <v>34691.637749732778</v>
      </c>
      <c r="J385" s="17">
        <f t="shared" si="7"/>
        <v>3.469163774973278</v>
      </c>
    </row>
    <row r="386" spans="1:10" ht="12" customHeight="1" x14ac:dyDescent="0.3">
      <c r="A386" s="1">
        <f t="shared" si="3"/>
        <v>44057</v>
      </c>
      <c r="B386" s="20">
        <v>11345.108695652176</v>
      </c>
      <c r="C386" s="20">
        <f t="shared" si="4"/>
        <v>35326.086956521773</v>
      </c>
      <c r="D386" s="21" t="str">
        <f t="shared" si="0"/>
        <v>200814</v>
      </c>
      <c r="E386" s="22">
        <f t="shared" si="5"/>
        <v>2.458612</v>
      </c>
      <c r="F386" s="9">
        <v>0</v>
      </c>
      <c r="G386" s="14">
        <f t="shared" si="1"/>
        <v>100.02139689360509</v>
      </c>
      <c r="H386" s="24">
        <f t="shared" si="6"/>
        <v>-567.2810639491388</v>
      </c>
      <c r="I386" s="20">
        <f t="shared" si="2"/>
        <v>34758.805892572636</v>
      </c>
      <c r="J386" s="17">
        <f t="shared" si="7"/>
        <v>3.475880589257264</v>
      </c>
    </row>
    <row r="387" spans="1:10" ht="12" customHeight="1" x14ac:dyDescent="0.3">
      <c r="A387" s="1">
        <f t="shared" si="3"/>
        <v>44060</v>
      </c>
      <c r="B387" s="20">
        <v>11548.913043478262</v>
      </c>
      <c r="C387" s="20">
        <f t="shared" si="4"/>
        <v>35529.891304347861</v>
      </c>
      <c r="D387" s="21" t="str">
        <f t="shared" si="0"/>
        <v>200817</v>
      </c>
      <c r="E387" s="22">
        <f t="shared" si="5"/>
        <v>2.458612</v>
      </c>
      <c r="F387" s="9">
        <v>0</v>
      </c>
      <c r="G387" s="14">
        <f t="shared" si="1"/>
        <v>100.02116969894017</v>
      </c>
      <c r="H387" s="24">
        <f t="shared" si="6"/>
        <v>-569.55301059829821</v>
      </c>
      <c r="I387" s="20">
        <f t="shared" si="2"/>
        <v>34960.338293749563</v>
      </c>
      <c r="J387" s="17">
        <f t="shared" si="7"/>
        <v>3.496033829374956</v>
      </c>
    </row>
    <row r="388" spans="1:10" ht="12" customHeight="1" x14ac:dyDescent="0.3">
      <c r="A388" s="1">
        <f t="shared" si="3"/>
        <v>44061</v>
      </c>
      <c r="B388" s="20">
        <v>11616.847826086958</v>
      </c>
      <c r="C388" s="20">
        <f t="shared" si="4"/>
        <v>35597.826086956557</v>
      </c>
      <c r="D388" s="21" t="str">
        <f t="shared" si="0"/>
        <v>200818</v>
      </c>
      <c r="E388" s="22">
        <f t="shared" si="5"/>
        <v>2.458612</v>
      </c>
      <c r="F388" s="9">
        <v>0</v>
      </c>
      <c r="G388" s="14">
        <f t="shared" si="1"/>
        <v>100.02109489991257</v>
      </c>
      <c r="H388" s="24">
        <f t="shared" si="6"/>
        <v>-570.30100087430924</v>
      </c>
      <c r="I388" s="20">
        <f t="shared" si="2"/>
        <v>35027.525086082249</v>
      </c>
      <c r="J388" s="17">
        <f t="shared" si="7"/>
        <v>3.502752508608225</v>
      </c>
    </row>
    <row r="389" spans="1:10" ht="12" customHeight="1" x14ac:dyDescent="0.3">
      <c r="A389" s="1">
        <f t="shared" si="3"/>
        <v>44062</v>
      </c>
      <c r="B389" s="20">
        <v>11684.782608695652</v>
      </c>
      <c r="C389" s="20">
        <f t="shared" si="4"/>
        <v>35665.760869565253</v>
      </c>
      <c r="D389" s="21" t="str">
        <f t="shared" si="0"/>
        <v>200819</v>
      </c>
      <c r="E389" s="22">
        <f t="shared" si="5"/>
        <v>2.458612</v>
      </c>
      <c r="F389" s="9">
        <v>0</v>
      </c>
      <c r="G389" s="14">
        <f t="shared" si="1"/>
        <v>100.0210205672014</v>
      </c>
      <c r="H389" s="24">
        <f t="shared" si="6"/>
        <v>-571.04432798595894</v>
      </c>
      <c r="I389" s="20">
        <f t="shared" si="2"/>
        <v>35094.716541579292</v>
      </c>
      <c r="J389" s="17">
        <f t="shared" si="7"/>
        <v>3.5094716541579292</v>
      </c>
    </row>
    <row r="390" spans="1:10" ht="12" customHeight="1" x14ac:dyDescent="0.3">
      <c r="A390" s="1">
        <f t="shared" si="3"/>
        <v>44063</v>
      </c>
      <c r="B390" s="20">
        <v>11752.717391304348</v>
      </c>
      <c r="C390" s="20">
        <f t="shared" si="4"/>
        <v>35733.695652173948</v>
      </c>
      <c r="D390" s="21" t="str">
        <f t="shared" si="0"/>
        <v>200820</v>
      </c>
      <c r="E390" s="22">
        <f t="shared" si="5"/>
        <v>2.458612</v>
      </c>
      <c r="F390" s="9">
        <v>0</v>
      </c>
      <c r="G390" s="14">
        <f t="shared" si="1"/>
        <v>100.02094670083835</v>
      </c>
      <c r="H390" s="24">
        <f t="shared" si="6"/>
        <v>-571.78299161648738</v>
      </c>
      <c r="I390" s="20">
        <f t="shared" si="2"/>
        <v>35161.912660557464</v>
      </c>
      <c r="J390" s="17">
        <f t="shared" si="7"/>
        <v>3.5161912660557468</v>
      </c>
    </row>
    <row r="391" spans="1:10" ht="12" customHeight="1" x14ac:dyDescent="0.3">
      <c r="A391" s="1">
        <f t="shared" si="3"/>
        <v>44064</v>
      </c>
      <c r="B391" s="20">
        <v>11820.652173913042</v>
      </c>
      <c r="C391" s="20">
        <f t="shared" si="4"/>
        <v>35801.630434782644</v>
      </c>
      <c r="D391" s="21" t="str">
        <f t="shared" si="0"/>
        <v>200821</v>
      </c>
      <c r="E391" s="22">
        <f t="shared" si="5"/>
        <v>2.458612</v>
      </c>
      <c r="F391" s="9">
        <v>0</v>
      </c>
      <c r="G391" s="14">
        <f t="shared" si="1"/>
        <v>100.02087330085503</v>
      </c>
      <c r="H391" s="24">
        <f t="shared" si="6"/>
        <v>-572.51699144970303</v>
      </c>
      <c r="I391" s="20">
        <f t="shared" si="2"/>
        <v>35229.113443332943</v>
      </c>
      <c r="J391" s="17">
        <f t="shared" si="7"/>
        <v>3.522911344333294</v>
      </c>
    </row>
    <row r="392" spans="1:10" ht="12" customHeight="1" x14ac:dyDescent="0.3">
      <c r="A392" s="1">
        <f t="shared" si="3"/>
        <v>44067</v>
      </c>
      <c r="B392" s="20">
        <v>12024.45652173913</v>
      </c>
      <c r="C392" s="20">
        <f t="shared" si="4"/>
        <v>36005.434782608732</v>
      </c>
      <c r="D392" s="21" t="str">
        <f t="shared" si="0"/>
        <v>200824</v>
      </c>
      <c r="E392" s="22">
        <f t="shared" si="5"/>
        <v>2.458612</v>
      </c>
      <c r="F392" s="9">
        <v>0</v>
      </c>
      <c r="G392" s="14">
        <f t="shared" si="1"/>
        <v>100.02065589950016</v>
      </c>
      <c r="H392" s="24">
        <f t="shared" si="6"/>
        <v>-574.69100499844217</v>
      </c>
      <c r="I392" s="20">
        <f t="shared" si="2"/>
        <v>35430.743777610289</v>
      </c>
      <c r="J392" s="17">
        <f t="shared" si="7"/>
        <v>3.543074377761029</v>
      </c>
    </row>
    <row r="393" spans="1:10" ht="12" customHeight="1" x14ac:dyDescent="0.3">
      <c r="A393" s="1">
        <f t="shared" si="3"/>
        <v>44068</v>
      </c>
      <c r="B393" s="20">
        <v>12092.391304347824</v>
      </c>
      <c r="C393" s="20">
        <f t="shared" si="4"/>
        <v>36073.369565217428</v>
      </c>
      <c r="D393" s="21" t="str">
        <f t="shared" si="0"/>
        <v>200825</v>
      </c>
      <c r="E393" s="22">
        <f t="shared" si="5"/>
        <v>2.458612</v>
      </c>
      <c r="F393" s="9">
        <v>0</v>
      </c>
      <c r="G393" s="14">
        <f t="shared" si="1"/>
        <v>100.02058436535245</v>
      </c>
      <c r="H393" s="24">
        <f t="shared" si="6"/>
        <v>-575.40634647551769</v>
      </c>
      <c r="I393" s="20">
        <f t="shared" si="2"/>
        <v>35497.963218741912</v>
      </c>
      <c r="J393" s="17">
        <f t="shared" si="7"/>
        <v>3.5497963218741915</v>
      </c>
    </row>
    <row r="394" spans="1:10" ht="12" customHeight="1" x14ac:dyDescent="0.3">
      <c r="A394" s="1">
        <f t="shared" si="3"/>
        <v>44069</v>
      </c>
      <c r="B394" s="20">
        <v>12160.32608695652</v>
      </c>
      <c r="C394" s="20">
        <f t="shared" si="4"/>
        <v>36141.304347826124</v>
      </c>
      <c r="D394" s="21" t="str">
        <f t="shared" si="0"/>
        <v>200826</v>
      </c>
      <c r="E394" s="22">
        <f t="shared" si="5"/>
        <v>2.458612</v>
      </c>
      <c r="F394" s="9">
        <v>0</v>
      </c>
      <c r="G394" s="14">
        <f t="shared" si="1"/>
        <v>100.0205132977428</v>
      </c>
      <c r="H394" s="24">
        <f t="shared" si="6"/>
        <v>-576.11702257204911</v>
      </c>
      <c r="I394" s="20">
        <f t="shared" si="2"/>
        <v>35565.187325254075</v>
      </c>
      <c r="J394" s="17">
        <f t="shared" si="7"/>
        <v>3.556518732525408</v>
      </c>
    </row>
    <row r="395" spans="1:10" ht="12" customHeight="1" x14ac:dyDescent="0.3">
      <c r="A395" s="1">
        <f t="shared" si="3"/>
        <v>44070</v>
      </c>
      <c r="B395" s="20">
        <v>12228.260869565218</v>
      </c>
      <c r="C395" s="20">
        <f t="shared" si="4"/>
        <v>36209.23913043482</v>
      </c>
      <c r="D395" s="21" t="str">
        <f t="shared" si="0"/>
        <v>200827</v>
      </c>
      <c r="E395" s="22">
        <f t="shared" si="5"/>
        <v>2.458612</v>
      </c>
      <c r="F395" s="9">
        <v>0</v>
      </c>
      <c r="G395" s="14">
        <f t="shared" si="1"/>
        <v>100.02044269670287</v>
      </c>
      <c r="H395" s="24">
        <f t="shared" si="6"/>
        <v>-576.82303297127646</v>
      </c>
      <c r="I395" s="20">
        <f t="shared" si="2"/>
        <v>35632.416097463545</v>
      </c>
      <c r="J395" s="17">
        <f t="shared" si="7"/>
        <v>3.5632416097463544</v>
      </c>
    </row>
    <row r="396" spans="1:10" ht="12" customHeight="1" x14ac:dyDescent="0.3">
      <c r="A396" s="1">
        <f t="shared" si="3"/>
        <v>44071</v>
      </c>
      <c r="B396" s="20">
        <v>12296.195652173914</v>
      </c>
      <c r="C396" s="20">
        <f t="shared" si="4"/>
        <v>36277.173913043516</v>
      </c>
      <c r="D396" s="21" t="str">
        <f t="shared" si="0"/>
        <v>200828</v>
      </c>
      <c r="E396" s="22">
        <f t="shared" si="5"/>
        <v>2.458612</v>
      </c>
      <c r="F396" s="9">
        <v>0</v>
      </c>
      <c r="G396" s="14">
        <f t="shared" si="1"/>
        <v>100.02037256226436</v>
      </c>
      <c r="H396" s="24">
        <f t="shared" si="6"/>
        <v>-577.5243773564398</v>
      </c>
      <c r="I396" s="20">
        <f t="shared" si="2"/>
        <v>35699.649535687073</v>
      </c>
      <c r="J396" s="17">
        <f t="shared" si="7"/>
        <v>3.5699649535687072</v>
      </c>
    </row>
    <row r="397" spans="1:10" ht="12" customHeight="1" x14ac:dyDescent="0.3">
      <c r="A397" s="1">
        <f t="shared" si="3"/>
        <v>44074</v>
      </c>
      <c r="B397" s="20">
        <v>0</v>
      </c>
      <c r="C397" s="20">
        <f t="shared" si="4"/>
        <v>36480.978260869604</v>
      </c>
      <c r="D397" s="21" t="str">
        <f t="shared" si="0"/>
        <v>200831</v>
      </c>
      <c r="E397" s="22">
        <f t="shared" si="5"/>
        <v>2.458612</v>
      </c>
      <c r="F397" s="9">
        <v>0</v>
      </c>
      <c r="G397" s="14">
        <f t="shared" si="1"/>
        <v>100.02044269670287</v>
      </c>
      <c r="H397" s="24">
        <f t="shared" si="6"/>
        <v>-576.82303297127646</v>
      </c>
      <c r="I397" s="20">
        <f t="shared" si="2"/>
        <v>35904.155227898329</v>
      </c>
      <c r="J397" s="17">
        <f t="shared" si="7"/>
        <v>3.5904155227898333</v>
      </c>
    </row>
    <row r="398" spans="1:10" ht="12" customHeight="1" x14ac:dyDescent="0.3">
      <c r="A398" s="1">
        <f t="shared" si="3"/>
        <v>44075</v>
      </c>
      <c r="B398" s="20">
        <v>69.060773480662988</v>
      </c>
      <c r="C398" s="20">
        <f t="shared" si="4"/>
        <v>36550.039034350266</v>
      </c>
      <c r="D398" s="21" t="str">
        <f t="shared" si="0"/>
        <v>200901</v>
      </c>
      <c r="E398" s="22">
        <f t="shared" si="5"/>
        <v>2.458612</v>
      </c>
      <c r="F398" s="9">
        <v>0</v>
      </c>
      <c r="G398" s="14">
        <f t="shared" si="1"/>
        <v>100.02024662884621</v>
      </c>
      <c r="H398" s="24">
        <f t="shared" si="6"/>
        <v>-578.78371153790908</v>
      </c>
      <c r="I398" s="20">
        <f t="shared" si="2"/>
        <v>35971.255322812358</v>
      </c>
      <c r="J398" s="17">
        <f t="shared" si="7"/>
        <v>3.5971255322812361</v>
      </c>
    </row>
    <row r="399" spans="1:10" ht="12" customHeight="1" x14ac:dyDescent="0.3">
      <c r="A399" s="1">
        <f t="shared" si="3"/>
        <v>44076</v>
      </c>
      <c r="B399" s="20">
        <v>138.12154696132598</v>
      </c>
      <c r="C399" s="20">
        <f t="shared" si="4"/>
        <v>36619.099807830928</v>
      </c>
      <c r="D399" s="21" t="str">
        <f t="shared" si="0"/>
        <v>200902</v>
      </c>
      <c r="E399" s="22">
        <f t="shared" si="5"/>
        <v>2.458612</v>
      </c>
      <c r="F399" s="9">
        <v>0</v>
      </c>
      <c r="G399" s="14">
        <f t="shared" si="1"/>
        <v>100.0200514716766</v>
      </c>
      <c r="H399" s="24">
        <f t="shared" si="6"/>
        <v>-580.73528323404844</v>
      </c>
      <c r="I399" s="20">
        <f t="shared" si="2"/>
        <v>36038.36452459688</v>
      </c>
      <c r="J399" s="17">
        <f t="shared" si="7"/>
        <v>3.6038364524596882</v>
      </c>
    </row>
    <row r="400" spans="1:10" ht="12" customHeight="1" x14ac:dyDescent="0.3">
      <c r="A400" s="1">
        <f t="shared" si="3"/>
        <v>44077</v>
      </c>
      <c r="B400" s="20">
        <v>207.18232044198896</v>
      </c>
      <c r="C400" s="20">
        <f t="shared" si="4"/>
        <v>36688.160581311589</v>
      </c>
      <c r="D400" s="21" t="str">
        <f t="shared" si="0"/>
        <v>200903</v>
      </c>
      <c r="E400" s="22">
        <f t="shared" si="5"/>
        <v>2.458612</v>
      </c>
      <c r="F400" s="9">
        <v>0</v>
      </c>
      <c r="G400" s="14">
        <f t="shared" si="1"/>
        <v>100.01985722537833</v>
      </c>
      <c r="H400" s="24">
        <f t="shared" si="6"/>
        <v>-582.67774621668877</v>
      </c>
      <c r="I400" s="20">
        <f t="shared" si="2"/>
        <v>36105.482835094903</v>
      </c>
      <c r="J400" s="17">
        <f t="shared" si="7"/>
        <v>3.6105482835094902</v>
      </c>
    </row>
    <row r="401" spans="1:10" ht="12" customHeight="1" x14ac:dyDescent="0.3">
      <c r="A401" s="1">
        <f t="shared" si="3"/>
        <v>44078</v>
      </c>
      <c r="B401" s="20">
        <v>276.24309392265195</v>
      </c>
      <c r="C401" s="20">
        <f t="shared" si="4"/>
        <v>36757.221354792251</v>
      </c>
      <c r="D401" s="21" t="str">
        <f t="shared" si="0"/>
        <v>200904</v>
      </c>
      <c r="E401" s="22">
        <f t="shared" si="5"/>
        <v>2.458612</v>
      </c>
      <c r="F401" s="9">
        <v>0</v>
      </c>
      <c r="G401" s="14">
        <f t="shared" si="1"/>
        <v>100.01966389013585</v>
      </c>
      <c r="H401" s="24">
        <f t="shared" si="6"/>
        <v>-584.61109864154537</v>
      </c>
      <c r="I401" s="20">
        <f t="shared" si="2"/>
        <v>36172.610256150707</v>
      </c>
      <c r="J401" s="17">
        <f t="shared" si="7"/>
        <v>3.6172610256150706</v>
      </c>
    </row>
    <row r="402" spans="1:10" ht="12" customHeight="1" x14ac:dyDescent="0.3">
      <c r="A402" s="1">
        <f t="shared" si="3"/>
        <v>44081</v>
      </c>
      <c r="B402" s="20">
        <v>483.42541436464091</v>
      </c>
      <c r="C402" s="20">
        <f t="shared" si="4"/>
        <v>36964.403675234244</v>
      </c>
      <c r="D402" s="21" t="str">
        <f t="shared" si="0"/>
        <v>200907</v>
      </c>
      <c r="E402" s="22">
        <f t="shared" si="5"/>
        <v>2.458612</v>
      </c>
      <c r="F402" s="9">
        <v>0</v>
      </c>
      <c r="G402" s="14">
        <f t="shared" si="1"/>
        <v>100.01908935258791</v>
      </c>
      <c r="H402" s="24">
        <f t="shared" si="6"/>
        <v>-590.3564741208811</v>
      </c>
      <c r="I402" s="20">
        <f t="shared" si="2"/>
        <v>36374.047201113361</v>
      </c>
      <c r="J402" s="17">
        <f t="shared" si="7"/>
        <v>3.637404720111336</v>
      </c>
    </row>
    <row r="403" spans="1:10" ht="12" customHeight="1" x14ac:dyDescent="0.3">
      <c r="A403" s="1">
        <f t="shared" si="3"/>
        <v>44082</v>
      </c>
      <c r="B403" s="20">
        <v>552.4861878453039</v>
      </c>
      <c r="C403" s="20">
        <f t="shared" si="4"/>
        <v>37033.464448714905</v>
      </c>
      <c r="D403" s="21" t="str">
        <f t="shared" si="0"/>
        <v>200908</v>
      </c>
      <c r="E403" s="22">
        <f t="shared" si="5"/>
        <v>2.458612</v>
      </c>
      <c r="F403" s="9">
        <v>0</v>
      </c>
      <c r="G403" s="14">
        <f t="shared" si="1"/>
        <v>100.01889966341365</v>
      </c>
      <c r="H403" s="24">
        <f t="shared" si="6"/>
        <v>-592.25336586351318</v>
      </c>
      <c r="I403" s="20">
        <f t="shared" si="2"/>
        <v>36441.211082851391</v>
      </c>
      <c r="J403" s="17">
        <f t="shared" si="7"/>
        <v>3.6441211082851392</v>
      </c>
    </row>
    <row r="404" spans="1:10" ht="12" customHeight="1" x14ac:dyDescent="0.3">
      <c r="A404" s="1">
        <f t="shared" si="3"/>
        <v>44083</v>
      </c>
      <c r="B404" s="20">
        <v>621.54696132596678</v>
      </c>
      <c r="C404" s="20">
        <f t="shared" si="4"/>
        <v>37102.525222195567</v>
      </c>
      <c r="D404" s="21" t="str">
        <f t="shared" si="0"/>
        <v>200909</v>
      </c>
      <c r="E404" s="22">
        <f t="shared" si="5"/>
        <v>2.458612</v>
      </c>
      <c r="F404" s="9">
        <v>0</v>
      </c>
      <c r="G404" s="14">
        <f t="shared" si="1"/>
        <v>100.01871088621792</v>
      </c>
      <c r="H404" s="24">
        <f t="shared" si="6"/>
        <v>-594.14113782082723</v>
      </c>
      <c r="I404" s="20">
        <f t="shared" si="2"/>
        <v>36508.384084374738</v>
      </c>
      <c r="J404" s="17">
        <f t="shared" si="7"/>
        <v>3.6508384084374743</v>
      </c>
    </row>
    <row r="405" spans="1:10" ht="12" customHeight="1" x14ac:dyDescent="0.3">
      <c r="A405" s="1">
        <f t="shared" si="3"/>
        <v>44084</v>
      </c>
      <c r="B405" s="20">
        <v>690.60773480662976</v>
      </c>
      <c r="C405" s="20">
        <f t="shared" si="4"/>
        <v>37171.585995676229</v>
      </c>
      <c r="D405" s="21" t="str">
        <f t="shared" si="0"/>
        <v>200910</v>
      </c>
      <c r="E405" s="22">
        <f t="shared" si="5"/>
        <v>2.458612</v>
      </c>
      <c r="F405" s="9">
        <v>0</v>
      </c>
      <c r="G405" s="14">
        <f t="shared" si="1"/>
        <v>100.01852302118546</v>
      </c>
      <c r="H405" s="24">
        <f t="shared" si="6"/>
        <v>-596.01978814541212</v>
      </c>
      <c r="I405" s="20">
        <f t="shared" si="2"/>
        <v>36575.566207530814</v>
      </c>
      <c r="J405" s="17">
        <f t="shared" si="7"/>
        <v>3.6575566207530814</v>
      </c>
    </row>
    <row r="406" spans="1:10" ht="12" customHeight="1" x14ac:dyDescent="0.3">
      <c r="A406" s="1">
        <f t="shared" si="3"/>
        <v>44085</v>
      </c>
      <c r="B406" s="20">
        <v>759.66850828729275</v>
      </c>
      <c r="C406" s="20">
        <f t="shared" si="4"/>
        <v>37240.646769156891</v>
      </c>
      <c r="D406" s="21" t="str">
        <f t="shared" si="0"/>
        <v>200911</v>
      </c>
      <c r="E406" s="22">
        <f t="shared" si="5"/>
        <v>2.458612</v>
      </c>
      <c r="F406" s="9">
        <v>0</v>
      </c>
      <c r="G406" s="14">
        <f t="shared" si="1"/>
        <v>100.01833606850104</v>
      </c>
      <c r="H406" s="24">
        <f t="shared" si="6"/>
        <v>-597.88931498957254</v>
      </c>
      <c r="I406" s="20">
        <f t="shared" si="2"/>
        <v>36642.757454167317</v>
      </c>
      <c r="J406" s="17">
        <f t="shared" si="7"/>
        <v>3.6642757454167318</v>
      </c>
    </row>
    <row r="407" spans="1:10" ht="12" customHeight="1" x14ac:dyDescent="0.3">
      <c r="A407" s="1">
        <f t="shared" si="3"/>
        <v>44088</v>
      </c>
      <c r="B407" s="20">
        <v>966.85082872928183</v>
      </c>
      <c r="C407" s="20">
        <f t="shared" si="4"/>
        <v>37447.829089598883</v>
      </c>
      <c r="D407" s="21" t="str">
        <f t="shared" si="0"/>
        <v>200914</v>
      </c>
      <c r="E407" s="22">
        <f t="shared" si="5"/>
        <v>2.458612</v>
      </c>
      <c r="F407" s="9">
        <v>0</v>
      </c>
      <c r="G407" s="14">
        <f t="shared" si="1"/>
        <v>100.01778068638421</v>
      </c>
      <c r="H407" s="24">
        <f t="shared" si="6"/>
        <v>-603.44313615786405</v>
      </c>
      <c r="I407" s="20">
        <f t="shared" si="2"/>
        <v>36844.385953441022</v>
      </c>
      <c r="J407" s="17">
        <f t="shared" si="7"/>
        <v>3.6844385953441021</v>
      </c>
    </row>
    <row r="408" spans="1:10" ht="12" customHeight="1" x14ac:dyDescent="0.3">
      <c r="A408" s="1">
        <f t="shared" si="3"/>
        <v>44089</v>
      </c>
      <c r="B408" s="20">
        <v>1035.9116022099447</v>
      </c>
      <c r="C408" s="20">
        <f t="shared" si="4"/>
        <v>37516.889863079545</v>
      </c>
      <c r="D408" s="21" t="str">
        <f t="shared" si="0"/>
        <v>200915</v>
      </c>
      <c r="E408" s="22">
        <f t="shared" si="5"/>
        <v>2.458612</v>
      </c>
      <c r="F408" s="9">
        <v>0</v>
      </c>
      <c r="G408" s="14">
        <f t="shared" si="1"/>
        <v>100.01759738494043</v>
      </c>
      <c r="H408" s="24">
        <f t="shared" si="6"/>
        <v>-605.27615059569939</v>
      </c>
      <c r="I408" s="20">
        <f t="shared" si="2"/>
        <v>36911.613712483842</v>
      </c>
      <c r="J408" s="17">
        <f t="shared" si="7"/>
        <v>3.6911613712483846</v>
      </c>
    </row>
    <row r="409" spans="1:10" ht="12" customHeight="1" x14ac:dyDescent="0.3">
      <c r="A409" s="1">
        <f t="shared" si="3"/>
        <v>44090</v>
      </c>
      <c r="B409" s="20">
        <v>1104.9723756906078</v>
      </c>
      <c r="C409" s="20">
        <f t="shared" si="4"/>
        <v>37585.950636560206</v>
      </c>
      <c r="D409" s="21" t="str">
        <f t="shared" si="0"/>
        <v>200916</v>
      </c>
      <c r="E409" s="22">
        <f t="shared" si="5"/>
        <v>2.458612</v>
      </c>
      <c r="F409" s="9">
        <v>0</v>
      </c>
      <c r="G409" s="14">
        <f t="shared" si="1"/>
        <v>100.0174149967692</v>
      </c>
      <c r="H409" s="24">
        <f t="shared" si="6"/>
        <v>-607.10003230795451</v>
      </c>
      <c r="I409" s="20">
        <f t="shared" si="2"/>
        <v>36978.850604252249</v>
      </c>
      <c r="J409" s="17">
        <f t="shared" si="7"/>
        <v>3.6978850604252247</v>
      </c>
    </row>
    <row r="410" spans="1:10" ht="12" customHeight="1" x14ac:dyDescent="0.3">
      <c r="A410" s="1">
        <f t="shared" si="3"/>
        <v>44091</v>
      </c>
      <c r="B410" s="20">
        <v>1174.0331491712707</v>
      </c>
      <c r="C410" s="20">
        <f t="shared" si="4"/>
        <v>37655.011410040868</v>
      </c>
      <c r="D410" s="21" t="str">
        <f t="shared" si="0"/>
        <v>200917</v>
      </c>
      <c r="E410" s="22">
        <f t="shared" si="5"/>
        <v>2.458612</v>
      </c>
      <c r="F410" s="9">
        <v>0</v>
      </c>
      <c r="G410" s="14">
        <f t="shared" si="1"/>
        <v>100.01723352205561</v>
      </c>
      <c r="H410" s="24">
        <f t="shared" si="6"/>
        <v>-608.91477944394978</v>
      </c>
      <c r="I410" s="20">
        <f t="shared" si="2"/>
        <v>37046.09663059692</v>
      </c>
      <c r="J410" s="17">
        <f t="shared" si="7"/>
        <v>3.7046096630596921</v>
      </c>
    </row>
    <row r="411" spans="1:10" ht="12" customHeight="1" x14ac:dyDescent="0.3">
      <c r="A411" s="1">
        <f t="shared" si="3"/>
        <v>44092</v>
      </c>
      <c r="B411" s="20">
        <v>1243.0939226519336</v>
      </c>
      <c r="C411" s="20">
        <f t="shared" si="4"/>
        <v>37724.07218352153</v>
      </c>
      <c r="D411" s="21" t="str">
        <f t="shared" si="0"/>
        <v>200918</v>
      </c>
      <c r="E411" s="22">
        <f t="shared" si="5"/>
        <v>2.458612</v>
      </c>
      <c r="F411" s="9">
        <v>0</v>
      </c>
      <c r="G411" s="14">
        <f t="shared" si="1"/>
        <v>100.01705296098469</v>
      </c>
      <c r="H411" s="24">
        <f t="shared" si="6"/>
        <v>-610.72039015314772</v>
      </c>
      <c r="I411" s="20">
        <f t="shared" si="2"/>
        <v>37113.351793368383</v>
      </c>
      <c r="J411" s="17">
        <f t="shared" si="7"/>
        <v>3.7113351793368379</v>
      </c>
    </row>
    <row r="412" spans="1:10" ht="12" customHeight="1" x14ac:dyDescent="0.3">
      <c r="A412" s="1">
        <f t="shared" si="3"/>
        <v>44095</v>
      </c>
      <c r="B412" s="20">
        <v>1450.2762430939226</v>
      </c>
      <c r="C412" s="20">
        <f t="shared" si="4"/>
        <v>37931.254503963522</v>
      </c>
      <c r="D412" s="21" t="str">
        <f t="shared" si="0"/>
        <v>200921</v>
      </c>
      <c r="E412" s="22">
        <f t="shared" si="5"/>
        <v>2.458612</v>
      </c>
      <c r="F412" s="9">
        <v>0</v>
      </c>
      <c r="G412" s="14">
        <f t="shared" si="1"/>
        <v>100.01651676148005</v>
      </c>
      <c r="H412" s="24">
        <f t="shared" si="6"/>
        <v>-616.08238519951897</v>
      </c>
      <c r="I412" s="20">
        <f t="shared" si="2"/>
        <v>37315.172118764007</v>
      </c>
      <c r="J412" s="17">
        <f t="shared" si="7"/>
        <v>3.7315172118764006</v>
      </c>
    </row>
    <row r="413" spans="1:10" ht="12" customHeight="1" x14ac:dyDescent="0.3">
      <c r="A413" s="1">
        <f t="shared" si="3"/>
        <v>44096</v>
      </c>
      <c r="B413" s="20">
        <v>1519.3370165745855</v>
      </c>
      <c r="C413" s="20">
        <f t="shared" si="4"/>
        <v>38000.315277444184</v>
      </c>
      <c r="D413" s="21" t="str">
        <f t="shared" si="0"/>
        <v>200922</v>
      </c>
      <c r="E413" s="22">
        <f t="shared" si="5"/>
        <v>2.458612</v>
      </c>
      <c r="F413" s="9">
        <v>0</v>
      </c>
      <c r="G413" s="14">
        <f t="shared" si="1"/>
        <v>100.01633985683206</v>
      </c>
      <c r="H413" s="24">
        <f t="shared" si="6"/>
        <v>-617.85143167938372</v>
      </c>
      <c r="I413" s="20">
        <f t="shared" si="2"/>
        <v>37382.463845764803</v>
      </c>
      <c r="J413" s="17">
        <f t="shared" si="7"/>
        <v>3.7382463845764802</v>
      </c>
    </row>
    <row r="414" spans="1:10" ht="12" customHeight="1" x14ac:dyDescent="0.3">
      <c r="A414" s="1">
        <f t="shared" si="3"/>
        <v>44097</v>
      </c>
      <c r="B414" s="20">
        <v>1588.3977900552488</v>
      </c>
      <c r="C414" s="20">
        <f t="shared" si="4"/>
        <v>38069.376050924846</v>
      </c>
      <c r="D414" s="21" t="str">
        <f t="shared" si="0"/>
        <v>200923</v>
      </c>
      <c r="E414" s="22">
        <f t="shared" si="5"/>
        <v>2.458612</v>
      </c>
      <c r="F414" s="9">
        <v>0</v>
      </c>
      <c r="G414" s="14">
        <f t="shared" si="1"/>
        <v>100.01616386675302</v>
      </c>
      <c r="H414" s="24">
        <f t="shared" si="6"/>
        <v>-619.61133246981603</v>
      </c>
      <c r="I414" s="20">
        <f t="shared" si="2"/>
        <v>37449.76471845503</v>
      </c>
      <c r="J414" s="17">
        <f t="shared" si="7"/>
        <v>3.744976471845503</v>
      </c>
    </row>
    <row r="415" spans="1:10" ht="12" customHeight="1" x14ac:dyDescent="0.3">
      <c r="A415" s="1">
        <f t="shared" si="3"/>
        <v>44098</v>
      </c>
      <c r="B415" s="20">
        <v>1657.4585635359117</v>
      </c>
      <c r="C415" s="20">
        <f t="shared" si="4"/>
        <v>38138.436824405508</v>
      </c>
      <c r="D415" s="21" t="str">
        <f t="shared" si="0"/>
        <v>200924</v>
      </c>
      <c r="E415" s="22">
        <f t="shared" si="5"/>
        <v>2.458612</v>
      </c>
      <c r="F415" s="9">
        <v>0</v>
      </c>
      <c r="G415" s="14">
        <f t="shared" si="1"/>
        <v>100.01598879142838</v>
      </c>
      <c r="H415" s="24">
        <f t="shared" si="6"/>
        <v>-621.36208571615725</v>
      </c>
      <c r="I415" s="20">
        <f t="shared" si="2"/>
        <v>37517.074738689349</v>
      </c>
      <c r="J415" s="17">
        <f t="shared" si="7"/>
        <v>3.7517074738689349</v>
      </c>
    </row>
    <row r="416" spans="1:10" ht="12" customHeight="1" x14ac:dyDescent="0.3">
      <c r="A416" s="1">
        <f t="shared" si="3"/>
        <v>44099</v>
      </c>
      <c r="B416" s="20">
        <v>1726.5193370165746</v>
      </c>
      <c r="C416" s="20">
        <f t="shared" si="4"/>
        <v>38207.497597886169</v>
      </c>
      <c r="D416" s="21" t="str">
        <f t="shared" si="0"/>
        <v>200925</v>
      </c>
      <c r="E416" s="22">
        <f t="shared" si="5"/>
        <v>2.458612</v>
      </c>
      <c r="F416" s="9">
        <v>0</v>
      </c>
      <c r="G416" s="14">
        <f t="shared" si="1"/>
        <v>100.01581463104363</v>
      </c>
      <c r="H416" s="24">
        <f t="shared" si="6"/>
        <v>-623.10368956374873</v>
      </c>
      <c r="I416" s="20">
        <f t="shared" si="2"/>
        <v>37584.393908322418</v>
      </c>
      <c r="J416" s="17">
        <f t="shared" si="7"/>
        <v>3.7584393908322418</v>
      </c>
    </row>
    <row r="417" spans="1:10" ht="12" customHeight="1" x14ac:dyDescent="0.3">
      <c r="A417" s="1">
        <f t="shared" si="3"/>
        <v>44102</v>
      </c>
      <c r="B417" s="20">
        <v>1933.7016574585637</v>
      </c>
      <c r="C417" s="20">
        <f t="shared" si="4"/>
        <v>38414.679918328162</v>
      </c>
      <c r="D417" s="21" t="str">
        <f t="shared" si="0"/>
        <v>200928</v>
      </c>
      <c r="E417" s="22">
        <f t="shared" si="5"/>
        <v>2.458612</v>
      </c>
      <c r="F417" s="9">
        <v>0</v>
      </c>
      <c r="G417" s="14">
        <f t="shared" si="1"/>
        <v>100.01529764138371</v>
      </c>
      <c r="H417" s="24">
        <f t="shared" si="6"/>
        <v>-628.27358616289075</v>
      </c>
      <c r="I417" s="20">
        <f t="shared" si="2"/>
        <v>37786.406332165272</v>
      </c>
      <c r="J417" s="17">
        <f t="shared" si="7"/>
        <v>3.778640633216527</v>
      </c>
    </row>
    <row r="418" spans="1:10" ht="12" customHeight="1" x14ac:dyDescent="0.3">
      <c r="A418" s="1">
        <f t="shared" si="3"/>
        <v>44103</v>
      </c>
      <c r="B418" s="20">
        <v>2002.7624309392268</v>
      </c>
      <c r="C418" s="20">
        <f t="shared" si="4"/>
        <v>38483.740691808824</v>
      </c>
      <c r="D418" s="21" t="str">
        <f t="shared" si="0"/>
        <v>200929</v>
      </c>
      <c r="E418" s="22">
        <f t="shared" si="5"/>
        <v>2.458612</v>
      </c>
      <c r="F418" s="9">
        <v>0</v>
      </c>
      <c r="G418" s="14">
        <f t="shared" si="1"/>
        <v>100.01512714261389</v>
      </c>
      <c r="H418" s="24">
        <f t="shared" si="6"/>
        <v>-629.9785738610808</v>
      </c>
      <c r="I418" s="20">
        <f t="shared" si="2"/>
        <v>37853.762117947743</v>
      </c>
      <c r="J418" s="17">
        <f t="shared" si="7"/>
        <v>3.785376211794774</v>
      </c>
    </row>
    <row r="419" spans="1:10" ht="12" customHeight="1" x14ac:dyDescent="0.3">
      <c r="A419" s="1">
        <f t="shared" si="3"/>
        <v>44104</v>
      </c>
      <c r="B419" s="20">
        <v>2071.8232044198894</v>
      </c>
      <c r="C419" s="20">
        <f t="shared" si="4"/>
        <v>38552.801465289485</v>
      </c>
      <c r="D419" s="21" t="str">
        <f t="shared" si="0"/>
        <v>200930</v>
      </c>
      <c r="E419" s="22">
        <f t="shared" si="5"/>
        <v>2.458612</v>
      </c>
      <c r="F419" s="9">
        <v>0</v>
      </c>
      <c r="G419" s="14">
        <f t="shared" si="1"/>
        <v>100.01495755971195</v>
      </c>
      <c r="H419" s="24">
        <f t="shared" si="6"/>
        <v>-631.67440288054877</v>
      </c>
      <c r="I419" s="20">
        <f t="shared" si="2"/>
        <v>37921.127062408937</v>
      </c>
      <c r="J419" s="17">
        <f t="shared" si="7"/>
        <v>3.7921127062408937</v>
      </c>
    </row>
    <row r="420" spans="1:10" ht="12" customHeight="1" x14ac:dyDescent="0.3">
      <c r="A420" s="1">
        <f t="shared" si="3"/>
        <v>44105</v>
      </c>
      <c r="B420" s="20">
        <v>2140.8839779005525</v>
      </c>
      <c r="C420" s="20">
        <f t="shared" si="4"/>
        <v>38621.862238770147</v>
      </c>
      <c r="D420" s="21" t="str">
        <f t="shared" si="0"/>
        <v>201001</v>
      </c>
      <c r="E420" s="22">
        <f t="shared" si="5"/>
        <v>2.458612</v>
      </c>
      <c r="F420" s="9">
        <v>0</v>
      </c>
      <c r="G420" s="14">
        <f t="shared" si="1"/>
        <v>100.01478889286366</v>
      </c>
      <c r="H420" s="24">
        <f t="shared" si="6"/>
        <v>-633.3610713633675</v>
      </c>
      <c r="I420" s="20">
        <f t="shared" si="2"/>
        <v>37988.501167406779</v>
      </c>
      <c r="J420" s="17">
        <f t="shared" si="7"/>
        <v>3.7988501167406779</v>
      </c>
    </row>
    <row r="421" spans="1:10" ht="12" customHeight="1" x14ac:dyDescent="0.3">
      <c r="A421" s="1">
        <f t="shared" si="3"/>
        <v>44106</v>
      </c>
      <c r="B421" s="20">
        <v>2209.9447513812156</v>
      </c>
      <c r="C421" s="20">
        <f t="shared" si="4"/>
        <v>38690.923012250809</v>
      </c>
      <c r="D421" s="21" t="str">
        <f t="shared" si="0"/>
        <v>201002</v>
      </c>
      <c r="E421" s="22">
        <f t="shared" si="5"/>
        <v>2.458612</v>
      </c>
      <c r="F421" s="9">
        <v>0</v>
      </c>
      <c r="G421" s="14">
        <f t="shared" si="1"/>
        <v>100.01462114225478</v>
      </c>
      <c r="H421" s="24">
        <f t="shared" si="6"/>
        <v>-635.03857745217829</v>
      </c>
      <c r="I421" s="20">
        <f t="shared" si="2"/>
        <v>38055.884434798631</v>
      </c>
      <c r="J421" s="17">
        <f t="shared" si="7"/>
        <v>3.8055884434798632</v>
      </c>
    </row>
    <row r="422" spans="1:10" ht="12" customHeight="1" x14ac:dyDescent="0.3">
      <c r="A422" s="1">
        <f t="shared" si="3"/>
        <v>44109</v>
      </c>
      <c r="B422" s="20">
        <v>2417.1270718232049</v>
      </c>
      <c r="C422" s="20">
        <f t="shared" si="4"/>
        <v>38898.105332692801</v>
      </c>
      <c r="D422" s="21" t="str">
        <f t="shared" si="0"/>
        <v>201005</v>
      </c>
      <c r="E422" s="22">
        <f t="shared" si="5"/>
        <v>2.458612</v>
      </c>
      <c r="F422" s="9">
        <v>0</v>
      </c>
      <c r="G422" s="14">
        <f t="shared" si="1"/>
        <v>100.01412338972371</v>
      </c>
      <c r="H422" s="24">
        <f t="shared" si="6"/>
        <v>-640.01610276292809</v>
      </c>
      <c r="I422" s="20">
        <f t="shared" si="2"/>
        <v>38258.089229929872</v>
      </c>
      <c r="J422" s="17">
        <f t="shared" si="7"/>
        <v>3.8258089229929868</v>
      </c>
    </row>
    <row r="423" spans="1:10" ht="12" customHeight="1" x14ac:dyDescent="0.3">
      <c r="A423" s="1">
        <f t="shared" si="3"/>
        <v>44110</v>
      </c>
      <c r="B423" s="20">
        <v>2486.1878453038671</v>
      </c>
      <c r="C423" s="20">
        <f t="shared" si="4"/>
        <v>38967.166106173463</v>
      </c>
      <c r="D423" s="21" t="str">
        <f t="shared" si="0"/>
        <v>201006</v>
      </c>
      <c r="E423" s="22">
        <f t="shared" si="5"/>
        <v>2.458612</v>
      </c>
      <c r="F423" s="9">
        <v>0</v>
      </c>
      <c r="G423" s="14">
        <f t="shared" si="1"/>
        <v>100.01395930593169</v>
      </c>
      <c r="H423" s="24">
        <f t="shared" si="6"/>
        <v>-641.65694068307744</v>
      </c>
      <c r="I423" s="20">
        <f t="shared" si="2"/>
        <v>38325.509165490388</v>
      </c>
      <c r="J423" s="17">
        <f t="shared" si="7"/>
        <v>3.8325509165490388</v>
      </c>
    </row>
    <row r="424" spans="1:10" ht="12" customHeight="1" x14ac:dyDescent="0.3">
      <c r="A424" s="1">
        <f t="shared" si="3"/>
        <v>44111</v>
      </c>
      <c r="B424" s="20">
        <v>2555.2486187845302</v>
      </c>
      <c r="C424" s="20">
        <f t="shared" si="4"/>
        <v>39036.226879654125</v>
      </c>
      <c r="D424" s="21" t="str">
        <f t="shared" si="0"/>
        <v>201007</v>
      </c>
      <c r="E424" s="22">
        <f t="shared" si="5"/>
        <v>2.458612</v>
      </c>
      <c r="F424" s="9">
        <v>0</v>
      </c>
      <c r="G424" s="14">
        <f t="shared" si="1"/>
        <v>100.01379613930892</v>
      </c>
      <c r="H424" s="24">
        <f t="shared" si="6"/>
        <v>-643.28860691077239</v>
      </c>
      <c r="I424" s="20">
        <f t="shared" si="2"/>
        <v>38392.938272743355</v>
      </c>
      <c r="J424" s="17">
        <f t="shared" si="7"/>
        <v>3.8392938272743358</v>
      </c>
    </row>
    <row r="425" spans="1:10" ht="12" customHeight="1" x14ac:dyDescent="0.3">
      <c r="A425" s="1">
        <f t="shared" si="3"/>
        <v>44112</v>
      </c>
      <c r="B425" s="20">
        <v>2624.3093922651933</v>
      </c>
      <c r="C425" s="20">
        <f t="shared" si="4"/>
        <v>39105.287653134787</v>
      </c>
      <c r="D425" s="21" t="str">
        <f t="shared" si="0"/>
        <v>201008</v>
      </c>
      <c r="E425" s="22">
        <f t="shared" si="5"/>
        <v>2.458612</v>
      </c>
      <c r="F425" s="9">
        <v>0</v>
      </c>
      <c r="G425" s="14">
        <f t="shared" si="1"/>
        <v>100.01363389004149</v>
      </c>
      <c r="H425" s="24">
        <f t="shared" si="6"/>
        <v>-644.91109958510151</v>
      </c>
      <c r="I425" s="20">
        <f t="shared" si="2"/>
        <v>38460.376553549686</v>
      </c>
      <c r="J425" s="17">
        <f t="shared" si="7"/>
        <v>3.8460376553549684</v>
      </c>
    </row>
    <row r="426" spans="1:10" ht="12" customHeight="1" x14ac:dyDescent="0.3">
      <c r="A426" s="1">
        <f t="shared" si="3"/>
        <v>44113</v>
      </c>
      <c r="B426" s="20">
        <v>2693.3701657458564</v>
      </c>
      <c r="C426" s="20">
        <f t="shared" si="4"/>
        <v>39174.348426615448</v>
      </c>
      <c r="D426" s="21" t="str">
        <f t="shared" si="0"/>
        <v>201009</v>
      </c>
      <c r="E426" s="22">
        <f t="shared" si="5"/>
        <v>2.458612</v>
      </c>
      <c r="F426" s="9">
        <v>0</v>
      </c>
      <c r="G426" s="14">
        <f t="shared" si="1"/>
        <v>100.01347255831557</v>
      </c>
      <c r="H426" s="24">
        <f t="shared" si="6"/>
        <v>-646.52441684430073</v>
      </c>
      <c r="I426" s="20">
        <f t="shared" si="2"/>
        <v>38527.824009771146</v>
      </c>
      <c r="J426" s="17">
        <f t="shared" si="7"/>
        <v>3.8527824009771146</v>
      </c>
    </row>
    <row r="427" spans="1:10" ht="12" customHeight="1" x14ac:dyDescent="0.3">
      <c r="A427" s="1">
        <f t="shared" si="3"/>
        <v>44116</v>
      </c>
      <c r="B427" s="20">
        <v>2900.5524861878453</v>
      </c>
      <c r="C427" s="20">
        <f t="shared" si="4"/>
        <v>39381.530747057433</v>
      </c>
      <c r="D427" s="21" t="str">
        <f t="shared" si="0"/>
        <v>201012</v>
      </c>
      <c r="E427" s="22">
        <f t="shared" si="5"/>
        <v>2.458612</v>
      </c>
      <c r="F427" s="9">
        <v>0</v>
      </c>
      <c r="G427" s="14">
        <f t="shared" si="1"/>
        <v>100.01299407024912</v>
      </c>
      <c r="H427" s="24">
        <f t="shared" si="6"/>
        <v>-651.30929750878863</v>
      </c>
      <c r="I427" s="20">
        <f t="shared" si="2"/>
        <v>38730.221449548648</v>
      </c>
      <c r="J427" s="17">
        <f t="shared" si="7"/>
        <v>3.8730221449548652</v>
      </c>
    </row>
    <row r="428" spans="1:10" ht="12" customHeight="1" x14ac:dyDescent="0.3">
      <c r="A428" s="1">
        <f t="shared" si="3"/>
        <v>44117</v>
      </c>
      <c r="B428" s="20">
        <v>2969.6132596685079</v>
      </c>
      <c r="C428" s="20">
        <f t="shared" si="4"/>
        <v>39450.591520538095</v>
      </c>
      <c r="D428" s="21" t="str">
        <f t="shared" si="0"/>
        <v>201013</v>
      </c>
      <c r="E428" s="22">
        <f t="shared" si="5"/>
        <v>2.458612</v>
      </c>
      <c r="F428" s="9">
        <v>0</v>
      </c>
      <c r="G428" s="14">
        <f t="shared" si="1"/>
        <v>100.01283641055178</v>
      </c>
      <c r="H428" s="24">
        <f t="shared" si="6"/>
        <v>-652.88589448215362</v>
      </c>
      <c r="I428" s="20">
        <f t="shared" si="2"/>
        <v>38797.70562605594</v>
      </c>
      <c r="J428" s="17">
        <f t="shared" si="7"/>
        <v>3.8797705626055938</v>
      </c>
    </row>
    <row r="429" spans="1:10" ht="12" customHeight="1" x14ac:dyDescent="0.3">
      <c r="A429" s="1">
        <f t="shared" si="3"/>
        <v>44118</v>
      </c>
      <c r="B429" s="20">
        <v>3038.674033149171</v>
      </c>
      <c r="C429" s="20">
        <f t="shared" si="4"/>
        <v>39519.652294018757</v>
      </c>
      <c r="D429" s="21" t="str">
        <f t="shared" si="0"/>
        <v>201014</v>
      </c>
      <c r="E429" s="22">
        <f t="shared" si="5"/>
        <v>2.458612</v>
      </c>
      <c r="F429" s="9">
        <v>0</v>
      </c>
      <c r="G429" s="14">
        <f t="shared" si="1"/>
        <v>100.0126796693275</v>
      </c>
      <c r="H429" s="24">
        <f t="shared" si="6"/>
        <v>-654.45330672503133</v>
      </c>
      <c r="I429" s="20">
        <f t="shared" si="2"/>
        <v>38865.198987293727</v>
      </c>
      <c r="J429" s="17">
        <f t="shared" si="7"/>
        <v>3.886519898729373</v>
      </c>
    </row>
    <row r="430" spans="1:10" ht="12" customHeight="1" x14ac:dyDescent="0.3">
      <c r="A430" s="1">
        <f t="shared" si="3"/>
        <v>44119</v>
      </c>
      <c r="B430" s="20">
        <v>3107.7348066298346</v>
      </c>
      <c r="C430" s="20">
        <f t="shared" si="4"/>
        <v>39588.713067499419</v>
      </c>
      <c r="D430" s="21" t="str">
        <f t="shared" si="0"/>
        <v>201015</v>
      </c>
      <c r="E430" s="22">
        <f t="shared" si="5"/>
        <v>2.458612</v>
      </c>
      <c r="F430" s="9">
        <v>0</v>
      </c>
      <c r="G430" s="14">
        <f t="shared" si="1"/>
        <v>100.01252384676275</v>
      </c>
      <c r="H430" s="24">
        <f t="shared" si="6"/>
        <v>-656.01153237253141</v>
      </c>
      <c r="I430" s="20">
        <f t="shared" si="2"/>
        <v>38932.701535126886</v>
      </c>
      <c r="J430" s="17">
        <f t="shared" si="7"/>
        <v>3.8932701535126886</v>
      </c>
    </row>
    <row r="431" spans="1:10" ht="12" customHeight="1" x14ac:dyDescent="0.3">
      <c r="A431" s="1">
        <f t="shared" si="3"/>
        <v>44120</v>
      </c>
      <c r="B431" s="20">
        <v>3176.7955801104977</v>
      </c>
      <c r="C431" s="20">
        <f t="shared" si="4"/>
        <v>39657.77384098008</v>
      </c>
      <c r="D431" s="21" t="str">
        <f t="shared" si="0"/>
        <v>201016</v>
      </c>
      <c r="E431" s="22">
        <f t="shared" si="5"/>
        <v>2.458612</v>
      </c>
      <c r="F431" s="9">
        <v>0</v>
      </c>
      <c r="G431" s="14">
        <f t="shared" si="1"/>
        <v>100.012368943044</v>
      </c>
      <c r="H431" s="24">
        <f t="shared" si="6"/>
        <v>-657.56056956004727</v>
      </c>
      <c r="I431" s="20">
        <f t="shared" si="2"/>
        <v>39000.213271420034</v>
      </c>
      <c r="J431" s="17">
        <f t="shared" si="7"/>
        <v>3.900021327142003</v>
      </c>
    </row>
    <row r="432" spans="1:10" ht="12" customHeight="1" x14ac:dyDescent="0.3">
      <c r="A432" s="1">
        <f t="shared" si="3"/>
        <v>44123</v>
      </c>
      <c r="B432" s="20">
        <v>3383.9779005524861</v>
      </c>
      <c r="C432" s="20">
        <f t="shared" si="4"/>
        <v>39864.956161422066</v>
      </c>
      <c r="D432" s="21" t="str">
        <f t="shared" si="0"/>
        <v>201019</v>
      </c>
      <c r="E432" s="22">
        <f t="shared" si="5"/>
        <v>2.458612</v>
      </c>
      <c r="F432" s="9">
        <v>0</v>
      </c>
      <c r="G432" s="14">
        <f t="shared" si="1"/>
        <v>100.01190974682982</v>
      </c>
      <c r="H432" s="24">
        <f t="shared" si="6"/>
        <v>-662.15253170184951</v>
      </c>
      <c r="I432" s="20">
        <f t="shared" si="2"/>
        <v>39202.80362972022</v>
      </c>
      <c r="J432" s="17">
        <f t="shared" si="7"/>
        <v>3.9202803629720222</v>
      </c>
    </row>
    <row r="433" spans="1:10" ht="12" customHeight="1" x14ac:dyDescent="0.3">
      <c r="A433" s="1">
        <f t="shared" si="3"/>
        <v>44124</v>
      </c>
      <c r="B433" s="20">
        <v>3453.0386740331492</v>
      </c>
      <c r="C433" s="20">
        <f t="shared" si="4"/>
        <v>39934.016934902727</v>
      </c>
      <c r="D433" s="21" t="str">
        <f t="shared" si="0"/>
        <v>201020</v>
      </c>
      <c r="E433" s="22">
        <f t="shared" si="5"/>
        <v>2.458612</v>
      </c>
      <c r="F433" s="9">
        <v>0</v>
      </c>
      <c r="G433" s="14">
        <f t="shared" si="1"/>
        <v>100.01175852036128</v>
      </c>
      <c r="H433" s="24">
        <f t="shared" si="6"/>
        <v>-663.66479638716669</v>
      </c>
      <c r="I433" s="20">
        <f t="shared" si="2"/>
        <v>39270.352138515562</v>
      </c>
      <c r="J433" s="17">
        <f t="shared" si="7"/>
        <v>3.9270352138515561</v>
      </c>
    </row>
    <row r="434" spans="1:10" ht="12" customHeight="1" x14ac:dyDescent="0.3">
      <c r="A434" s="1">
        <f t="shared" si="3"/>
        <v>44125</v>
      </c>
      <c r="B434" s="20">
        <v>3522.0994475138123</v>
      </c>
      <c r="C434" s="20">
        <f t="shared" si="4"/>
        <v>40003.077708383389</v>
      </c>
      <c r="D434" s="21" t="str">
        <f t="shared" si="0"/>
        <v>201021</v>
      </c>
      <c r="E434" s="22">
        <f t="shared" si="5"/>
        <v>2.458612</v>
      </c>
      <c r="F434" s="9">
        <v>0</v>
      </c>
      <c r="G434" s="14">
        <f t="shared" si="1"/>
        <v>100.01160821367215</v>
      </c>
      <c r="H434" s="24">
        <f t="shared" si="6"/>
        <v>-665.1678632785264</v>
      </c>
      <c r="I434" s="20">
        <f t="shared" si="2"/>
        <v>39337.909845104863</v>
      </c>
      <c r="J434" s="17">
        <f t="shared" si="7"/>
        <v>3.9337909845104866</v>
      </c>
    </row>
    <row r="435" spans="1:10" ht="12" customHeight="1" x14ac:dyDescent="0.3">
      <c r="A435" s="1">
        <f t="shared" si="3"/>
        <v>44126</v>
      </c>
      <c r="B435" s="20">
        <v>3591.1602209944749</v>
      </c>
      <c r="C435" s="20">
        <f t="shared" si="4"/>
        <v>40072.138481864051</v>
      </c>
      <c r="D435" s="21" t="str">
        <f t="shared" si="0"/>
        <v>201022</v>
      </c>
      <c r="E435" s="22">
        <f t="shared" si="5"/>
        <v>2.458612</v>
      </c>
      <c r="F435" s="9">
        <v>0</v>
      </c>
      <c r="G435" s="14">
        <f t="shared" si="1"/>
        <v>100.01145882694914</v>
      </c>
      <c r="H435" s="24">
        <f t="shared" si="6"/>
        <v>-666.66173050862199</v>
      </c>
      <c r="I435" s="20">
        <f t="shared" si="2"/>
        <v>39405.476751355425</v>
      </c>
      <c r="J435" s="17">
        <f t="shared" si="7"/>
        <v>3.9405476751355426</v>
      </c>
    </row>
    <row r="436" spans="1:10" ht="12" customHeight="1" x14ac:dyDescent="0.3">
      <c r="A436" s="1">
        <f t="shared" si="3"/>
        <v>44127</v>
      </c>
      <c r="B436" s="20">
        <v>3660.220994475138</v>
      </c>
      <c r="C436" s="20">
        <f t="shared" si="4"/>
        <v>40141.199255344713</v>
      </c>
      <c r="D436" s="21" t="str">
        <f t="shared" si="0"/>
        <v>201023</v>
      </c>
      <c r="E436" s="22">
        <f t="shared" si="5"/>
        <v>2.458612</v>
      </c>
      <c r="F436" s="9">
        <v>0</v>
      </c>
      <c r="G436" s="14">
        <f t="shared" si="1"/>
        <v>100.01131036037916</v>
      </c>
      <c r="H436" s="24">
        <f t="shared" si="6"/>
        <v>-668.14639620844218</v>
      </c>
      <c r="I436" s="20">
        <f t="shared" si="2"/>
        <v>39473.052859136267</v>
      </c>
      <c r="J436" s="17">
        <f t="shared" si="7"/>
        <v>3.9473052859136271</v>
      </c>
    </row>
    <row r="437" spans="1:10" ht="12" customHeight="1" x14ac:dyDescent="0.3">
      <c r="A437" s="1">
        <f t="shared" si="3"/>
        <v>44130</v>
      </c>
      <c r="B437" s="20">
        <v>3867.4033149171273</v>
      </c>
      <c r="C437" s="20">
        <f t="shared" si="4"/>
        <v>40348.381575786705</v>
      </c>
      <c r="D437" s="21" t="str">
        <f t="shared" si="0"/>
        <v>201026</v>
      </c>
      <c r="E437" s="22">
        <f t="shared" si="5"/>
        <v>2.458612</v>
      </c>
      <c r="F437" s="9">
        <v>0</v>
      </c>
      <c r="G437" s="14">
        <f t="shared" si="1"/>
        <v>100.01087048345678</v>
      </c>
      <c r="H437" s="24">
        <f t="shared" si="6"/>
        <v>-672.54516543215459</v>
      </c>
      <c r="I437" s="20">
        <f t="shared" si="2"/>
        <v>39675.836410354554</v>
      </c>
      <c r="J437" s="17">
        <f t="shared" si="7"/>
        <v>3.9675836410354557</v>
      </c>
    </row>
    <row r="438" spans="1:10" ht="12" customHeight="1" x14ac:dyDescent="0.3">
      <c r="A438" s="1">
        <f t="shared" si="3"/>
        <v>44131</v>
      </c>
      <c r="B438" s="20">
        <v>3936.46408839779</v>
      </c>
      <c r="C438" s="20">
        <f t="shared" si="4"/>
        <v>40417.442349267367</v>
      </c>
      <c r="D438" s="21" t="str">
        <f t="shared" si="0"/>
        <v>201027</v>
      </c>
      <c r="E438" s="22">
        <f t="shared" si="5"/>
        <v>2.458612</v>
      </c>
      <c r="F438" s="9">
        <v>0</v>
      </c>
      <c r="G438" s="14">
        <f t="shared" si="1"/>
        <v>100.01072569936861</v>
      </c>
      <c r="H438" s="24">
        <f t="shared" si="6"/>
        <v>-673.99300631393544</v>
      </c>
      <c r="I438" s="20">
        <f t="shared" si="2"/>
        <v>39743.449342953434</v>
      </c>
      <c r="J438" s="17">
        <f t="shared" si="7"/>
        <v>3.9743449342953436</v>
      </c>
    </row>
    <row r="439" spans="1:10" ht="12" customHeight="1" x14ac:dyDescent="0.3">
      <c r="A439" s="1">
        <f t="shared" si="3"/>
        <v>44132</v>
      </c>
      <c r="B439" s="20">
        <v>4005.5248618784535</v>
      </c>
      <c r="C439" s="20">
        <f t="shared" si="4"/>
        <v>40486.503122748029</v>
      </c>
      <c r="D439" s="21" t="str">
        <f t="shared" si="0"/>
        <v>201028</v>
      </c>
      <c r="E439" s="22">
        <f t="shared" si="5"/>
        <v>2.458612</v>
      </c>
      <c r="F439" s="9">
        <v>0</v>
      </c>
      <c r="G439" s="14">
        <f t="shared" si="1"/>
        <v>100.0105818363685</v>
      </c>
      <c r="H439" s="24">
        <f t="shared" si="6"/>
        <v>-675.4316363149826</v>
      </c>
      <c r="I439" s="20">
        <f t="shared" si="2"/>
        <v>39811.071486433044</v>
      </c>
      <c r="J439" s="17">
        <f t="shared" si="7"/>
        <v>3.9811071486433045</v>
      </c>
    </row>
    <row r="440" spans="1:10" ht="12" customHeight="1" x14ac:dyDescent="0.3">
      <c r="A440" s="1">
        <f t="shared" si="3"/>
        <v>44133</v>
      </c>
      <c r="B440" s="20">
        <v>4074.5856353591162</v>
      </c>
      <c r="C440" s="20">
        <f t="shared" si="4"/>
        <v>40555.56389622869</v>
      </c>
      <c r="D440" s="21" t="str">
        <f t="shared" si="0"/>
        <v>201029</v>
      </c>
      <c r="E440" s="22">
        <f t="shared" si="5"/>
        <v>2.458612</v>
      </c>
      <c r="F440" s="9">
        <v>0</v>
      </c>
      <c r="G440" s="14">
        <f t="shared" si="1"/>
        <v>100.0104388946437</v>
      </c>
      <c r="H440" s="24">
        <f t="shared" si="6"/>
        <v>-676.86105356301584</v>
      </c>
      <c r="I440" s="20">
        <f t="shared" si="2"/>
        <v>39878.702842665676</v>
      </c>
      <c r="J440" s="17">
        <f t="shared" si="7"/>
        <v>3.9878702842665676</v>
      </c>
    </row>
    <row r="441" spans="1:10" ht="12" customHeight="1" x14ac:dyDescent="0.3">
      <c r="A441" s="1">
        <f t="shared" si="3"/>
        <v>44134</v>
      </c>
      <c r="B441" s="20">
        <v>4143.6464088397788</v>
      </c>
      <c r="C441" s="20">
        <f t="shared" si="4"/>
        <v>40624.624669709352</v>
      </c>
      <c r="D441" s="21" t="str">
        <f t="shared" si="0"/>
        <v>201030</v>
      </c>
      <c r="E441" s="22">
        <f t="shared" si="5"/>
        <v>2.458612</v>
      </c>
      <c r="F441" s="9">
        <v>0</v>
      </c>
      <c r="G441" s="14">
        <f t="shared" si="1"/>
        <v>100.01029687438138</v>
      </c>
      <c r="H441" s="24">
        <f t="shared" si="6"/>
        <v>-678.28125618618174</v>
      </c>
      <c r="I441" s="20">
        <f t="shared" si="2"/>
        <v>39946.343413523173</v>
      </c>
      <c r="J441" s="17">
        <f t="shared" si="7"/>
        <v>3.9946343413523175</v>
      </c>
    </row>
    <row r="442" spans="1:10" ht="12" customHeight="1" x14ac:dyDescent="0.3">
      <c r="A442" s="1">
        <f t="shared" si="3"/>
        <v>44137</v>
      </c>
      <c r="B442" s="20">
        <v>4350.8287292817686</v>
      </c>
      <c r="C442" s="20">
        <f t="shared" si="4"/>
        <v>40831.806990151345</v>
      </c>
      <c r="D442" s="21" t="str">
        <f t="shared" si="0"/>
        <v>201102</v>
      </c>
      <c r="E442" s="22">
        <f t="shared" si="5"/>
        <v>2.458612</v>
      </c>
      <c r="F442" s="9">
        <v>0</v>
      </c>
      <c r="G442" s="14">
        <f t="shared" si="1"/>
        <v>100.00987634424247</v>
      </c>
      <c r="H442" s="24">
        <f t="shared" si="6"/>
        <v>-682.48655757528797</v>
      </c>
      <c r="I442" s="20">
        <f t="shared" si="2"/>
        <v>40149.32043257606</v>
      </c>
      <c r="J442" s="17">
        <f t="shared" si="7"/>
        <v>4.0149320432576063</v>
      </c>
    </row>
    <row r="443" spans="1:10" ht="12" customHeight="1" x14ac:dyDescent="0.3">
      <c r="A443" s="1">
        <f t="shared" si="3"/>
        <v>44138</v>
      </c>
      <c r="B443" s="20">
        <v>4419.8895027624312</v>
      </c>
      <c r="C443" s="20">
        <f t="shared" si="4"/>
        <v>40900.867763632006</v>
      </c>
      <c r="D443" s="21" t="str">
        <f t="shared" si="0"/>
        <v>201103</v>
      </c>
      <c r="E443" s="22">
        <f t="shared" si="5"/>
        <v>2.458612</v>
      </c>
      <c r="F443" s="9">
        <v>0</v>
      </c>
      <c r="G443" s="14">
        <f t="shared" si="1"/>
        <v>100.0097380117034</v>
      </c>
      <c r="H443" s="24">
        <f t="shared" si="6"/>
        <v>-683.86988296595064</v>
      </c>
      <c r="I443" s="20">
        <f t="shared" si="2"/>
        <v>40216.997880666058</v>
      </c>
      <c r="J443" s="17">
        <f t="shared" si="7"/>
        <v>4.0216997880666057</v>
      </c>
    </row>
    <row r="444" spans="1:10" ht="12" customHeight="1" x14ac:dyDescent="0.3">
      <c r="A444" s="1">
        <f t="shared" si="3"/>
        <v>44139</v>
      </c>
      <c r="B444" s="20">
        <v>4488.9502762430939</v>
      </c>
      <c r="C444" s="20">
        <f t="shared" si="4"/>
        <v>40969.928537112668</v>
      </c>
      <c r="D444" s="21" t="str">
        <f t="shared" si="0"/>
        <v>201104</v>
      </c>
      <c r="E444" s="22">
        <f t="shared" si="5"/>
        <v>2.458612</v>
      </c>
      <c r="F444" s="9">
        <v>0</v>
      </c>
      <c r="G444" s="14">
        <f t="shared" si="1"/>
        <v>100.00960060156372</v>
      </c>
      <c r="H444" s="24">
        <f t="shared" si="6"/>
        <v>-685.24398436281331</v>
      </c>
      <c r="I444" s="20">
        <f t="shared" si="2"/>
        <v>40284.684552749852</v>
      </c>
      <c r="J444" s="17">
        <f t="shared" si="7"/>
        <v>4.028468455274985</v>
      </c>
    </row>
    <row r="445" spans="1:10" ht="12" customHeight="1" x14ac:dyDescent="0.3">
      <c r="A445" s="1">
        <f t="shared" si="3"/>
        <v>44140</v>
      </c>
      <c r="B445" s="20">
        <v>4558.0110497237565</v>
      </c>
      <c r="C445" s="20">
        <f t="shared" si="4"/>
        <v>41038.98931059333</v>
      </c>
      <c r="D445" s="21" t="str">
        <f t="shared" si="0"/>
        <v>201105</v>
      </c>
      <c r="E445" s="22">
        <f t="shared" si="5"/>
        <v>2.458612</v>
      </c>
      <c r="F445" s="9">
        <v>0</v>
      </c>
      <c r="G445" s="14">
        <f t="shared" si="1"/>
        <v>100.00946411401091</v>
      </c>
      <c r="H445" s="24">
        <f t="shared" si="6"/>
        <v>-686.60885989089593</v>
      </c>
      <c r="I445" s="20">
        <f t="shared" si="2"/>
        <v>40352.380450702432</v>
      </c>
      <c r="J445" s="17">
        <f t="shared" si="7"/>
        <v>4.0352380450702432</v>
      </c>
    </row>
    <row r="446" spans="1:10" ht="12" customHeight="1" x14ac:dyDescent="0.3">
      <c r="A446" s="1">
        <f t="shared" si="3"/>
        <v>44141</v>
      </c>
      <c r="B446" s="20">
        <v>4627.0718232044201</v>
      </c>
      <c r="C446" s="20">
        <f t="shared" si="4"/>
        <v>41108.050084073991</v>
      </c>
      <c r="D446" s="21" t="str">
        <f t="shared" si="0"/>
        <v>201106</v>
      </c>
      <c r="E446" s="22">
        <f t="shared" si="5"/>
        <v>2.458612</v>
      </c>
      <c r="F446" s="9">
        <v>0</v>
      </c>
      <c r="G446" s="14">
        <f t="shared" si="1"/>
        <v>100.00932854923256</v>
      </c>
      <c r="H446" s="24">
        <f t="shared" si="6"/>
        <v>-687.96450767436579</v>
      </c>
      <c r="I446" s="20">
        <f t="shared" si="2"/>
        <v>40420.085576399622</v>
      </c>
      <c r="J446" s="17">
        <f t="shared" si="7"/>
        <v>4.0420085576399627</v>
      </c>
    </row>
    <row r="447" spans="1:10" ht="12" customHeight="1" x14ac:dyDescent="0.3">
      <c r="A447" s="1">
        <f t="shared" si="3"/>
        <v>44144</v>
      </c>
      <c r="B447" s="20">
        <v>4834.2541436464098</v>
      </c>
      <c r="C447" s="20">
        <f t="shared" si="4"/>
        <v>41315.232404515984</v>
      </c>
      <c r="D447" s="21" t="str">
        <f t="shared" si="0"/>
        <v>201109</v>
      </c>
      <c r="E447" s="22">
        <f t="shared" si="5"/>
        <v>2.458612</v>
      </c>
      <c r="F447" s="9">
        <v>0</v>
      </c>
      <c r="G447" s="14">
        <f t="shared" si="1"/>
        <v>100.00892739342089</v>
      </c>
      <c r="H447" s="24">
        <f t="shared" si="6"/>
        <v>-691.97606579109561</v>
      </c>
      <c r="I447" s="20">
        <f t="shared" si="2"/>
        <v>40623.256338724888</v>
      </c>
      <c r="J447" s="17">
        <f t="shared" si="7"/>
        <v>4.0623256338724882</v>
      </c>
    </row>
    <row r="448" spans="1:10" ht="12" customHeight="1" x14ac:dyDescent="0.3">
      <c r="A448" s="1">
        <f t="shared" si="3"/>
        <v>44145</v>
      </c>
      <c r="B448" s="20">
        <v>4903.3149171270716</v>
      </c>
      <c r="C448" s="20">
        <f t="shared" si="4"/>
        <v>41384.293177996646</v>
      </c>
      <c r="D448" s="21" t="str">
        <f t="shared" si="0"/>
        <v>201110</v>
      </c>
      <c r="E448" s="22">
        <f t="shared" si="5"/>
        <v>2.458612</v>
      </c>
      <c r="F448" s="9">
        <v>0</v>
      </c>
      <c r="G448" s="14">
        <f t="shared" si="1"/>
        <v>100.00879552161723</v>
      </c>
      <c r="H448" s="24">
        <f t="shared" si="6"/>
        <v>-693.29478382769594</v>
      </c>
      <c r="I448" s="20">
        <f t="shared" si="2"/>
        <v>40690.99839416895</v>
      </c>
      <c r="J448" s="17">
        <f t="shared" si="7"/>
        <v>4.0690998394168947</v>
      </c>
    </row>
    <row r="449" spans="1:10" ht="12" customHeight="1" x14ac:dyDescent="0.3">
      <c r="A449" s="1">
        <f t="shared" si="3"/>
        <v>44146</v>
      </c>
      <c r="B449" s="20">
        <v>4972.3756906077342</v>
      </c>
      <c r="C449" s="20">
        <f t="shared" si="4"/>
        <v>41453.353951477307</v>
      </c>
      <c r="D449" s="21" t="str">
        <f t="shared" si="0"/>
        <v>201111</v>
      </c>
      <c r="E449" s="22">
        <f t="shared" si="5"/>
        <v>2.458612</v>
      </c>
      <c r="F449" s="9">
        <v>0</v>
      </c>
      <c r="G449" s="14">
        <f t="shared" si="1"/>
        <v>100.00866457352666</v>
      </c>
      <c r="H449" s="24">
        <f t="shared" si="6"/>
        <v>-694.60426473341386</v>
      </c>
      <c r="I449" s="20">
        <f t="shared" si="2"/>
        <v>40758.749686743897</v>
      </c>
      <c r="J449" s="17">
        <f t="shared" si="7"/>
        <v>4.0758749686743894</v>
      </c>
    </row>
    <row r="450" spans="1:10" ht="12" customHeight="1" x14ac:dyDescent="0.3">
      <c r="A450" s="1">
        <f t="shared" si="3"/>
        <v>44147</v>
      </c>
      <c r="B450" s="20">
        <v>5041.4364640883978</v>
      </c>
      <c r="C450" s="20">
        <f t="shared" si="4"/>
        <v>41522.414724957969</v>
      </c>
      <c r="D450" s="21" t="str">
        <f t="shared" si="0"/>
        <v>201112</v>
      </c>
      <c r="E450" s="22">
        <f t="shared" si="5"/>
        <v>2.458612</v>
      </c>
      <c r="F450" s="9">
        <v>0</v>
      </c>
      <c r="G450" s="14">
        <f t="shared" si="1"/>
        <v>100.00853454933707</v>
      </c>
      <c r="H450" s="24">
        <f t="shared" si="6"/>
        <v>-695.90450662929015</v>
      </c>
      <c r="I450" s="20">
        <f t="shared" si="2"/>
        <v>40826.51021832868</v>
      </c>
      <c r="J450" s="17">
        <f t="shared" si="7"/>
        <v>4.0826510218328682</v>
      </c>
    </row>
    <row r="451" spans="1:10" ht="12" customHeight="1" x14ac:dyDescent="0.3">
      <c r="A451" s="1">
        <f t="shared" si="3"/>
        <v>44148</v>
      </c>
      <c r="B451" s="20">
        <v>5110.4972375690604</v>
      </c>
      <c r="C451" s="20">
        <f t="shared" si="4"/>
        <v>41591.475498438631</v>
      </c>
      <c r="D451" s="21" t="str">
        <f t="shared" si="0"/>
        <v>201113</v>
      </c>
      <c r="E451" s="22">
        <f t="shared" si="5"/>
        <v>2.458612</v>
      </c>
      <c r="F451" s="9">
        <v>0</v>
      </c>
      <c r="G451" s="14">
        <f t="shared" si="1"/>
        <v>100.00840544923645</v>
      </c>
      <c r="H451" s="24">
        <f t="shared" si="6"/>
        <v>-697.19550763551297</v>
      </c>
      <c r="I451" s="20">
        <f t="shared" si="2"/>
        <v>40894.279990803116</v>
      </c>
      <c r="J451" s="17">
        <f t="shared" si="7"/>
        <v>4.0894279990803115</v>
      </c>
    </row>
    <row r="452" spans="1:10" ht="12" customHeight="1" x14ac:dyDescent="0.3">
      <c r="A452" s="1">
        <f t="shared" si="3"/>
        <v>44151</v>
      </c>
      <c r="B452" s="20">
        <v>5317.6795580110502</v>
      </c>
      <c r="C452" s="20">
        <f t="shared" si="4"/>
        <v>41798.657818880623</v>
      </c>
      <c r="D452" s="21" t="str">
        <f t="shared" si="0"/>
        <v>201116</v>
      </c>
      <c r="E452" s="22">
        <f t="shared" si="5"/>
        <v>2.458612</v>
      </c>
      <c r="F452" s="9">
        <v>0</v>
      </c>
      <c r="G452" s="14">
        <f t="shared" si="1"/>
        <v>100.00802369534814</v>
      </c>
      <c r="H452" s="24">
        <f t="shared" si="6"/>
        <v>-701.0130465185681</v>
      </c>
      <c r="I452" s="20">
        <f t="shared" si="2"/>
        <v>41097.644772362059</v>
      </c>
      <c r="J452" s="17">
        <f t="shared" si="7"/>
        <v>4.1097644772362063</v>
      </c>
    </row>
    <row r="453" spans="1:10" ht="12" customHeight="1" x14ac:dyDescent="0.3">
      <c r="A453" s="1">
        <f t="shared" si="3"/>
        <v>44152</v>
      </c>
      <c r="B453" s="20">
        <v>5386.7403314917128</v>
      </c>
      <c r="C453" s="20">
        <f t="shared" si="4"/>
        <v>41867.718592361285</v>
      </c>
      <c r="D453" s="21" t="str">
        <f t="shared" si="0"/>
        <v>201117</v>
      </c>
      <c r="E453" s="22">
        <f t="shared" si="5"/>
        <v>2.458612</v>
      </c>
      <c r="F453" s="9">
        <v>0</v>
      </c>
      <c r="G453" s="14">
        <f t="shared" si="1"/>
        <v>100.00789829348355</v>
      </c>
      <c r="H453" s="24">
        <f t="shared" si="6"/>
        <v>-702.26706516450577</v>
      </c>
      <c r="I453" s="20">
        <f t="shared" si="2"/>
        <v>41165.451527196783</v>
      </c>
      <c r="J453" s="17">
        <f t="shared" si="7"/>
        <v>4.1165451527196781</v>
      </c>
    </row>
    <row r="454" spans="1:10" ht="12" customHeight="1" x14ac:dyDescent="0.3">
      <c r="A454" s="1">
        <f t="shared" si="3"/>
        <v>44153</v>
      </c>
      <c r="B454" s="20">
        <v>5455.8011049723755</v>
      </c>
      <c r="C454" s="20">
        <f t="shared" si="4"/>
        <v>41936.779365841947</v>
      </c>
      <c r="D454" s="21" t="str">
        <f t="shared" si="0"/>
        <v>201118</v>
      </c>
      <c r="E454" s="22">
        <f t="shared" si="5"/>
        <v>2.458612</v>
      </c>
      <c r="F454" s="9">
        <v>0</v>
      </c>
      <c r="G454" s="14">
        <f t="shared" si="1"/>
        <v>100.00777381664831</v>
      </c>
      <c r="H454" s="24">
        <f t="shared" si="6"/>
        <v>-703.51183351689872</v>
      </c>
      <c r="I454" s="20">
        <f t="shared" si="2"/>
        <v>41233.267532325051</v>
      </c>
      <c r="J454" s="17">
        <f t="shared" si="7"/>
        <v>4.1233267532325053</v>
      </c>
    </row>
    <row r="455" spans="1:10" ht="12" customHeight="1" x14ac:dyDescent="0.3">
      <c r="A455" s="1">
        <f t="shared" si="3"/>
        <v>44154</v>
      </c>
      <c r="B455" s="20">
        <v>5524.8618784530381</v>
      </c>
      <c r="C455" s="20">
        <f t="shared" si="4"/>
        <v>42005.840139322609</v>
      </c>
      <c r="D455" s="21" t="str">
        <f t="shared" si="0"/>
        <v>201119</v>
      </c>
      <c r="E455" s="22">
        <f t="shared" si="5"/>
        <v>2.458612</v>
      </c>
      <c r="F455" s="9">
        <v>0</v>
      </c>
      <c r="G455" s="14">
        <f t="shared" si="1"/>
        <v>100.00765026503066</v>
      </c>
      <c r="H455" s="24">
        <f t="shared" si="6"/>
        <v>-704.7473496933776</v>
      </c>
      <c r="I455" s="20">
        <f t="shared" si="2"/>
        <v>41301.092789629234</v>
      </c>
      <c r="J455" s="17">
        <f t="shared" si="7"/>
        <v>4.130109278962923</v>
      </c>
    </row>
    <row r="456" spans="1:10" ht="12" customHeight="1" x14ac:dyDescent="0.3">
      <c r="A456" s="1">
        <f t="shared" si="3"/>
        <v>44155</v>
      </c>
      <c r="B456" s="20">
        <v>5593.9226519337017</v>
      </c>
      <c r="C456" s="20">
        <f t="shared" si="4"/>
        <v>42074.90091280327</v>
      </c>
      <c r="D456" s="21" t="str">
        <f t="shared" si="0"/>
        <v>201120</v>
      </c>
      <c r="E456" s="22">
        <f t="shared" si="5"/>
        <v>2.458612</v>
      </c>
      <c r="F456" s="9">
        <v>0</v>
      </c>
      <c r="G456" s="14">
        <f t="shared" si="1"/>
        <v>100.00752763881889</v>
      </c>
      <c r="H456" s="24">
        <f t="shared" si="6"/>
        <v>-705.97361181114593</v>
      </c>
      <c r="I456" s="20">
        <f t="shared" si="2"/>
        <v>41368.927300992123</v>
      </c>
      <c r="J456" s="17">
        <f t="shared" si="7"/>
        <v>4.1368927300992127</v>
      </c>
    </row>
    <row r="457" spans="1:10" ht="12" customHeight="1" x14ac:dyDescent="0.3">
      <c r="A457" s="1">
        <f t="shared" si="3"/>
        <v>44158</v>
      </c>
      <c r="B457" s="20">
        <v>5801.1049723756905</v>
      </c>
      <c r="C457" s="20">
        <f t="shared" si="4"/>
        <v>42282.083233245256</v>
      </c>
      <c r="D457" s="21" t="str">
        <f t="shared" si="0"/>
        <v>201123</v>
      </c>
      <c r="E457" s="22">
        <f t="shared" si="5"/>
        <v>2.458612</v>
      </c>
      <c r="F457" s="9">
        <v>0</v>
      </c>
      <c r="G457" s="14">
        <f t="shared" si="1"/>
        <v>100.00716531450253</v>
      </c>
      <c r="H457" s="24">
        <f t="shared" si="6"/>
        <v>-709.59685497470559</v>
      </c>
      <c r="I457" s="20">
        <f t="shared" si="2"/>
        <v>41572.486378270551</v>
      </c>
      <c r="J457" s="17">
        <f t="shared" si="7"/>
        <v>4.1572486378270552</v>
      </c>
    </row>
    <row r="458" spans="1:10" ht="12" customHeight="1" x14ac:dyDescent="0.3">
      <c r="A458" s="1">
        <f t="shared" si="3"/>
        <v>44159</v>
      </c>
      <c r="B458" s="20">
        <v>5870.1657458563532</v>
      </c>
      <c r="C458" s="20">
        <f t="shared" si="4"/>
        <v>42351.144006725917</v>
      </c>
      <c r="D458" s="21" t="str">
        <f t="shared" si="0"/>
        <v>201124</v>
      </c>
      <c r="E458" s="22">
        <f t="shared" si="5"/>
        <v>2.458612</v>
      </c>
      <c r="F458" s="9">
        <v>0</v>
      </c>
      <c r="G458" s="14">
        <f t="shared" si="1"/>
        <v>100.00704639179821</v>
      </c>
      <c r="H458" s="24">
        <f t="shared" si="6"/>
        <v>-710.78608201787574</v>
      </c>
      <c r="I458" s="20">
        <f t="shared" si="2"/>
        <v>41640.357924708042</v>
      </c>
      <c r="J458" s="17">
        <f t="shared" si="7"/>
        <v>4.1640357924708038</v>
      </c>
    </row>
    <row r="459" spans="1:10" ht="12" customHeight="1" x14ac:dyDescent="0.3">
      <c r="A459" s="1">
        <f t="shared" si="3"/>
        <v>44160</v>
      </c>
      <c r="B459" s="20">
        <v>5939.2265193370158</v>
      </c>
      <c r="C459" s="20">
        <f t="shared" si="4"/>
        <v>42420.204780206579</v>
      </c>
      <c r="D459" s="21" t="str">
        <f t="shared" si="0"/>
        <v>201125</v>
      </c>
      <c r="E459" s="22">
        <f t="shared" si="5"/>
        <v>2.458612</v>
      </c>
      <c r="F459" s="9">
        <v>0</v>
      </c>
      <c r="G459" s="14">
        <f t="shared" si="1"/>
        <v>100.00692839544196</v>
      </c>
      <c r="H459" s="24">
        <f t="shared" si="6"/>
        <v>-711.96604558039655</v>
      </c>
      <c r="I459" s="20">
        <f t="shared" si="2"/>
        <v>41708.238734626182</v>
      </c>
      <c r="J459" s="17">
        <f t="shared" si="7"/>
        <v>4.1708238734626182</v>
      </c>
    </row>
    <row r="460" spans="1:10" ht="12" customHeight="1" x14ac:dyDescent="0.3">
      <c r="A460" s="1">
        <f t="shared" si="3"/>
        <v>44161</v>
      </c>
      <c r="B460" s="20">
        <v>6008.2872928176794</v>
      </c>
      <c r="C460" s="20">
        <f t="shared" si="4"/>
        <v>42489.265553687241</v>
      </c>
      <c r="D460" s="21" t="str">
        <f t="shared" si="0"/>
        <v>201126</v>
      </c>
      <c r="E460" s="22">
        <f t="shared" si="5"/>
        <v>2.458612</v>
      </c>
      <c r="F460" s="9">
        <v>0</v>
      </c>
      <c r="G460" s="14">
        <f t="shared" si="1"/>
        <v>100.00681132562241</v>
      </c>
      <c r="H460" s="24">
        <f t="shared" si="6"/>
        <v>-713.13674377591951</v>
      </c>
      <c r="I460" s="20">
        <f t="shared" si="2"/>
        <v>41776.128809911323</v>
      </c>
      <c r="J460" s="17">
        <f t="shared" si="7"/>
        <v>4.1776128809911324</v>
      </c>
    </row>
    <row r="461" spans="1:10" ht="12" customHeight="1" x14ac:dyDescent="0.3">
      <c r="A461" s="1">
        <f t="shared" si="3"/>
        <v>44162</v>
      </c>
      <c r="B461" s="20">
        <v>6077.348066298342</v>
      </c>
      <c r="C461" s="20">
        <f t="shared" si="4"/>
        <v>42558.326327167902</v>
      </c>
      <c r="D461" s="21" t="str">
        <f t="shared" si="0"/>
        <v>201127</v>
      </c>
      <c r="E461" s="22">
        <f t="shared" si="5"/>
        <v>2.458612</v>
      </c>
      <c r="F461" s="9">
        <v>0</v>
      </c>
      <c r="G461" s="14">
        <f t="shared" si="1"/>
        <v>100.00669518252822</v>
      </c>
      <c r="H461" s="24">
        <f t="shared" si="6"/>
        <v>-714.29817471781121</v>
      </c>
      <c r="I461" s="20">
        <f t="shared" si="2"/>
        <v>41844.02815245009</v>
      </c>
      <c r="J461" s="17">
        <f t="shared" si="7"/>
        <v>4.1844028152450097</v>
      </c>
    </row>
    <row r="462" spans="1:10" ht="12" customHeight="1" x14ac:dyDescent="0.3">
      <c r="A462" s="1">
        <f t="shared" si="3"/>
        <v>44165</v>
      </c>
      <c r="B462" s="20">
        <v>6284.5303867403327</v>
      </c>
      <c r="C462" s="20">
        <f t="shared" si="4"/>
        <v>42765.508647609895</v>
      </c>
      <c r="D462" s="21" t="str">
        <f t="shared" si="0"/>
        <v>201130</v>
      </c>
      <c r="E462" s="22">
        <f t="shared" si="5"/>
        <v>2.458612</v>
      </c>
      <c r="F462" s="9">
        <v>0</v>
      </c>
      <c r="G462" s="14">
        <f t="shared" si="1"/>
        <v>100.0063523154849</v>
      </c>
      <c r="H462" s="24">
        <f t="shared" si="6"/>
        <v>-717.7268451509633</v>
      </c>
      <c r="I462" s="20">
        <f t="shared" si="2"/>
        <v>42047.781802458929</v>
      </c>
      <c r="J462" s="17">
        <f t="shared" si="7"/>
        <v>4.204778180245893</v>
      </c>
    </row>
    <row r="463" spans="1:10" ht="12" customHeight="1" x14ac:dyDescent="0.3">
      <c r="A463" s="1">
        <f t="shared" si="3"/>
        <v>44166</v>
      </c>
      <c r="B463" s="20">
        <v>6353.5911602209953</v>
      </c>
      <c r="C463" s="20">
        <f t="shared" si="4"/>
        <v>42834.569421090557</v>
      </c>
      <c r="D463" s="21" t="str">
        <f t="shared" si="0"/>
        <v>201201</v>
      </c>
      <c r="E463" s="22">
        <f t="shared" si="5"/>
        <v>2.458612</v>
      </c>
      <c r="F463" s="9">
        <v>0</v>
      </c>
      <c r="G463" s="14">
        <f t="shared" si="1"/>
        <v>100.00623988117955</v>
      </c>
      <c r="H463" s="24">
        <f t="shared" si="6"/>
        <v>-718.85118820446792</v>
      </c>
      <c r="I463" s="20">
        <f t="shared" si="2"/>
        <v>42115.718232886087</v>
      </c>
      <c r="J463" s="17">
        <f t="shared" si="7"/>
        <v>4.211571823288609</v>
      </c>
    </row>
    <row r="464" spans="1:10" ht="12" customHeight="1" x14ac:dyDescent="0.3">
      <c r="A464" s="1">
        <f t="shared" si="3"/>
        <v>44167</v>
      </c>
      <c r="B464" s="20">
        <v>6422.651933701658</v>
      </c>
      <c r="C464" s="20">
        <f t="shared" si="4"/>
        <v>42903.630194571218</v>
      </c>
      <c r="D464" s="21" t="str">
        <f t="shared" si="0"/>
        <v>201202</v>
      </c>
      <c r="E464" s="22">
        <f t="shared" si="5"/>
        <v>2.458612</v>
      </c>
      <c r="F464" s="9">
        <v>0</v>
      </c>
      <c r="G464" s="14">
        <f t="shared" si="1"/>
        <v>100.00612837454355</v>
      </c>
      <c r="H464" s="24">
        <f t="shared" si="6"/>
        <v>-719.96625456449692</v>
      </c>
      <c r="I464" s="20">
        <f t="shared" si="2"/>
        <v>42183.663940006722</v>
      </c>
      <c r="J464" s="17">
        <f t="shared" si="7"/>
        <v>4.2183663940006717</v>
      </c>
    </row>
    <row r="465" spans="1:10" ht="12" customHeight="1" x14ac:dyDescent="0.3">
      <c r="A465" s="1">
        <f t="shared" si="3"/>
        <v>44168</v>
      </c>
      <c r="B465" s="20">
        <v>6491.7127071823206</v>
      </c>
      <c r="C465" s="20">
        <f t="shared" si="4"/>
        <v>42972.69096805188</v>
      </c>
      <c r="D465" s="21" t="str">
        <f t="shared" si="0"/>
        <v>201203</v>
      </c>
      <c r="E465" s="22">
        <f t="shared" si="5"/>
        <v>2.458612</v>
      </c>
      <c r="F465" s="9">
        <v>0</v>
      </c>
      <c r="G465" s="14">
        <f t="shared" si="1"/>
        <v>100.00601779576587</v>
      </c>
      <c r="H465" s="24">
        <f t="shared" si="6"/>
        <v>-721.07204234129085</v>
      </c>
      <c r="I465" s="20">
        <f t="shared" si="2"/>
        <v>42251.618925710587</v>
      </c>
      <c r="J465" s="17">
        <f t="shared" si="7"/>
        <v>4.2251618925710588</v>
      </c>
    </row>
    <row r="466" spans="1:10" ht="12" customHeight="1" x14ac:dyDescent="0.3">
      <c r="A466" s="1">
        <f t="shared" si="3"/>
        <v>44169</v>
      </c>
      <c r="B466" s="20">
        <v>6560.7734806629842</v>
      </c>
      <c r="C466" s="20">
        <f t="shared" si="4"/>
        <v>43041.751741532542</v>
      </c>
      <c r="D466" s="21" t="str">
        <f t="shared" si="0"/>
        <v>201204</v>
      </c>
      <c r="E466" s="22">
        <f t="shared" si="5"/>
        <v>2.458612</v>
      </c>
      <c r="F466" s="9">
        <v>0</v>
      </c>
      <c r="G466" s="14">
        <f t="shared" si="1"/>
        <v>100.00590814503546</v>
      </c>
      <c r="H466" s="24">
        <f t="shared" si="6"/>
        <v>-722.16854964537447</v>
      </c>
      <c r="I466" s="20">
        <f t="shared" si="2"/>
        <v>42319.58319188717</v>
      </c>
      <c r="J466" s="17">
        <f t="shared" si="7"/>
        <v>4.2319583191887169</v>
      </c>
    </row>
    <row r="467" spans="1:10" ht="12" customHeight="1" x14ac:dyDescent="0.3">
      <c r="A467" s="1">
        <f t="shared" si="3"/>
        <v>44172</v>
      </c>
      <c r="B467" s="20">
        <v>6767.9558011049721</v>
      </c>
      <c r="C467" s="20">
        <f t="shared" si="4"/>
        <v>43248.934061974527</v>
      </c>
      <c r="D467" s="21" t="str">
        <f t="shared" si="0"/>
        <v>201207</v>
      </c>
      <c r="E467" s="22">
        <f t="shared" si="5"/>
        <v>2.458612</v>
      </c>
      <c r="F467" s="9">
        <v>0</v>
      </c>
      <c r="G467" s="14">
        <f t="shared" si="1"/>
        <v>100.00558476301899</v>
      </c>
      <c r="H467" s="24">
        <f t="shared" si="6"/>
        <v>-725.4023698101264</v>
      </c>
      <c r="I467" s="20">
        <f t="shared" si="2"/>
        <v>42523.531692164397</v>
      </c>
      <c r="J467" s="17">
        <f t="shared" si="7"/>
        <v>4.2523531692164402</v>
      </c>
    </row>
    <row r="468" spans="1:10" ht="12" customHeight="1" x14ac:dyDescent="0.3">
      <c r="A468" s="1">
        <f t="shared" si="3"/>
        <v>44173</v>
      </c>
      <c r="B468" s="20">
        <v>6837.0165745856357</v>
      </c>
      <c r="C468" s="20">
        <f t="shared" si="4"/>
        <v>43317.994835455189</v>
      </c>
      <c r="D468" s="21" t="str">
        <f t="shared" si="0"/>
        <v>201208</v>
      </c>
      <c r="E468" s="22">
        <f t="shared" si="5"/>
        <v>2.458612</v>
      </c>
      <c r="F468" s="9">
        <v>0</v>
      </c>
      <c r="G468" s="14">
        <f t="shared" si="1"/>
        <v>100.00547882636893</v>
      </c>
      <c r="H468" s="24">
        <f t="shared" si="6"/>
        <v>-726.46173631071065</v>
      </c>
      <c r="I468" s="20">
        <f t="shared" si="2"/>
        <v>42591.533099144479</v>
      </c>
      <c r="J468" s="17">
        <f t="shared" si="7"/>
        <v>4.2591533099144474</v>
      </c>
    </row>
    <row r="469" spans="1:10" ht="12" customHeight="1" x14ac:dyDescent="0.3">
      <c r="A469" s="1">
        <f t="shared" si="3"/>
        <v>44174</v>
      </c>
      <c r="B469" s="20">
        <v>6906.0773480662983</v>
      </c>
      <c r="C469" s="20">
        <f t="shared" si="4"/>
        <v>43387.055608935851</v>
      </c>
      <c r="D469" s="21" t="str">
        <f t="shared" si="0"/>
        <v>201209</v>
      </c>
      <c r="E469" s="22">
        <f t="shared" si="5"/>
        <v>2.458612</v>
      </c>
      <c r="F469" s="9">
        <v>0</v>
      </c>
      <c r="G469" s="14">
        <f t="shared" si="1"/>
        <v>100.00537381871197</v>
      </c>
      <c r="H469" s="24">
        <f t="shared" si="6"/>
        <v>-727.51181288026589</v>
      </c>
      <c r="I469" s="20">
        <f t="shared" si="2"/>
        <v>42659.543796055586</v>
      </c>
      <c r="J469" s="17">
        <f t="shared" si="7"/>
        <v>4.2659543796055583</v>
      </c>
    </row>
    <row r="470" spans="1:10" ht="12" customHeight="1" x14ac:dyDescent="0.3">
      <c r="A470" s="1">
        <f t="shared" si="3"/>
        <v>44175</v>
      </c>
      <c r="B470" s="20">
        <v>6975.1381215469619</v>
      </c>
      <c r="C470" s="20">
        <f t="shared" si="4"/>
        <v>43456.116382416512</v>
      </c>
      <c r="D470" s="21" t="str">
        <f t="shared" si="0"/>
        <v>201210</v>
      </c>
      <c r="E470" s="22">
        <f t="shared" si="5"/>
        <v>2.458612</v>
      </c>
      <c r="F470" s="9">
        <v>0</v>
      </c>
      <c r="G470" s="14">
        <f t="shared" si="1"/>
        <v>100.00526974023742</v>
      </c>
      <c r="H470" s="24">
        <f t="shared" si="6"/>
        <v>-728.55259762576452</v>
      </c>
      <c r="I470" s="20">
        <f t="shared" si="2"/>
        <v>42727.563784790749</v>
      </c>
      <c r="J470" s="17">
        <f t="shared" si="7"/>
        <v>4.272756378479075</v>
      </c>
    </row>
    <row r="471" spans="1:10" ht="12" customHeight="1" x14ac:dyDescent="0.3">
      <c r="A471" s="1">
        <f t="shared" si="3"/>
        <v>44176</v>
      </c>
      <c r="B471" s="20">
        <v>7044.1988950276245</v>
      </c>
      <c r="C471" s="20">
        <f t="shared" si="4"/>
        <v>43525.177155897174</v>
      </c>
      <c r="D471" s="21" t="str">
        <f t="shared" si="0"/>
        <v>201211</v>
      </c>
      <c r="E471" s="22">
        <f t="shared" si="5"/>
        <v>2.458612</v>
      </c>
      <c r="F471" s="9">
        <v>0</v>
      </c>
      <c r="G471" s="14">
        <f t="shared" si="1"/>
        <v>100.00516659113471</v>
      </c>
      <c r="H471" s="24">
        <f t="shared" si="6"/>
        <v>-729.58408865289925</v>
      </c>
      <c r="I471" s="20">
        <f t="shared" si="2"/>
        <v>42795.593067244277</v>
      </c>
      <c r="J471" s="17">
        <f t="shared" si="7"/>
        <v>4.279559306724428</v>
      </c>
    </row>
    <row r="472" spans="1:10" ht="12" customHeight="1" x14ac:dyDescent="0.3">
      <c r="A472" s="1">
        <f t="shared" si="3"/>
        <v>44179</v>
      </c>
      <c r="B472" s="20">
        <v>7251.3812154696125</v>
      </c>
      <c r="C472" s="20">
        <f t="shared" si="4"/>
        <v>43732.359476339159</v>
      </c>
      <c r="D472" s="21" t="str">
        <f t="shared" si="0"/>
        <v>201214</v>
      </c>
      <c r="E472" s="22">
        <f t="shared" si="5"/>
        <v>2.458612</v>
      </c>
      <c r="F472" s="9">
        <v>0</v>
      </c>
      <c r="G472" s="14">
        <f t="shared" si="1"/>
        <v>100.00486272195165</v>
      </c>
      <c r="H472" s="24">
        <f t="shared" si="6"/>
        <v>-732.62278048346741</v>
      </c>
      <c r="I472" s="20">
        <f t="shared" si="2"/>
        <v>42999.736695855689</v>
      </c>
      <c r="J472" s="17">
        <f t="shared" si="7"/>
        <v>4.2999736695855688</v>
      </c>
    </row>
    <row r="473" spans="1:10" ht="12" customHeight="1" x14ac:dyDescent="0.3">
      <c r="A473" s="1">
        <f t="shared" si="3"/>
        <v>44180</v>
      </c>
      <c r="B473" s="20">
        <v>7320.441988950276</v>
      </c>
      <c r="C473" s="20">
        <f t="shared" si="4"/>
        <v>43801.420249819821</v>
      </c>
      <c r="D473" s="21" t="str">
        <f t="shared" si="0"/>
        <v>201215</v>
      </c>
      <c r="E473" s="22">
        <f t="shared" si="5"/>
        <v>2.458612</v>
      </c>
      <c r="F473" s="9">
        <v>0</v>
      </c>
      <c r="G473" s="14">
        <f t="shared" si="1"/>
        <v>100.00476329223076</v>
      </c>
      <c r="H473" s="24">
        <f t="shared" si="6"/>
        <v>-733.61707769237228</v>
      </c>
      <c r="I473" s="20">
        <f t="shared" si="2"/>
        <v>43067.803172127446</v>
      </c>
      <c r="J473" s="17">
        <f t="shared" si="7"/>
        <v>4.3067803172127448</v>
      </c>
    </row>
    <row r="474" spans="1:10" ht="12" customHeight="1" x14ac:dyDescent="0.3">
      <c r="A474" s="1">
        <f t="shared" si="3"/>
        <v>44181</v>
      </c>
      <c r="B474" s="20">
        <v>7389.5027624309405</v>
      </c>
      <c r="C474" s="20">
        <f t="shared" si="4"/>
        <v>43870.481023300483</v>
      </c>
      <c r="D474" s="21" t="str">
        <f t="shared" si="0"/>
        <v>201216</v>
      </c>
      <c r="E474" s="22">
        <f t="shared" si="5"/>
        <v>2.458612</v>
      </c>
      <c r="F474" s="9">
        <v>0</v>
      </c>
      <c r="G474" s="14">
        <f t="shared" si="1"/>
        <v>100.00466479282926</v>
      </c>
      <c r="H474" s="24">
        <f t="shared" si="6"/>
        <v>-734.60207170739977</v>
      </c>
      <c r="I474" s="20">
        <f t="shared" si="2"/>
        <v>43135.878951593084</v>
      </c>
      <c r="J474" s="17">
        <f t="shared" si="7"/>
        <v>4.3135878951593085</v>
      </c>
    </row>
    <row r="475" spans="1:10" ht="12" customHeight="1" x14ac:dyDescent="0.3">
      <c r="A475" s="1">
        <f t="shared" si="3"/>
        <v>44182</v>
      </c>
      <c r="B475" s="20">
        <v>7458.5635359116013</v>
      </c>
      <c r="C475" s="20">
        <f t="shared" si="4"/>
        <v>43939.541796781145</v>
      </c>
      <c r="D475" s="21" t="str">
        <f t="shared" si="0"/>
        <v>201217</v>
      </c>
      <c r="E475" s="22">
        <f t="shared" si="5"/>
        <v>2.458612</v>
      </c>
      <c r="F475" s="9">
        <v>0</v>
      </c>
      <c r="G475" s="14">
        <f t="shared" si="1"/>
        <v>100.00456722393685</v>
      </c>
      <c r="H475" s="24">
        <f t="shared" si="6"/>
        <v>-735.57776063154279</v>
      </c>
      <c r="I475" s="20">
        <f t="shared" si="2"/>
        <v>43203.964036149599</v>
      </c>
      <c r="J475" s="17">
        <f t="shared" si="7"/>
        <v>4.3203964036149598</v>
      </c>
    </row>
    <row r="476" spans="1:10" ht="12" customHeight="1" x14ac:dyDescent="0.3">
      <c r="A476" s="1">
        <f t="shared" si="3"/>
        <v>44183</v>
      </c>
      <c r="B476" s="20">
        <v>7527.6243093922649</v>
      </c>
      <c r="C476" s="20">
        <f t="shared" si="4"/>
        <v>44008.602570261806</v>
      </c>
      <c r="D476" s="21" t="str">
        <f t="shared" si="0"/>
        <v>201218</v>
      </c>
      <c r="E476" s="22">
        <f t="shared" si="5"/>
        <v>2.458612</v>
      </c>
      <c r="F476" s="9">
        <v>0</v>
      </c>
      <c r="G476" s="14">
        <f t="shared" si="1"/>
        <v>100.00447058574322</v>
      </c>
      <c r="H476" s="24">
        <f t="shared" si="6"/>
        <v>-736.54414256779432</v>
      </c>
      <c r="I476" s="20">
        <f t="shared" si="2"/>
        <v>43272.058427694014</v>
      </c>
      <c r="J476" s="17">
        <f t="shared" si="7"/>
        <v>4.3272058427694011</v>
      </c>
    </row>
    <row r="477" spans="1:10" ht="12" customHeight="1" x14ac:dyDescent="0.3">
      <c r="A477" s="1">
        <f t="shared" si="3"/>
        <v>44186</v>
      </c>
      <c r="B477" s="20">
        <v>7734.8066298342546</v>
      </c>
      <c r="C477" s="20">
        <f t="shared" si="4"/>
        <v>44215.784890703799</v>
      </c>
      <c r="D477" s="21" t="str">
        <f t="shared" si="0"/>
        <v>201221</v>
      </c>
      <c r="E477" s="22">
        <f t="shared" si="5"/>
        <v>2.458612</v>
      </c>
      <c r="F477" s="9">
        <v>0</v>
      </c>
      <c r="G477" s="14">
        <f t="shared" si="1"/>
        <v>100.00418625725315</v>
      </c>
      <c r="H477" s="24">
        <f t="shared" si="6"/>
        <v>-739.38742746847197</v>
      </c>
      <c r="I477" s="20">
        <f t="shared" si="2"/>
        <v>43476.397463235327</v>
      </c>
      <c r="J477" s="17">
        <f t="shared" si="7"/>
        <v>4.3476397463235328</v>
      </c>
    </row>
    <row r="478" spans="1:10" ht="12" customHeight="1" x14ac:dyDescent="0.3">
      <c r="A478" s="1">
        <f t="shared" si="3"/>
        <v>44187</v>
      </c>
      <c r="B478" s="20">
        <v>7803.8674033149173</v>
      </c>
      <c r="C478" s="20">
        <f t="shared" si="4"/>
        <v>44284.84566418446</v>
      </c>
      <c r="D478" s="21" t="str">
        <f t="shared" si="0"/>
        <v>201222</v>
      </c>
      <c r="E478" s="22">
        <f t="shared" si="5"/>
        <v>2.458612</v>
      </c>
      <c r="F478" s="9">
        <v>0</v>
      </c>
      <c r="G478" s="14">
        <f t="shared" si="1"/>
        <v>100.004093343753</v>
      </c>
      <c r="H478" s="24">
        <f t="shared" si="6"/>
        <v>-740.31656247001365</v>
      </c>
      <c r="I478" s="20">
        <f t="shared" si="2"/>
        <v>43544.529101714448</v>
      </c>
      <c r="J478" s="17">
        <f t="shared" si="7"/>
        <v>4.3544529101714451</v>
      </c>
    </row>
    <row r="479" spans="1:10" ht="12" customHeight="1" x14ac:dyDescent="0.3">
      <c r="A479" s="1">
        <f t="shared" si="3"/>
        <v>44188</v>
      </c>
      <c r="B479" s="20">
        <v>7872.9281767955799</v>
      </c>
      <c r="C479" s="20">
        <f t="shared" si="4"/>
        <v>44353.906437665122</v>
      </c>
      <c r="D479" s="21" t="str">
        <f t="shared" si="0"/>
        <v>201223</v>
      </c>
      <c r="E479" s="22">
        <f t="shared" si="5"/>
        <v>2.458612</v>
      </c>
      <c r="F479" s="9">
        <v>0</v>
      </c>
      <c r="G479" s="14">
        <f t="shared" si="1"/>
        <v>100.00400136190108</v>
      </c>
      <c r="H479" s="24">
        <f t="shared" si="6"/>
        <v>-741.23638098924971</v>
      </c>
      <c r="I479" s="20">
        <f t="shared" si="2"/>
        <v>43612.670056675874</v>
      </c>
      <c r="J479" s="17">
        <f t="shared" si="7"/>
        <v>4.3612670056675871</v>
      </c>
    </row>
    <row r="480" spans="1:10" ht="12" customHeight="1" x14ac:dyDescent="0.3">
      <c r="A480" s="1">
        <f t="shared" si="3"/>
        <v>44189</v>
      </c>
      <c r="B480" s="20">
        <v>7941.9889502762444</v>
      </c>
      <c r="C480" s="20">
        <f t="shared" si="4"/>
        <v>44422.967211145784</v>
      </c>
      <c r="D480" s="21" t="str">
        <f t="shared" si="0"/>
        <v>201224</v>
      </c>
      <c r="E480" s="22">
        <f t="shared" si="5"/>
        <v>2.458612</v>
      </c>
      <c r="F480" s="9">
        <v>0</v>
      </c>
      <c r="G480" s="14">
        <f t="shared" si="1"/>
        <v>100.00391031188737</v>
      </c>
      <c r="H480" s="24">
        <f t="shared" si="6"/>
        <v>-742.14688112633098</v>
      </c>
      <c r="I480" s="20">
        <f t="shared" si="2"/>
        <v>43680.820330019451</v>
      </c>
      <c r="J480" s="17">
        <f t="shared" si="7"/>
        <v>4.3680820330019454</v>
      </c>
    </row>
    <row r="481" spans="1:10" ht="12" customHeight="1" x14ac:dyDescent="0.3">
      <c r="A481" s="1">
        <f t="shared" si="3"/>
        <v>44190</v>
      </c>
      <c r="B481" s="20">
        <v>8011.049723756907</v>
      </c>
      <c r="C481" s="20">
        <f t="shared" si="4"/>
        <v>44492.027984626446</v>
      </c>
      <c r="D481" s="21" t="str">
        <f t="shared" si="0"/>
        <v>201225</v>
      </c>
      <c r="E481" s="22">
        <f t="shared" si="5"/>
        <v>2.458612</v>
      </c>
      <c r="F481" s="9">
        <v>0</v>
      </c>
      <c r="G481" s="14">
        <f t="shared" si="1"/>
        <v>100.003820193902</v>
      </c>
      <c r="H481" s="24">
        <f t="shared" si="6"/>
        <v>-743.04806097998721</v>
      </c>
      <c r="I481" s="20">
        <f t="shared" si="2"/>
        <v>43748.979923646461</v>
      </c>
      <c r="J481" s="17">
        <f t="shared" si="7"/>
        <v>4.3748979923646463</v>
      </c>
    </row>
    <row r="482" spans="1:10" ht="12" customHeight="1" x14ac:dyDescent="0.3">
      <c r="A482" s="1">
        <f t="shared" si="3"/>
        <v>44193</v>
      </c>
      <c r="B482" s="20">
        <v>8218.2320441988941</v>
      </c>
      <c r="C482" s="20">
        <f t="shared" si="4"/>
        <v>44699.210305068431</v>
      </c>
      <c r="D482" s="21" t="str">
        <f t="shared" si="0"/>
        <v>201228</v>
      </c>
      <c r="E482" s="22">
        <f t="shared" si="5"/>
        <v>2.458612</v>
      </c>
      <c r="F482" s="9">
        <v>0</v>
      </c>
      <c r="G482" s="14">
        <f t="shared" si="1"/>
        <v>100.00355543401753</v>
      </c>
      <c r="H482" s="24">
        <f t="shared" si="6"/>
        <v>-745.69565982471886</v>
      </c>
      <c r="I482" s="20">
        <f t="shared" si="2"/>
        <v>43953.514645243711</v>
      </c>
      <c r="J482" s="17">
        <f t="shared" si="7"/>
        <v>4.3953514645243708</v>
      </c>
    </row>
    <row r="483" spans="1:10" ht="12" customHeight="1" x14ac:dyDescent="0.3">
      <c r="A483" s="1">
        <f t="shared" si="3"/>
        <v>44194</v>
      </c>
      <c r="B483" s="20">
        <v>8287.2928176795576</v>
      </c>
      <c r="C483" s="20">
        <f t="shared" si="4"/>
        <v>44768.271078549093</v>
      </c>
      <c r="D483" s="21" t="str">
        <f t="shared" si="0"/>
        <v>201229</v>
      </c>
      <c r="E483" s="22">
        <f t="shared" si="5"/>
        <v>2.458612</v>
      </c>
      <c r="F483" s="9">
        <v>0</v>
      </c>
      <c r="G483" s="14">
        <f t="shared" si="1"/>
        <v>100.00346904604739</v>
      </c>
      <c r="H483" s="24">
        <f t="shared" si="6"/>
        <v>-746.55953952614595</v>
      </c>
      <c r="I483" s="20">
        <f t="shared" si="2"/>
        <v>44021.711539022945</v>
      </c>
      <c r="J483" s="17">
        <f t="shared" si="7"/>
        <v>4.4021711539022945</v>
      </c>
    </row>
    <row r="484" spans="1:10" ht="12" customHeight="1" x14ac:dyDescent="0.3">
      <c r="A484" s="1">
        <f t="shared" si="3"/>
        <v>44195</v>
      </c>
      <c r="B484" s="20">
        <v>8356.3535911602194</v>
      </c>
      <c r="C484" s="20">
        <f t="shared" si="4"/>
        <v>44837.331852029754</v>
      </c>
      <c r="D484" s="21" t="str">
        <f t="shared" si="0"/>
        <v>201230</v>
      </c>
      <c r="E484" s="22">
        <f t="shared" si="5"/>
        <v>2.458612</v>
      </c>
      <c r="F484" s="9">
        <v>0</v>
      </c>
      <c r="G484" s="14">
        <f t="shared" si="1"/>
        <v>100.00338359105679</v>
      </c>
      <c r="H484" s="24">
        <f t="shared" si="6"/>
        <v>-747.41408943211241</v>
      </c>
      <c r="I484" s="20">
        <f t="shared" si="2"/>
        <v>44089.917762597644</v>
      </c>
      <c r="J484" s="17">
        <f t="shared" si="7"/>
        <v>4.4089917762597644</v>
      </c>
    </row>
    <row r="485" spans="1:10" ht="12" customHeight="1" x14ac:dyDescent="0.3">
      <c r="A485" s="1">
        <f t="shared" si="3"/>
        <v>44196</v>
      </c>
      <c r="B485" s="20">
        <v>8425.4143646408847</v>
      </c>
      <c r="C485" s="20">
        <f t="shared" si="4"/>
        <v>44906.392625510416</v>
      </c>
      <c r="D485" s="21" t="str">
        <f t="shared" si="0"/>
        <v>201231</v>
      </c>
      <c r="E485" s="22">
        <f t="shared" si="5"/>
        <v>2.458612</v>
      </c>
      <c r="F485" s="9">
        <v>0</v>
      </c>
      <c r="G485" s="14">
        <f t="shared" si="1"/>
        <v>100.00329906923614</v>
      </c>
      <c r="H485" s="24">
        <f t="shared" si="6"/>
        <v>-748.2593076386479</v>
      </c>
      <c r="I485" s="20">
        <f t="shared" si="2"/>
        <v>44158.133317871769</v>
      </c>
      <c r="J485" s="17">
        <f t="shared" si="7"/>
        <v>4.4158133317871764</v>
      </c>
    </row>
    <row r="486" spans="1:10" ht="12" customHeight="1" x14ac:dyDescent="0.3">
      <c r="A486" s="1">
        <f t="shared" si="3"/>
        <v>44197</v>
      </c>
      <c r="B486" s="20">
        <v>8494.4751381215483</v>
      </c>
      <c r="C486" s="20">
        <f t="shared" si="4"/>
        <v>44975.453398991078</v>
      </c>
      <c r="D486" s="21" t="str">
        <f t="shared" si="0"/>
        <v>210101</v>
      </c>
      <c r="E486" s="22">
        <f t="shared" si="5"/>
        <v>2.458612</v>
      </c>
      <c r="F486" s="9">
        <v>0</v>
      </c>
      <c r="G486" s="14">
        <f t="shared" si="1"/>
        <v>100.00321548077588</v>
      </c>
      <c r="H486" s="24">
        <f t="shared" si="6"/>
        <v>-749.09519224121368</v>
      </c>
      <c r="I486" s="20">
        <f t="shared" si="2"/>
        <v>44226.358206749865</v>
      </c>
      <c r="J486" s="17">
        <f t="shared" si="7"/>
        <v>4.4226358206749872</v>
      </c>
    </row>
    <row r="487" spans="1:10" ht="12" customHeight="1" x14ac:dyDescent="0.3">
      <c r="A487" s="1">
        <f t="shared" si="3"/>
        <v>44200</v>
      </c>
      <c r="B487" s="20">
        <v>8701.6574585635371</v>
      </c>
      <c r="C487" s="20">
        <f t="shared" si="4"/>
        <v>45182.635719433063</v>
      </c>
      <c r="D487" s="21" t="str">
        <f t="shared" si="0"/>
        <v>210104</v>
      </c>
      <c r="E487" s="22">
        <f t="shared" si="5"/>
        <v>2.458612</v>
      </c>
      <c r="F487" s="9">
        <v>0</v>
      </c>
      <c r="G487" s="14">
        <f t="shared" si="1"/>
        <v>100.00297031746277</v>
      </c>
      <c r="H487" s="24">
        <f t="shared" si="6"/>
        <v>-751.54682537231565</v>
      </c>
      <c r="I487" s="20">
        <f t="shared" si="2"/>
        <v>44431.088894060747</v>
      </c>
      <c r="J487" s="17">
        <f t="shared" si="7"/>
        <v>4.4431088894060746</v>
      </c>
    </row>
    <row r="488" spans="1:10" ht="12" customHeight="1" x14ac:dyDescent="0.3">
      <c r="A488" s="1">
        <f t="shared" si="3"/>
        <v>44201</v>
      </c>
      <c r="B488" s="20">
        <v>8770.7182320441989</v>
      </c>
      <c r="C488" s="20">
        <f t="shared" si="4"/>
        <v>45251.696492913725</v>
      </c>
      <c r="D488" s="21" t="str">
        <f t="shared" si="0"/>
        <v>210105</v>
      </c>
      <c r="E488" s="22">
        <f t="shared" si="5"/>
        <v>2.458612</v>
      </c>
      <c r="F488" s="9">
        <v>0</v>
      </c>
      <c r="G488" s="14">
        <f t="shared" si="1"/>
        <v>100.00289046434962</v>
      </c>
      <c r="H488" s="24">
        <f t="shared" si="6"/>
        <v>-752.34535650380963</v>
      </c>
      <c r="I488" s="20">
        <f t="shared" si="2"/>
        <v>44499.351136409918</v>
      </c>
      <c r="J488" s="17">
        <f t="shared" si="7"/>
        <v>4.4499351136409917</v>
      </c>
    </row>
    <row r="489" spans="1:10" ht="12" customHeight="1" x14ac:dyDescent="0.3">
      <c r="A489" s="1">
        <f t="shared" si="3"/>
        <v>44202</v>
      </c>
      <c r="B489" s="20">
        <v>8839.7790055248624</v>
      </c>
      <c r="C489" s="20">
        <f t="shared" si="4"/>
        <v>45320.757266394387</v>
      </c>
      <c r="D489" s="21" t="str">
        <f t="shared" si="0"/>
        <v>210106</v>
      </c>
      <c r="E489" s="22">
        <f t="shared" si="5"/>
        <v>2.458612</v>
      </c>
      <c r="F489" s="9">
        <v>0</v>
      </c>
      <c r="G489" s="14">
        <f t="shared" si="1"/>
        <v>100.00281154554993</v>
      </c>
      <c r="H489" s="24">
        <f t="shared" si="6"/>
        <v>-753.13454450068207</v>
      </c>
      <c r="I489" s="20">
        <f t="shared" si="2"/>
        <v>44567.622721893706</v>
      </c>
      <c r="J489" s="17">
        <f t="shared" si="7"/>
        <v>4.4567622721893709</v>
      </c>
    </row>
    <row r="490" spans="1:10" ht="12" customHeight="1" x14ac:dyDescent="0.3">
      <c r="A490" s="1">
        <f t="shared" si="3"/>
        <v>44203</v>
      </c>
      <c r="B490" s="20">
        <v>8908.8397790055242</v>
      </c>
      <c r="C490" s="20">
        <f t="shared" si="4"/>
        <v>45389.818039875048</v>
      </c>
      <c r="D490" s="21" t="str">
        <f t="shared" si="0"/>
        <v>210107</v>
      </c>
      <c r="E490" s="22">
        <f t="shared" si="5"/>
        <v>2.458612</v>
      </c>
      <c r="F490" s="9">
        <v>0</v>
      </c>
      <c r="G490" s="14">
        <f t="shared" si="1"/>
        <v>100.0027335612544</v>
      </c>
      <c r="H490" s="24">
        <f t="shared" si="6"/>
        <v>-753.91438745597839</v>
      </c>
      <c r="I490" s="20">
        <f t="shared" si="2"/>
        <v>44635.903652419067</v>
      </c>
      <c r="J490" s="17">
        <f t="shared" si="7"/>
        <v>4.4635903652419069</v>
      </c>
    </row>
    <row r="491" spans="1:10" ht="12" customHeight="1" x14ac:dyDescent="0.3">
      <c r="A491" s="1">
        <f t="shared" si="3"/>
        <v>44204</v>
      </c>
      <c r="B491" s="20">
        <v>8977.9005524861877</v>
      </c>
      <c r="C491" s="20">
        <f t="shared" si="4"/>
        <v>45458.87881335571</v>
      </c>
      <c r="D491" s="21" t="str">
        <f t="shared" si="0"/>
        <v>210108</v>
      </c>
      <c r="E491" s="22">
        <f t="shared" si="5"/>
        <v>2.458612</v>
      </c>
      <c r="F491" s="9">
        <v>0</v>
      </c>
      <c r="G491" s="14">
        <f t="shared" si="1"/>
        <v>100.00265651165387</v>
      </c>
      <c r="H491" s="24">
        <f t="shared" si="6"/>
        <v>-754.6848834613229</v>
      </c>
      <c r="I491" s="20">
        <f t="shared" si="2"/>
        <v>44704.193929894391</v>
      </c>
      <c r="J491" s="17">
        <f t="shared" si="7"/>
        <v>4.4704193929894398</v>
      </c>
    </row>
    <row r="492" spans="1:10" ht="12" customHeight="1" x14ac:dyDescent="0.3">
      <c r="A492" s="1">
        <f t="shared" si="3"/>
        <v>44207</v>
      </c>
      <c r="B492" s="20">
        <v>9185.0828729281766</v>
      </c>
      <c r="C492" s="20">
        <f t="shared" si="4"/>
        <v>45666.061133797702</v>
      </c>
      <c r="D492" s="21" t="str">
        <f t="shared" si="0"/>
        <v>210111</v>
      </c>
      <c r="E492" s="22">
        <f t="shared" si="5"/>
        <v>2.458612</v>
      </c>
      <c r="F492" s="9">
        <v>0</v>
      </c>
      <c r="G492" s="14">
        <f t="shared" si="1"/>
        <v>100.00243097293124</v>
      </c>
      <c r="H492" s="24">
        <f t="shared" si="6"/>
        <v>-756.94027068763603</v>
      </c>
      <c r="I492" s="20">
        <f t="shared" si="2"/>
        <v>44909.120863110067</v>
      </c>
      <c r="J492" s="17">
        <f t="shared" si="7"/>
        <v>4.490912086311007</v>
      </c>
    </row>
    <row r="493" spans="1:10" ht="12" customHeight="1" x14ac:dyDescent="0.3">
      <c r="A493" s="1">
        <f t="shared" si="3"/>
        <v>44208</v>
      </c>
      <c r="B493" s="20">
        <v>9254.1436464088401</v>
      </c>
      <c r="C493" s="20">
        <f t="shared" si="4"/>
        <v>45735.121907278364</v>
      </c>
      <c r="D493" s="21" t="str">
        <f t="shared" si="0"/>
        <v>210112</v>
      </c>
      <c r="E493" s="22">
        <f t="shared" si="5"/>
        <v>2.458612</v>
      </c>
      <c r="F493" s="9">
        <v>0</v>
      </c>
      <c r="G493" s="14">
        <f t="shared" si="1"/>
        <v>100.0023576640199</v>
      </c>
      <c r="H493" s="24">
        <f t="shared" si="6"/>
        <v>-757.67335980103201</v>
      </c>
      <c r="I493" s="20">
        <f t="shared" si="2"/>
        <v>44977.448547477332</v>
      </c>
      <c r="J493" s="17">
        <f t="shared" si="7"/>
        <v>4.497744854747733</v>
      </c>
    </row>
    <row r="494" spans="1:10" ht="12" customHeight="1" x14ac:dyDescent="0.3">
      <c r="A494" s="1">
        <f t="shared" si="3"/>
        <v>44209</v>
      </c>
      <c r="B494" s="20">
        <v>9323.2044198895019</v>
      </c>
      <c r="C494" s="20">
        <f t="shared" si="4"/>
        <v>45804.182680759026</v>
      </c>
      <c r="D494" s="21" t="str">
        <f t="shared" si="0"/>
        <v>210113</v>
      </c>
      <c r="E494" s="22">
        <f t="shared" si="5"/>
        <v>2.458612</v>
      </c>
      <c r="F494" s="9">
        <v>0</v>
      </c>
      <c r="G494" s="14">
        <f t="shared" si="1"/>
        <v>100.00228529075839</v>
      </c>
      <c r="H494" s="24">
        <f t="shared" si="6"/>
        <v>-758.39709241606101</v>
      </c>
      <c r="I494" s="20">
        <f t="shared" si="2"/>
        <v>45045.785588342966</v>
      </c>
      <c r="J494" s="17">
        <f t="shared" si="7"/>
        <v>4.5045785588342966</v>
      </c>
    </row>
    <row r="495" spans="1:10" ht="12" customHeight="1" x14ac:dyDescent="0.3">
      <c r="A495" s="1">
        <f t="shared" si="3"/>
        <v>44210</v>
      </c>
      <c r="B495" s="20">
        <v>9392.2651933701654</v>
      </c>
      <c r="C495" s="20">
        <f t="shared" si="4"/>
        <v>45873.243454239688</v>
      </c>
      <c r="D495" s="21" t="str">
        <f t="shared" si="0"/>
        <v>210114</v>
      </c>
      <c r="E495" s="22">
        <f t="shared" si="5"/>
        <v>2.458612</v>
      </c>
      <c r="F495" s="9">
        <v>0</v>
      </c>
      <c r="G495" s="14">
        <f t="shared" si="1"/>
        <v>100.00221385333789</v>
      </c>
      <c r="H495" s="24">
        <f t="shared" si="6"/>
        <v>-759.11146662107853</v>
      </c>
      <c r="I495" s="20">
        <f t="shared" si="2"/>
        <v>45114.13198761861</v>
      </c>
      <c r="J495" s="17">
        <f t="shared" si="7"/>
        <v>4.5114131987618604</v>
      </c>
    </row>
    <row r="496" spans="1:10" ht="12" customHeight="1" x14ac:dyDescent="0.3">
      <c r="A496" s="1">
        <f t="shared" si="3"/>
        <v>44211</v>
      </c>
      <c r="B496" s="20">
        <v>9461.325966850829</v>
      </c>
      <c r="C496" s="20">
        <f t="shared" si="4"/>
        <v>45942.304227720349</v>
      </c>
      <c r="D496" s="21" t="str">
        <f t="shared" si="0"/>
        <v>210115</v>
      </c>
      <c r="E496" s="22">
        <f t="shared" si="5"/>
        <v>2.458612</v>
      </c>
      <c r="F496" s="9">
        <v>0</v>
      </c>
      <c r="G496" s="14">
        <f t="shared" si="1"/>
        <v>100.00214335194951</v>
      </c>
      <c r="H496" s="24">
        <f t="shared" si="6"/>
        <v>-759.81648050486683</v>
      </c>
      <c r="I496" s="20">
        <f t="shared" si="2"/>
        <v>45182.487747215484</v>
      </c>
      <c r="J496" s="17">
        <f t="shared" si="7"/>
        <v>4.5182487747215481</v>
      </c>
    </row>
    <row r="497" spans="1:10" ht="12" customHeight="1" x14ac:dyDescent="0.3">
      <c r="A497" s="1">
        <f t="shared" si="3"/>
        <v>44214</v>
      </c>
      <c r="B497" s="20">
        <v>9668.5082872928197</v>
      </c>
      <c r="C497" s="20">
        <f t="shared" si="4"/>
        <v>46149.486548162342</v>
      </c>
      <c r="D497" s="21" t="str">
        <f t="shared" si="0"/>
        <v>210118</v>
      </c>
      <c r="E497" s="22">
        <f t="shared" si="5"/>
        <v>2.458612</v>
      </c>
      <c r="F497" s="9">
        <v>0</v>
      </c>
      <c r="G497" s="14">
        <f t="shared" si="1"/>
        <v>100.00193746588987</v>
      </c>
      <c r="H497" s="24">
        <f t="shared" si="6"/>
        <v>-761.87534110133015</v>
      </c>
      <c r="I497" s="20">
        <f t="shared" si="2"/>
        <v>45387.611207061011</v>
      </c>
      <c r="J497" s="17">
        <f t="shared" si="7"/>
        <v>4.5387611207061012</v>
      </c>
    </row>
    <row r="498" spans="1:10" ht="12" customHeight="1" x14ac:dyDescent="0.3">
      <c r="A498" s="1">
        <f t="shared" si="3"/>
        <v>44215</v>
      </c>
      <c r="B498" s="20">
        <v>9737.5690607734814</v>
      </c>
      <c r="C498" s="20">
        <f t="shared" si="4"/>
        <v>46218.547321643004</v>
      </c>
      <c r="D498" s="21" t="str">
        <f t="shared" si="0"/>
        <v>210119</v>
      </c>
      <c r="E498" s="22">
        <f t="shared" si="5"/>
        <v>2.458612</v>
      </c>
      <c r="F498" s="9">
        <v>0</v>
      </c>
      <c r="G498" s="14">
        <f t="shared" si="1"/>
        <v>100.00187071054293</v>
      </c>
      <c r="H498" s="24">
        <f t="shared" si="6"/>
        <v>-762.5428945706858</v>
      </c>
      <c r="I498" s="20">
        <f t="shared" si="2"/>
        <v>45456.004427072316</v>
      </c>
      <c r="J498" s="17">
        <f t="shared" si="7"/>
        <v>4.5456004427072312</v>
      </c>
    </row>
    <row r="499" spans="1:10" ht="12" customHeight="1" x14ac:dyDescent="0.3">
      <c r="A499" s="1">
        <f t="shared" si="3"/>
        <v>44216</v>
      </c>
      <c r="B499" s="20">
        <v>9806.6298342541431</v>
      </c>
      <c r="C499" s="20">
        <f t="shared" si="4"/>
        <v>46287.608095123665</v>
      </c>
      <c r="D499" s="21" t="str">
        <f t="shared" si="0"/>
        <v>210120</v>
      </c>
      <c r="E499" s="22">
        <f t="shared" si="5"/>
        <v>2.458612</v>
      </c>
      <c r="F499" s="9">
        <v>0</v>
      </c>
      <c r="G499" s="14">
        <f t="shared" si="1"/>
        <v>100.00180489218482</v>
      </c>
      <c r="H499" s="24">
        <f t="shared" si="6"/>
        <v>-763.20107815178062</v>
      </c>
      <c r="I499" s="20">
        <f t="shared" si="2"/>
        <v>45524.407016971883</v>
      </c>
      <c r="J499" s="17">
        <f t="shared" si="7"/>
        <v>4.5524407016971882</v>
      </c>
    </row>
    <row r="500" spans="1:10" ht="12" customHeight="1" x14ac:dyDescent="0.3">
      <c r="A500" s="1">
        <f t="shared" si="3"/>
        <v>44217</v>
      </c>
      <c r="B500" s="20">
        <v>9875.6906077348049</v>
      </c>
      <c r="C500" s="20">
        <f t="shared" si="4"/>
        <v>46356.668868604327</v>
      </c>
      <c r="D500" s="21" t="str">
        <f t="shared" si="0"/>
        <v>210121</v>
      </c>
      <c r="E500" s="22">
        <f t="shared" si="5"/>
        <v>2.458612</v>
      </c>
      <c r="F500" s="9">
        <v>0</v>
      </c>
      <c r="G500" s="14">
        <f t="shared" si="1"/>
        <v>100.00174001100702</v>
      </c>
      <c r="H500" s="24">
        <f t="shared" si="6"/>
        <v>-763.84988992984404</v>
      </c>
      <c r="I500" s="20">
        <f t="shared" si="2"/>
        <v>45592.818978674484</v>
      </c>
      <c r="J500" s="17">
        <f t="shared" si="7"/>
        <v>4.5592818978674483</v>
      </c>
    </row>
    <row r="501" spans="1:10" ht="12" customHeight="1" x14ac:dyDescent="0.3">
      <c r="A501" s="1">
        <f t="shared" si="3"/>
        <v>44218</v>
      </c>
      <c r="B501" s="20">
        <v>9944.7513812154684</v>
      </c>
      <c r="C501" s="20">
        <f t="shared" si="4"/>
        <v>46425.729642084989</v>
      </c>
      <c r="D501" s="21" t="str">
        <f t="shared" si="0"/>
        <v>210122</v>
      </c>
      <c r="E501" s="22">
        <f t="shared" si="5"/>
        <v>2.458612</v>
      </c>
      <c r="F501" s="9">
        <v>0</v>
      </c>
      <c r="G501" s="14">
        <f t="shared" si="1"/>
        <v>100.00167606720106</v>
      </c>
      <c r="H501" s="24">
        <f t="shared" si="6"/>
        <v>-764.48932798939495</v>
      </c>
      <c r="I501" s="20">
        <f t="shared" si="2"/>
        <v>45661.240314095594</v>
      </c>
      <c r="J501" s="17">
        <f t="shared" si="7"/>
        <v>4.5661240314095597</v>
      </c>
    </row>
    <row r="502" spans="1:10" ht="12" customHeight="1" x14ac:dyDescent="0.3">
      <c r="A502" s="1">
        <f t="shared" si="3"/>
        <v>44221</v>
      </c>
      <c r="B502" s="20">
        <v>10151.933701657459</v>
      </c>
      <c r="C502" s="20">
        <f t="shared" si="4"/>
        <v>46632.911962526981</v>
      </c>
      <c r="D502" s="21" t="str">
        <f t="shared" si="0"/>
        <v>210125</v>
      </c>
      <c r="E502" s="22">
        <f t="shared" si="5"/>
        <v>2.458612</v>
      </c>
      <c r="F502" s="9">
        <v>0</v>
      </c>
      <c r="G502" s="14">
        <f t="shared" si="1"/>
        <v>100.00148986193055</v>
      </c>
      <c r="H502" s="24">
        <f t="shared" si="6"/>
        <v>-766.35138069448772</v>
      </c>
      <c r="I502" s="20">
        <f t="shared" si="2"/>
        <v>45866.560581832491</v>
      </c>
      <c r="J502" s="17">
        <f t="shared" si="7"/>
        <v>4.586656058183249</v>
      </c>
    </row>
    <row r="503" spans="1:10" ht="12" customHeight="1" x14ac:dyDescent="0.3">
      <c r="A503" s="1">
        <f t="shared" si="3"/>
        <v>44222</v>
      </c>
      <c r="B503" s="20">
        <v>10220.994475138121</v>
      </c>
      <c r="C503" s="20">
        <f t="shared" si="4"/>
        <v>46701.972736007643</v>
      </c>
      <c r="D503" s="21" t="str">
        <f t="shared" si="0"/>
        <v>210126</v>
      </c>
      <c r="E503" s="22">
        <f t="shared" si="5"/>
        <v>2.458612</v>
      </c>
      <c r="F503" s="9">
        <v>0</v>
      </c>
      <c r="G503" s="14">
        <f t="shared" si="1"/>
        <v>100.00142966952851</v>
      </c>
      <c r="H503" s="24">
        <f t="shared" si="6"/>
        <v>-766.95330471494572</v>
      </c>
      <c r="I503" s="20">
        <f t="shared" si="2"/>
        <v>45935.019431292698</v>
      </c>
      <c r="J503" s="17">
        <f t="shared" si="7"/>
        <v>4.5935019431292696</v>
      </c>
    </row>
    <row r="504" spans="1:10" ht="12" customHeight="1" x14ac:dyDescent="0.3">
      <c r="A504" s="1">
        <f t="shared" si="3"/>
        <v>44223</v>
      </c>
      <c r="B504" s="20">
        <v>10290.055248618786</v>
      </c>
      <c r="C504" s="20">
        <f t="shared" si="4"/>
        <v>46771.033509488305</v>
      </c>
      <c r="D504" s="21" t="str">
        <f t="shared" si="0"/>
        <v>210127</v>
      </c>
      <c r="E504" s="22">
        <f t="shared" si="5"/>
        <v>2.458612</v>
      </c>
      <c r="F504" s="9">
        <v>0</v>
      </c>
      <c r="G504" s="14">
        <f t="shared" si="1"/>
        <v>100.00137041545679</v>
      </c>
      <c r="H504" s="24">
        <f t="shared" si="6"/>
        <v>-767.54584543209614</v>
      </c>
      <c r="I504" s="20">
        <f t="shared" si="2"/>
        <v>46003.487664056207</v>
      </c>
      <c r="J504" s="17">
        <f t="shared" si="7"/>
        <v>4.6003487664056211</v>
      </c>
    </row>
    <row r="505" spans="1:10" ht="12" customHeight="1" x14ac:dyDescent="0.3">
      <c r="A505" s="1">
        <f t="shared" si="3"/>
        <v>44224</v>
      </c>
      <c r="B505" s="20">
        <v>10359.116022099448</v>
      </c>
      <c r="C505" s="20">
        <f t="shared" si="4"/>
        <v>46840.094282968967</v>
      </c>
      <c r="D505" s="21" t="str">
        <f t="shared" si="0"/>
        <v>210128</v>
      </c>
      <c r="E505" s="22">
        <f t="shared" si="5"/>
        <v>2.458612</v>
      </c>
      <c r="F505" s="9">
        <v>0</v>
      </c>
      <c r="G505" s="14">
        <f t="shared" si="1"/>
        <v>100.00131209990728</v>
      </c>
      <c r="H505" s="24">
        <f t="shared" si="6"/>
        <v>-768.12900092718905</v>
      </c>
      <c r="I505" s="20">
        <f t="shared" si="2"/>
        <v>46071.965282041776</v>
      </c>
      <c r="J505" s="17">
        <f t="shared" si="7"/>
        <v>4.6071965282041782</v>
      </c>
    </row>
    <row r="506" spans="1:10" ht="12" customHeight="1" x14ac:dyDescent="0.3">
      <c r="A506" s="1">
        <f t="shared" si="3"/>
        <v>44225</v>
      </c>
      <c r="B506" s="20">
        <v>10428.176795580112</v>
      </c>
      <c r="C506" s="20">
        <f t="shared" si="4"/>
        <v>46909.155056449628</v>
      </c>
      <c r="D506" s="21" t="str">
        <f t="shared" si="0"/>
        <v>210129</v>
      </c>
      <c r="E506" s="22">
        <f t="shared" si="5"/>
        <v>2.458612</v>
      </c>
      <c r="F506" s="9">
        <v>0</v>
      </c>
      <c r="G506" s="14">
        <f t="shared" si="1"/>
        <v>100.00125472307191</v>
      </c>
      <c r="H506" s="24">
        <f t="shared" si="6"/>
        <v>-768.70276928090675</v>
      </c>
      <c r="I506" s="20">
        <f t="shared" si="2"/>
        <v>46140.452287168722</v>
      </c>
      <c r="J506" s="17">
        <f t="shared" si="7"/>
        <v>4.6140452287168721</v>
      </c>
    </row>
    <row r="507" spans="1:10" ht="12" customHeight="1" x14ac:dyDescent="0.3">
      <c r="A507" s="1">
        <f t="shared" si="3"/>
        <v>44228</v>
      </c>
      <c r="B507" s="20">
        <v>10635.3591160221</v>
      </c>
      <c r="C507" s="20">
        <f t="shared" si="4"/>
        <v>47116.337376891621</v>
      </c>
      <c r="D507" s="21" t="str">
        <f t="shared" si="0"/>
        <v>210201</v>
      </c>
      <c r="E507" s="22">
        <f t="shared" si="5"/>
        <v>2.458612</v>
      </c>
      <c r="F507" s="9">
        <v>0</v>
      </c>
      <c r="G507" s="14">
        <f t="shared" si="1"/>
        <v>100.00108822677034</v>
      </c>
      <c r="H507" s="24">
        <f t="shared" si="6"/>
        <v>-770.36773229664846</v>
      </c>
      <c r="I507" s="20">
        <f t="shared" si="2"/>
        <v>46345.969644594974</v>
      </c>
      <c r="J507" s="17">
        <f t="shared" si="7"/>
        <v>4.6345969644594973</v>
      </c>
    </row>
    <row r="508" spans="1:10" ht="12" customHeight="1" x14ac:dyDescent="0.3">
      <c r="A508" s="1">
        <f t="shared" si="3"/>
        <v>44229</v>
      </c>
      <c r="B508" s="20">
        <v>10704.419889502762</v>
      </c>
      <c r="C508" s="20">
        <f t="shared" si="4"/>
        <v>47185.398150372283</v>
      </c>
      <c r="D508" s="21" t="str">
        <f t="shared" si="0"/>
        <v>210202</v>
      </c>
      <c r="E508" s="22">
        <f t="shared" si="5"/>
        <v>2.458612</v>
      </c>
      <c r="F508" s="9">
        <v>0</v>
      </c>
      <c r="G508" s="14">
        <f t="shared" si="1"/>
        <v>100.00103460671156</v>
      </c>
      <c r="H508" s="24">
        <f t="shared" si="6"/>
        <v>-770.90393288443693</v>
      </c>
      <c r="I508" s="20">
        <f t="shared" si="2"/>
        <v>46414.494217487845</v>
      </c>
      <c r="J508" s="17">
        <f t="shared" si="7"/>
        <v>4.6414494217487849</v>
      </c>
    </row>
    <row r="509" spans="1:10" ht="12" customHeight="1" x14ac:dyDescent="0.3">
      <c r="A509" s="1">
        <f t="shared" si="3"/>
        <v>44230</v>
      </c>
      <c r="B509" s="20">
        <v>10773.480662983426</v>
      </c>
      <c r="C509" s="20">
        <f t="shared" si="4"/>
        <v>47254.458923852944</v>
      </c>
      <c r="D509" s="21" t="str">
        <f t="shared" si="0"/>
        <v>210203</v>
      </c>
      <c r="E509" s="22">
        <f t="shared" si="5"/>
        <v>2.458612</v>
      </c>
      <c r="F509" s="9">
        <v>0</v>
      </c>
      <c r="G509" s="14">
        <f t="shared" si="1"/>
        <v>100.00098192632723</v>
      </c>
      <c r="H509" s="24">
        <f t="shared" si="6"/>
        <v>-771.43073672772289</v>
      </c>
      <c r="I509" s="20">
        <f t="shared" si="2"/>
        <v>46483.028187125223</v>
      </c>
      <c r="J509" s="17">
        <f t="shared" si="7"/>
        <v>4.6483028187125219</v>
      </c>
    </row>
    <row r="510" spans="1:10" ht="12" customHeight="1" x14ac:dyDescent="0.3">
      <c r="A510" s="1">
        <f t="shared" si="3"/>
        <v>44231</v>
      </c>
      <c r="B510" s="20">
        <v>10842.541436464087</v>
      </c>
      <c r="C510" s="20">
        <f t="shared" si="4"/>
        <v>47323.519697333606</v>
      </c>
      <c r="D510" s="21" t="str">
        <f t="shared" si="0"/>
        <v>210204</v>
      </c>
      <c r="E510" s="22">
        <f t="shared" si="5"/>
        <v>2.458612</v>
      </c>
      <c r="F510" s="9">
        <v>0</v>
      </c>
      <c r="G510" s="14">
        <f t="shared" si="1"/>
        <v>100.00093018580954</v>
      </c>
      <c r="H510" s="24">
        <f t="shared" si="6"/>
        <v>-771.94814190463035</v>
      </c>
      <c r="I510" s="20">
        <f t="shared" si="2"/>
        <v>46551.571555428978</v>
      </c>
      <c r="J510" s="17">
        <f t="shared" si="7"/>
        <v>4.6551571555428977</v>
      </c>
    </row>
    <row r="511" spans="1:10" ht="12" customHeight="1" x14ac:dyDescent="0.3">
      <c r="A511" s="1">
        <f t="shared" si="3"/>
        <v>44232</v>
      </c>
      <c r="B511" s="20">
        <v>10911.602209944751</v>
      </c>
      <c r="C511" s="20">
        <f t="shared" si="4"/>
        <v>47392.580470814268</v>
      </c>
      <c r="D511" s="21" t="str">
        <f t="shared" si="0"/>
        <v>210205</v>
      </c>
      <c r="E511" s="22">
        <f t="shared" si="5"/>
        <v>2.458612</v>
      </c>
      <c r="F511" s="9">
        <v>0</v>
      </c>
      <c r="G511" s="14">
        <f t="shared" si="1"/>
        <v>100.00087938535079</v>
      </c>
      <c r="H511" s="24">
        <f t="shared" si="6"/>
        <v>-772.45614649214656</v>
      </c>
      <c r="I511" s="20">
        <f t="shared" si="2"/>
        <v>46620.124324322118</v>
      </c>
      <c r="J511" s="17">
        <f t="shared" si="7"/>
        <v>4.6620124324322116</v>
      </c>
    </row>
    <row r="512" spans="1:10" ht="12" customHeight="1" x14ac:dyDescent="0.3">
      <c r="A512" s="1">
        <f t="shared" si="3"/>
        <v>44235</v>
      </c>
      <c r="B512" s="20">
        <v>11118.784530386742</v>
      </c>
      <c r="C512" s="20">
        <f t="shared" si="4"/>
        <v>47599.76279125626</v>
      </c>
      <c r="D512" s="21" t="str">
        <f t="shared" si="0"/>
        <v>210208</v>
      </c>
      <c r="E512" s="22">
        <f t="shared" si="5"/>
        <v>2.458612</v>
      </c>
      <c r="F512" s="9">
        <v>0</v>
      </c>
      <c r="G512" s="14">
        <f t="shared" si="1"/>
        <v>100.00073262625178</v>
      </c>
      <c r="H512" s="24">
        <f t="shared" si="6"/>
        <v>-773.92373748224941</v>
      </c>
      <c r="I512" s="20">
        <f t="shared" si="2"/>
        <v>46825.839053774012</v>
      </c>
      <c r="J512" s="17">
        <f t="shared" si="7"/>
        <v>4.6825839053774017</v>
      </c>
    </row>
    <row r="513" spans="1:11" ht="12" customHeight="1" x14ac:dyDescent="0.3">
      <c r="A513" s="1">
        <f t="shared" si="3"/>
        <v>44236</v>
      </c>
      <c r="B513" s="20">
        <v>11187.845303867403</v>
      </c>
      <c r="C513" s="20">
        <f t="shared" si="4"/>
        <v>47668.823564736922</v>
      </c>
      <c r="D513" s="21" t="str">
        <f t="shared" si="0"/>
        <v>210209</v>
      </c>
      <c r="E513" s="22">
        <f t="shared" si="5"/>
        <v>2.458612</v>
      </c>
      <c r="F513" s="9">
        <v>0</v>
      </c>
      <c r="G513" s="14">
        <f t="shared" si="1"/>
        <v>100.00068558795262</v>
      </c>
      <c r="H513" s="24">
        <f t="shared" si="6"/>
        <v>-774.39412047382905</v>
      </c>
      <c r="I513" s="20">
        <f t="shared" si="2"/>
        <v>46894.429444263093</v>
      </c>
      <c r="J513" s="17">
        <f t="shared" si="7"/>
        <v>4.6894429444263093</v>
      </c>
    </row>
    <row r="514" spans="1:11" ht="12" customHeight="1" x14ac:dyDescent="0.3">
      <c r="A514" s="1">
        <f t="shared" si="3"/>
        <v>44237</v>
      </c>
      <c r="B514" s="20">
        <v>11256.906077348067</v>
      </c>
      <c r="C514" s="20">
        <f t="shared" si="4"/>
        <v>47737.884338217584</v>
      </c>
      <c r="D514" s="21" t="str">
        <f t="shared" si="0"/>
        <v>210210</v>
      </c>
      <c r="E514" s="22">
        <f t="shared" si="5"/>
        <v>2.458612</v>
      </c>
      <c r="F514" s="9">
        <v>0</v>
      </c>
      <c r="G514" s="14">
        <f t="shared" si="1"/>
        <v>100.00063949067456</v>
      </c>
      <c r="H514" s="24">
        <f t="shared" si="6"/>
        <v>-774.85509325441626</v>
      </c>
      <c r="I514" s="20">
        <f t="shared" si="2"/>
        <v>46963.029244963167</v>
      </c>
      <c r="J514" s="17">
        <f t="shared" si="7"/>
        <v>4.6963029244963161</v>
      </c>
    </row>
    <row r="515" spans="1:11" ht="12" customHeight="1" x14ac:dyDescent="0.3">
      <c r="A515" s="1">
        <f t="shared" si="3"/>
        <v>44238</v>
      </c>
      <c r="B515" s="20">
        <v>11325.96685082873</v>
      </c>
      <c r="C515" s="20">
        <f t="shared" si="4"/>
        <v>47806.945111698245</v>
      </c>
      <c r="D515" s="21" t="str">
        <f t="shared" si="0"/>
        <v>210211</v>
      </c>
      <c r="E515" s="22">
        <f t="shared" si="5"/>
        <v>2.458612</v>
      </c>
      <c r="F515" s="9">
        <v>0</v>
      </c>
      <c r="G515" s="14">
        <f t="shared" si="1"/>
        <v>100.00059433461017</v>
      </c>
      <c r="H515" s="24">
        <f t="shared" si="6"/>
        <v>-775.30665389829778</v>
      </c>
      <c r="I515" s="20">
        <f t="shared" si="2"/>
        <v>47031.638457799949</v>
      </c>
      <c r="J515" s="17">
        <f t="shared" si="7"/>
        <v>4.7031638457799954</v>
      </c>
    </row>
    <row r="516" spans="1:11" ht="12" customHeight="1" x14ac:dyDescent="0.3">
      <c r="A516" s="1">
        <f t="shared" si="3"/>
        <v>44239</v>
      </c>
      <c r="B516" s="20">
        <v>11395.027624309394</v>
      </c>
      <c r="C516" s="20">
        <f t="shared" si="4"/>
        <v>47876.005885178907</v>
      </c>
      <c r="D516" s="21" t="str">
        <f t="shared" si="0"/>
        <v>210212</v>
      </c>
      <c r="E516" s="22">
        <f t="shared" si="5"/>
        <v>2.458612</v>
      </c>
      <c r="F516" s="9">
        <v>0</v>
      </c>
      <c r="G516" s="14">
        <f t="shared" si="1"/>
        <v>100.00055011995215</v>
      </c>
      <c r="H516" s="24">
        <f t="shared" si="6"/>
        <v>-775.74880047848183</v>
      </c>
      <c r="I516" s="20">
        <f t="shared" si="2"/>
        <v>47100.257084700424</v>
      </c>
      <c r="J516" s="17">
        <f t="shared" si="7"/>
        <v>4.7100257084700425</v>
      </c>
    </row>
    <row r="517" spans="1:11" ht="12" customHeight="1" x14ac:dyDescent="0.3">
      <c r="A517" s="1">
        <f t="shared" si="3"/>
        <v>44242</v>
      </c>
      <c r="B517" s="20">
        <v>11602.209944751381</v>
      </c>
      <c r="C517" s="20">
        <f t="shared" si="4"/>
        <v>48083.188205620892</v>
      </c>
      <c r="D517" s="21" t="str">
        <f t="shared" si="0"/>
        <v>210215</v>
      </c>
      <c r="E517" s="22">
        <f t="shared" si="5"/>
        <v>2.458612</v>
      </c>
      <c r="F517" s="9">
        <v>0</v>
      </c>
      <c r="G517" s="14">
        <f t="shared" si="1"/>
        <v>100.00042312634328</v>
      </c>
      <c r="H517" s="24">
        <f t="shared" si="6"/>
        <v>-777.01873656721432</v>
      </c>
      <c r="I517" s="20">
        <f t="shared" si="2"/>
        <v>47306.169469053675</v>
      </c>
      <c r="J517" s="17">
        <f t="shared" si="7"/>
        <v>4.7306169469053669</v>
      </c>
    </row>
    <row r="518" spans="1:11" ht="12" customHeight="1" x14ac:dyDescent="0.3">
      <c r="A518" s="1">
        <f t="shared" si="3"/>
        <v>44243</v>
      </c>
      <c r="B518" s="20">
        <v>11671.270718232045</v>
      </c>
      <c r="C518" s="20">
        <f t="shared" si="4"/>
        <v>48152.248979101554</v>
      </c>
      <c r="D518" s="21" t="str">
        <f t="shared" si="0"/>
        <v>210216</v>
      </c>
      <c r="E518" s="22">
        <f t="shared" si="5"/>
        <v>2.458612</v>
      </c>
      <c r="F518" s="9">
        <v>0</v>
      </c>
      <c r="G518" s="14">
        <f t="shared" si="1"/>
        <v>100.00038267923806</v>
      </c>
      <c r="H518" s="24">
        <f t="shared" si="6"/>
        <v>-777.42320761942096</v>
      </c>
      <c r="I518" s="20">
        <f t="shared" si="2"/>
        <v>47374.82577148213</v>
      </c>
      <c r="J518" s="17">
        <f t="shared" si="7"/>
        <v>4.7374825771482127</v>
      </c>
    </row>
    <row r="519" spans="1:11" ht="12" customHeight="1" x14ac:dyDescent="0.3">
      <c r="A519" s="1">
        <f t="shared" si="3"/>
        <v>44244</v>
      </c>
      <c r="B519" s="20">
        <v>11740.331491712706</v>
      </c>
      <c r="C519" s="20">
        <f t="shared" si="4"/>
        <v>48221.309752582216</v>
      </c>
      <c r="D519" s="21" t="str">
        <f t="shared" si="0"/>
        <v>210217</v>
      </c>
      <c r="E519" s="22">
        <f t="shared" si="5"/>
        <v>2.458612</v>
      </c>
      <c r="F519" s="9">
        <v>0</v>
      </c>
      <c r="G519" s="14">
        <f t="shared" si="1"/>
        <v>100.00034317450319</v>
      </c>
      <c r="H519" s="24">
        <f t="shared" si="6"/>
        <v>-777.81825496813894</v>
      </c>
      <c r="I519" s="20">
        <f t="shared" si="2"/>
        <v>47443.491497614079</v>
      </c>
      <c r="J519" s="17">
        <f t="shared" si="7"/>
        <v>4.7443491497614083</v>
      </c>
    </row>
    <row r="520" spans="1:11" ht="12" customHeight="1" x14ac:dyDescent="0.3">
      <c r="A520" s="1">
        <f t="shared" si="3"/>
        <v>44245</v>
      </c>
      <c r="B520" s="20">
        <v>11809.39226519337</v>
      </c>
      <c r="C520" s="20">
        <f t="shared" si="4"/>
        <v>48290.370526062878</v>
      </c>
      <c r="D520" s="21" t="str">
        <f t="shared" si="0"/>
        <v>210218</v>
      </c>
      <c r="E520" s="22">
        <f t="shared" si="5"/>
        <v>2.458612</v>
      </c>
      <c r="F520" s="9">
        <v>0</v>
      </c>
      <c r="G520" s="14">
        <f t="shared" si="1"/>
        <v>100.00030461233162</v>
      </c>
      <c r="H520" s="24">
        <f t="shared" si="6"/>
        <v>-778.20387668381841</v>
      </c>
      <c r="I520" s="20">
        <f t="shared" si="2"/>
        <v>47512.166649379062</v>
      </c>
      <c r="J520" s="17">
        <f t="shared" si="7"/>
        <v>4.751216664937906</v>
      </c>
    </row>
    <row r="521" spans="1:11" ht="12" customHeight="1" x14ac:dyDescent="0.3">
      <c r="A521" s="1">
        <f t="shared" si="3"/>
        <v>44246</v>
      </c>
      <c r="B521" s="20">
        <v>11878.453038674032</v>
      </c>
      <c r="C521" s="20">
        <f t="shared" si="4"/>
        <v>48359.431299543539</v>
      </c>
      <c r="D521" s="21" t="str">
        <f t="shared" si="0"/>
        <v>210219</v>
      </c>
      <c r="E521" s="22">
        <f t="shared" si="5"/>
        <v>2.458612</v>
      </c>
      <c r="F521" s="9">
        <v>0</v>
      </c>
      <c r="G521" s="14">
        <f t="shared" si="1"/>
        <v>100.00026699291635</v>
      </c>
      <c r="H521" s="24">
        <f t="shared" si="6"/>
        <v>-778.58007083648317</v>
      </c>
      <c r="I521" s="20">
        <f t="shared" si="2"/>
        <v>47580.851228707055</v>
      </c>
      <c r="J521" s="17">
        <f t="shared" si="7"/>
        <v>4.7580851228707051</v>
      </c>
    </row>
    <row r="522" spans="1:11" ht="12" customHeight="1" x14ac:dyDescent="0.3">
      <c r="A522" s="1">
        <f t="shared" si="3"/>
        <v>44249</v>
      </c>
      <c r="B522" s="20">
        <v>12085.635359116022</v>
      </c>
      <c r="C522" s="20">
        <f t="shared" si="4"/>
        <v>48566.613619985532</v>
      </c>
      <c r="D522" s="21" t="str">
        <f t="shared" si="0"/>
        <v>210222</v>
      </c>
      <c r="E522" s="22">
        <f t="shared" si="5"/>
        <v>2.458612</v>
      </c>
      <c r="F522" s="9">
        <v>0</v>
      </c>
      <c r="G522" s="14">
        <f t="shared" si="1"/>
        <v>100.00015979313929</v>
      </c>
      <c r="H522" s="24">
        <f t="shared" si="6"/>
        <v>-779.65206860710623</v>
      </c>
      <c r="I522" s="20">
        <f t="shared" si="2"/>
        <v>47786.961551378423</v>
      </c>
      <c r="J522" s="17">
        <f t="shared" si="7"/>
        <v>4.7786961551378422</v>
      </c>
    </row>
    <row r="523" spans="1:11" ht="12" customHeight="1" x14ac:dyDescent="0.3">
      <c r="A523" s="1">
        <f t="shared" si="3"/>
        <v>44250</v>
      </c>
      <c r="B523" s="20">
        <v>12154.696132596684</v>
      </c>
      <c r="C523" s="20">
        <f t="shared" si="4"/>
        <v>48635.674393466194</v>
      </c>
      <c r="D523" s="21" t="str">
        <f t="shared" si="0"/>
        <v>210223</v>
      </c>
      <c r="E523" s="22">
        <f t="shared" si="5"/>
        <v>2.458612</v>
      </c>
      <c r="F523" s="9">
        <v>0</v>
      </c>
      <c r="G523" s="14">
        <f t="shared" si="1"/>
        <v>100.00012594668043</v>
      </c>
      <c r="H523" s="24">
        <f t="shared" si="6"/>
        <v>-779.99053319572909</v>
      </c>
      <c r="I523" s="20">
        <f t="shared" si="2"/>
        <v>47855.683860270467</v>
      </c>
      <c r="J523" s="17">
        <f t="shared" si="7"/>
        <v>4.7855683860270473</v>
      </c>
    </row>
    <row r="524" spans="1:11" ht="12" customHeight="1" x14ac:dyDescent="0.3">
      <c r="A524" s="1">
        <f t="shared" si="3"/>
        <v>44251</v>
      </c>
      <c r="B524" s="20">
        <v>12223.756906077348</v>
      </c>
      <c r="C524" s="20">
        <f t="shared" si="4"/>
        <v>48704.735166946855</v>
      </c>
      <c r="D524" s="21" t="str">
        <f t="shared" si="0"/>
        <v>210224</v>
      </c>
      <c r="E524" s="22">
        <f t="shared" si="5"/>
        <v>2.458612</v>
      </c>
      <c r="F524" s="9">
        <v>0</v>
      </c>
      <c r="G524" s="14">
        <f t="shared" si="1"/>
        <v>100.00009304394369</v>
      </c>
      <c r="H524" s="24">
        <f t="shared" si="6"/>
        <v>-780.31956056307206</v>
      </c>
      <c r="I524" s="20">
        <f t="shared" si="2"/>
        <v>47924.41560638378</v>
      </c>
      <c r="J524" s="17">
        <f t="shared" si="7"/>
        <v>4.7924415606383786</v>
      </c>
    </row>
    <row r="525" spans="1:11" ht="12" customHeight="1" x14ac:dyDescent="0.3">
      <c r="A525" s="1">
        <f t="shared" si="3"/>
        <v>44252</v>
      </c>
      <c r="B525" s="20">
        <v>12292.817679558013</v>
      </c>
      <c r="C525" s="20">
        <f t="shared" si="4"/>
        <v>48773.795940427517</v>
      </c>
      <c r="D525" s="21" t="str">
        <f t="shared" si="0"/>
        <v>210225</v>
      </c>
      <c r="E525" s="22">
        <f t="shared" si="5"/>
        <v>2.458612</v>
      </c>
      <c r="F525" s="9">
        <v>0</v>
      </c>
      <c r="G525" s="14">
        <f t="shared" si="1"/>
        <v>100.00006108512245</v>
      </c>
      <c r="H525" s="24">
        <f t="shared" si="6"/>
        <v>-780.63914877546381</v>
      </c>
      <c r="I525" s="20">
        <f t="shared" si="2"/>
        <v>47993.156791652051</v>
      </c>
      <c r="J525" s="17">
        <f t="shared" si="7"/>
        <v>4.799315679165205</v>
      </c>
    </row>
    <row r="526" spans="1:11" ht="12" customHeight="1" x14ac:dyDescent="0.3">
      <c r="A526" s="1">
        <f t="shared" si="3"/>
        <v>44253</v>
      </c>
      <c r="B526" s="20">
        <v>12361.878453038675</v>
      </c>
      <c r="C526" s="20">
        <f t="shared" si="4"/>
        <v>48842.856713908179</v>
      </c>
      <c r="D526" s="21" t="str">
        <f t="shared" si="0"/>
        <v>210226</v>
      </c>
      <c r="E526" s="22">
        <f t="shared" si="5"/>
        <v>2.458612</v>
      </c>
      <c r="F526" s="9">
        <v>0</v>
      </c>
      <c r="G526" s="14">
        <f t="shared" si="1"/>
        <v>100.00003007041009</v>
      </c>
      <c r="H526" s="24">
        <f t="shared" si="6"/>
        <v>-780.94929589909157</v>
      </c>
      <c r="I526" s="20">
        <f t="shared" si="2"/>
        <v>48061.90741800909</v>
      </c>
      <c r="J526" s="17">
        <f t="shared" si="7"/>
        <v>4.8061907418009095</v>
      </c>
      <c r="K526" s="9">
        <f>WEEKDAY(A526)</f>
        <v>6</v>
      </c>
    </row>
    <row r="527" spans="1:11" ht="12" customHeight="1" x14ac:dyDescent="0.3">
      <c r="A527" s="1">
        <f t="shared" si="3"/>
        <v>44256</v>
      </c>
      <c r="B527" s="20">
        <v>0</v>
      </c>
      <c r="C527" s="20">
        <f t="shared" si="4"/>
        <v>48980.978260869502</v>
      </c>
      <c r="D527" s="21" t="str">
        <f t="shared" si="0"/>
        <v>210301</v>
      </c>
      <c r="E527" s="22">
        <f t="shared" si="5"/>
        <v>2.458612</v>
      </c>
      <c r="F527" s="9">
        <v>0</v>
      </c>
      <c r="G527" s="25">
        <v>100</v>
      </c>
      <c r="H527" s="24">
        <f t="shared" si="6"/>
        <v>-781.25</v>
      </c>
      <c r="I527" s="20">
        <f t="shared" si="2"/>
        <v>48199.728260869502</v>
      </c>
      <c r="J527" s="17">
        <f t="shared" si="7"/>
        <v>4.8199728260869508</v>
      </c>
    </row>
    <row r="528" spans="1:11" ht="12" customHeight="1" x14ac:dyDescent="0.25">
      <c r="A528" s="1"/>
      <c r="B528" s="3"/>
      <c r="C528" s="21"/>
      <c r="D528" s="3"/>
      <c r="E528" s="3"/>
      <c r="F528" s="3"/>
      <c r="G528" s="24"/>
      <c r="H528" s="20"/>
      <c r="I528" s="17"/>
    </row>
    <row r="529" spans="1:10" ht="12" customHeight="1" x14ac:dyDescent="0.25">
      <c r="A529" s="1"/>
      <c r="B529" s="3"/>
      <c r="C529" s="21"/>
      <c r="D529" s="3"/>
      <c r="E529" s="3"/>
      <c r="F529" s="3"/>
      <c r="G529" s="24"/>
      <c r="H529" s="20"/>
      <c r="I529" s="17"/>
    </row>
    <row r="530" spans="1:10" ht="12" customHeight="1" x14ac:dyDescent="0.25">
      <c r="A530" s="1"/>
      <c r="B530" s="14"/>
      <c r="C530" s="3"/>
      <c r="D530" s="21"/>
      <c r="E530" s="3"/>
      <c r="F530" s="3"/>
      <c r="G530" s="3"/>
      <c r="H530" s="24"/>
      <c r="I530" s="20"/>
      <c r="J530" s="17"/>
    </row>
    <row r="531" spans="1:10" ht="12" customHeight="1" x14ac:dyDescent="0.25">
      <c r="A531" s="1"/>
      <c r="B531" s="14"/>
      <c r="C531" s="3"/>
      <c r="D531" s="21"/>
      <c r="E531" s="3"/>
      <c r="F531" s="3"/>
      <c r="G531" s="3"/>
      <c r="H531" s="24"/>
      <c r="I531" s="20"/>
      <c r="J531" s="17"/>
    </row>
    <row r="532" spans="1:10" ht="12" customHeight="1" x14ac:dyDescent="0.25">
      <c r="A532" s="1"/>
      <c r="B532" s="14"/>
      <c r="C532" s="3"/>
      <c r="D532" s="21"/>
      <c r="E532" s="3"/>
      <c r="F532" s="3"/>
      <c r="G532" s="3"/>
      <c r="H532" s="24"/>
      <c r="I532" s="20"/>
      <c r="J532" s="17"/>
    </row>
    <row r="533" spans="1:10" ht="12" customHeight="1" x14ac:dyDescent="0.25">
      <c r="A533" s="1"/>
      <c r="B533" s="14"/>
      <c r="C533" s="3"/>
      <c r="D533" s="21"/>
      <c r="E533" s="3"/>
      <c r="F533" s="3"/>
      <c r="G533" s="3"/>
      <c r="H533" s="24"/>
      <c r="I533" s="20"/>
      <c r="J533" s="17"/>
    </row>
    <row r="534" spans="1:10" ht="12" customHeight="1" x14ac:dyDescent="0.25">
      <c r="A534" s="1"/>
      <c r="B534" s="14"/>
      <c r="C534" s="3"/>
      <c r="D534" s="21"/>
      <c r="E534" s="3"/>
      <c r="F534" s="3"/>
      <c r="G534" s="3"/>
      <c r="H534" s="24"/>
      <c r="I534" s="20"/>
      <c r="J534" s="17"/>
    </row>
    <row r="535" spans="1:10" ht="12" customHeight="1" x14ac:dyDescent="0.25">
      <c r="A535" s="1"/>
      <c r="B535" s="14"/>
      <c r="C535" s="3"/>
      <c r="D535" s="21"/>
      <c r="E535" s="3"/>
      <c r="F535" s="3"/>
      <c r="G535" s="3"/>
      <c r="H535" s="24"/>
      <c r="I535" s="20"/>
      <c r="J535" s="17"/>
    </row>
    <row r="536" spans="1:10" ht="12" customHeight="1" x14ac:dyDescent="0.25">
      <c r="A536" s="1"/>
      <c r="B536" s="14"/>
      <c r="C536" s="3"/>
      <c r="D536" s="21"/>
      <c r="E536" s="3"/>
      <c r="F536" s="3"/>
      <c r="G536" s="3"/>
      <c r="H536" s="24"/>
      <c r="I536" s="20"/>
      <c r="J536" s="17"/>
    </row>
    <row r="537" spans="1:10" ht="12" customHeight="1" x14ac:dyDescent="0.25">
      <c r="A537" s="1"/>
      <c r="B537" s="14"/>
      <c r="C537" s="3"/>
      <c r="D537" s="21"/>
      <c r="E537" s="3"/>
      <c r="F537" s="3"/>
      <c r="G537" s="3"/>
      <c r="H537" s="24"/>
      <c r="I537" s="20"/>
      <c r="J537" s="17"/>
    </row>
    <row r="538" spans="1:10" ht="12" customHeight="1" x14ac:dyDescent="0.25">
      <c r="A538" s="1"/>
      <c r="B538" s="14"/>
      <c r="C538" s="3"/>
      <c r="D538" s="21"/>
      <c r="E538" s="3"/>
      <c r="F538" s="3"/>
      <c r="G538" s="3"/>
      <c r="H538" s="24"/>
      <c r="I538" s="20"/>
      <c r="J538" s="17"/>
    </row>
    <row r="539" spans="1:10" ht="12" customHeight="1" x14ac:dyDescent="0.25">
      <c r="A539" s="1"/>
      <c r="B539" s="14"/>
      <c r="C539" s="3"/>
      <c r="D539" s="21"/>
      <c r="E539" s="3"/>
      <c r="F539" s="3"/>
      <c r="G539" s="3"/>
      <c r="H539" s="24"/>
      <c r="I539" s="20"/>
      <c r="J539" s="17"/>
    </row>
    <row r="540" spans="1:10" ht="12" customHeight="1" x14ac:dyDescent="0.25">
      <c r="A540" s="1"/>
      <c r="B540" s="14"/>
      <c r="C540" s="3"/>
      <c r="D540" s="21"/>
      <c r="E540" s="3"/>
      <c r="F540" s="3"/>
      <c r="G540" s="3"/>
      <c r="H540" s="24"/>
      <c r="I540" s="20"/>
      <c r="J540" s="17"/>
    </row>
    <row r="541" spans="1:10" ht="12" customHeight="1" x14ac:dyDescent="0.25">
      <c r="A541" s="1"/>
      <c r="B541" s="14"/>
      <c r="C541" s="3"/>
      <c r="D541" s="21"/>
      <c r="E541" s="3"/>
      <c r="F541" s="3"/>
      <c r="G541" s="3"/>
      <c r="H541" s="24"/>
      <c r="I541" s="20"/>
      <c r="J541" s="17"/>
    </row>
    <row r="542" spans="1:10" ht="12" customHeight="1" x14ac:dyDescent="0.25">
      <c r="A542" s="1"/>
      <c r="B542" s="14"/>
      <c r="C542" s="3"/>
      <c r="D542" s="21"/>
      <c r="E542" s="3"/>
      <c r="F542" s="3"/>
      <c r="G542" s="3"/>
      <c r="H542" s="24"/>
      <c r="I542" s="20"/>
      <c r="J542" s="17"/>
    </row>
    <row r="543" spans="1:10" ht="12" customHeight="1" x14ac:dyDescent="0.25">
      <c r="A543" s="1"/>
      <c r="B543" s="14"/>
      <c r="C543" s="3"/>
      <c r="D543" s="21"/>
      <c r="E543" s="3"/>
      <c r="F543" s="3"/>
      <c r="G543" s="3"/>
      <c r="H543" s="24"/>
      <c r="I543" s="20"/>
      <c r="J543" s="17"/>
    </row>
    <row r="544" spans="1:10" ht="12" customHeight="1" x14ac:dyDescent="0.25">
      <c r="A544" s="1"/>
      <c r="B544" s="14"/>
      <c r="C544" s="3"/>
      <c r="D544" s="21"/>
      <c r="E544" s="3"/>
      <c r="F544" s="3"/>
      <c r="G544" s="3"/>
      <c r="H544" s="24"/>
      <c r="I544" s="20"/>
      <c r="J544" s="17"/>
    </row>
    <row r="545" spans="1:10" ht="12" customHeight="1" x14ac:dyDescent="0.25">
      <c r="A545" s="1"/>
      <c r="B545" s="14"/>
      <c r="C545" s="3"/>
      <c r="D545" s="21"/>
      <c r="E545" s="3"/>
      <c r="F545" s="3"/>
      <c r="G545" s="3"/>
      <c r="H545" s="24"/>
      <c r="I545" s="20"/>
      <c r="J545" s="17"/>
    </row>
    <row r="546" spans="1:10" ht="12" customHeight="1" x14ac:dyDescent="0.25">
      <c r="A546" s="1"/>
      <c r="B546" s="14"/>
      <c r="C546" s="3"/>
      <c r="D546" s="21"/>
      <c r="E546" s="3"/>
      <c r="F546" s="3"/>
      <c r="G546" s="3"/>
      <c r="H546" s="24"/>
      <c r="I546" s="20"/>
      <c r="J546" s="17"/>
    </row>
    <row r="547" spans="1:10" ht="12" customHeight="1" x14ac:dyDescent="0.25">
      <c r="A547" s="1"/>
      <c r="B547" s="14"/>
      <c r="C547" s="3"/>
      <c r="D547" s="21"/>
      <c r="E547" s="3"/>
      <c r="F547" s="3"/>
      <c r="G547" s="3"/>
      <c r="H547" s="24"/>
      <c r="I547" s="20"/>
      <c r="J547" s="17"/>
    </row>
    <row r="548" spans="1:10" ht="12" customHeight="1" x14ac:dyDescent="0.25">
      <c r="A548" s="1"/>
      <c r="B548" s="14"/>
      <c r="C548" s="3"/>
      <c r="D548" s="21"/>
      <c r="E548" s="3"/>
      <c r="F548" s="3"/>
      <c r="G548" s="3"/>
      <c r="H548" s="24"/>
      <c r="I548" s="20"/>
      <c r="J548" s="17"/>
    </row>
    <row r="549" spans="1:10" ht="12" customHeight="1" x14ac:dyDescent="0.25">
      <c r="A549" s="1"/>
      <c r="B549" s="14"/>
      <c r="C549" s="3"/>
      <c r="D549" s="21"/>
      <c r="E549" s="3"/>
      <c r="F549" s="3"/>
      <c r="G549" s="3"/>
      <c r="H549" s="24"/>
      <c r="I549" s="20"/>
      <c r="J549" s="17"/>
    </row>
    <row r="550" spans="1:10" ht="12" customHeight="1" x14ac:dyDescent="0.25">
      <c r="A550" s="1"/>
      <c r="B550" s="14"/>
      <c r="C550" s="3"/>
      <c r="D550" s="21"/>
      <c r="E550" s="3"/>
      <c r="F550" s="3"/>
      <c r="G550" s="3"/>
      <c r="H550" s="24"/>
      <c r="I550" s="20"/>
      <c r="J550" s="17"/>
    </row>
    <row r="551" spans="1:10" ht="12" customHeight="1" x14ac:dyDescent="0.25">
      <c r="A551" s="1"/>
      <c r="B551" s="14"/>
      <c r="C551" s="3"/>
      <c r="D551" s="21"/>
      <c r="E551" s="3"/>
      <c r="F551" s="3"/>
      <c r="G551" s="3"/>
      <c r="H551" s="24"/>
      <c r="I551" s="20"/>
      <c r="J551" s="17"/>
    </row>
    <row r="552" spans="1:10" ht="12" customHeight="1" x14ac:dyDescent="0.25">
      <c r="A552" s="1"/>
      <c r="B552" s="14"/>
      <c r="C552" s="3"/>
      <c r="D552" s="21"/>
      <c r="E552" s="3"/>
      <c r="F552" s="3"/>
      <c r="G552" s="3"/>
      <c r="H552" s="24"/>
      <c r="I552" s="20"/>
      <c r="J552" s="17"/>
    </row>
    <row r="553" spans="1:10" ht="12" customHeight="1" x14ac:dyDescent="0.25">
      <c r="A553" s="1"/>
      <c r="B553" s="14"/>
      <c r="C553" s="3"/>
      <c r="D553" s="21"/>
      <c r="E553" s="3"/>
      <c r="F553" s="3"/>
      <c r="G553" s="3"/>
      <c r="H553" s="24"/>
      <c r="I553" s="20"/>
      <c r="J553" s="17"/>
    </row>
    <row r="554" spans="1:10" ht="12" customHeight="1" x14ac:dyDescent="0.25">
      <c r="A554" s="1"/>
      <c r="B554" s="14"/>
      <c r="C554" s="3"/>
      <c r="D554" s="21"/>
      <c r="E554" s="3"/>
      <c r="F554" s="3"/>
      <c r="G554" s="3"/>
      <c r="H554" s="24"/>
      <c r="I554" s="20"/>
      <c r="J554" s="17"/>
    </row>
    <row r="555" spans="1:10" ht="12" customHeight="1" x14ac:dyDescent="0.25">
      <c r="A555" s="1"/>
      <c r="B555" s="14"/>
      <c r="C555" s="3"/>
      <c r="D555" s="21"/>
      <c r="E555" s="3"/>
      <c r="F555" s="3"/>
      <c r="G555" s="3"/>
      <c r="H555" s="24"/>
      <c r="I555" s="20"/>
      <c r="J555" s="17"/>
    </row>
    <row r="556" spans="1:10" ht="12" customHeight="1" x14ac:dyDescent="0.25">
      <c r="A556" s="1"/>
      <c r="B556" s="14"/>
      <c r="C556" s="3"/>
      <c r="D556" s="21"/>
      <c r="E556" s="3"/>
      <c r="F556" s="3"/>
      <c r="G556" s="3"/>
      <c r="H556" s="24"/>
      <c r="I556" s="20"/>
      <c r="J556" s="17"/>
    </row>
    <row r="557" spans="1:10" ht="12" customHeight="1" x14ac:dyDescent="0.25">
      <c r="A557" s="1"/>
      <c r="B557" s="14"/>
      <c r="C557" s="3"/>
      <c r="D557" s="21"/>
      <c r="E557" s="3"/>
      <c r="F557" s="3"/>
      <c r="G557" s="3"/>
      <c r="H557" s="24"/>
      <c r="I557" s="20"/>
      <c r="J557" s="17"/>
    </row>
    <row r="558" spans="1:10" ht="12" customHeight="1" x14ac:dyDescent="0.25">
      <c r="A558" s="1"/>
      <c r="B558" s="14"/>
      <c r="C558" s="3"/>
      <c r="D558" s="21"/>
      <c r="E558" s="3"/>
      <c r="F558" s="3"/>
      <c r="G558" s="3"/>
      <c r="H558" s="24"/>
      <c r="I558" s="20"/>
      <c r="J558" s="17"/>
    </row>
    <row r="559" spans="1:10" ht="12" customHeight="1" x14ac:dyDescent="0.25">
      <c r="A559" s="1"/>
      <c r="B559" s="14"/>
      <c r="C559" s="3"/>
      <c r="D559" s="21"/>
      <c r="E559" s="3"/>
      <c r="F559" s="3"/>
      <c r="G559" s="3"/>
      <c r="H559" s="24"/>
      <c r="I559" s="20"/>
      <c r="J559" s="17"/>
    </row>
    <row r="560" spans="1:10" ht="12" customHeight="1" x14ac:dyDescent="0.25">
      <c r="A560" s="1"/>
      <c r="B560" s="14"/>
      <c r="C560" s="3"/>
      <c r="D560" s="21"/>
      <c r="E560" s="3"/>
      <c r="F560" s="3"/>
      <c r="G560" s="3"/>
      <c r="H560" s="24"/>
      <c r="I560" s="20"/>
      <c r="J560" s="17"/>
    </row>
    <row r="561" spans="1:10" ht="12" customHeight="1" x14ac:dyDescent="0.25">
      <c r="A561" s="1"/>
      <c r="B561" s="14"/>
      <c r="C561" s="3"/>
      <c r="D561" s="21"/>
      <c r="E561" s="3"/>
      <c r="F561" s="3"/>
      <c r="G561" s="3"/>
      <c r="H561" s="24"/>
      <c r="I561" s="20"/>
      <c r="J561" s="17"/>
    </row>
    <row r="562" spans="1:10" ht="12" customHeight="1" x14ac:dyDescent="0.25">
      <c r="A562" s="1"/>
      <c r="B562" s="14"/>
      <c r="C562" s="3"/>
      <c r="D562" s="21"/>
      <c r="E562" s="3"/>
      <c r="F562" s="3"/>
      <c r="G562" s="3"/>
      <c r="H562" s="24"/>
      <c r="I562" s="20"/>
      <c r="J562" s="17"/>
    </row>
    <row r="563" spans="1:10" ht="12" customHeight="1" x14ac:dyDescent="0.25">
      <c r="A563" s="1"/>
      <c r="B563" s="14"/>
      <c r="C563" s="3"/>
      <c r="D563" s="21"/>
      <c r="E563" s="3"/>
      <c r="F563" s="3"/>
      <c r="G563" s="3"/>
      <c r="H563" s="24"/>
      <c r="I563" s="20"/>
      <c r="J563" s="17"/>
    </row>
    <row r="564" spans="1:10" ht="12" customHeight="1" x14ac:dyDescent="0.25">
      <c r="A564" s="1"/>
      <c r="B564" s="14"/>
      <c r="C564" s="3"/>
      <c r="D564" s="21"/>
      <c r="E564" s="3"/>
      <c r="F564" s="3"/>
      <c r="G564" s="3"/>
      <c r="H564" s="24"/>
      <c r="I564" s="20"/>
      <c r="J564" s="17"/>
    </row>
    <row r="565" spans="1:10" ht="12" customHeight="1" x14ac:dyDescent="0.25">
      <c r="A565" s="1"/>
      <c r="B565" s="14"/>
      <c r="C565" s="3"/>
      <c r="D565" s="21"/>
      <c r="E565" s="3"/>
      <c r="F565" s="3"/>
      <c r="G565" s="3"/>
      <c r="H565" s="24"/>
      <c r="I565" s="20"/>
      <c r="J565" s="17"/>
    </row>
    <row r="566" spans="1:10" ht="12" customHeight="1" x14ac:dyDescent="0.25">
      <c r="A566" s="1"/>
      <c r="B566" s="14"/>
      <c r="C566" s="3"/>
      <c r="D566" s="21"/>
      <c r="E566" s="3"/>
      <c r="F566" s="3"/>
      <c r="G566" s="3"/>
      <c r="H566" s="24"/>
      <c r="I566" s="20"/>
      <c r="J566" s="17"/>
    </row>
    <row r="567" spans="1:10" ht="12" customHeight="1" x14ac:dyDescent="0.25">
      <c r="A567" s="1"/>
      <c r="B567" s="14"/>
      <c r="C567" s="3"/>
      <c r="D567" s="21"/>
      <c r="E567" s="3"/>
      <c r="F567" s="3"/>
      <c r="G567" s="3"/>
      <c r="H567" s="24"/>
      <c r="I567" s="20"/>
      <c r="J567" s="17"/>
    </row>
    <row r="568" spans="1:10" ht="12" customHeight="1" x14ac:dyDescent="0.25">
      <c r="A568" s="1"/>
      <c r="B568" s="14"/>
      <c r="C568" s="3"/>
      <c r="D568" s="21"/>
      <c r="E568" s="3"/>
      <c r="F568" s="3"/>
      <c r="G568" s="3"/>
      <c r="H568" s="24"/>
      <c r="I568" s="20"/>
      <c r="J568" s="17"/>
    </row>
    <row r="569" spans="1:10" ht="12" customHeight="1" x14ac:dyDescent="0.25">
      <c r="A569" s="1"/>
      <c r="B569" s="14"/>
      <c r="C569" s="3"/>
      <c r="D569" s="21"/>
      <c r="E569" s="3"/>
      <c r="F569" s="3"/>
      <c r="G569" s="3"/>
      <c r="H569" s="24"/>
      <c r="I569" s="20"/>
      <c r="J569" s="17"/>
    </row>
    <row r="570" spans="1:10" ht="12" customHeight="1" x14ac:dyDescent="0.25">
      <c r="A570" s="1"/>
      <c r="B570" s="14"/>
      <c r="C570" s="3"/>
      <c r="D570" s="21"/>
      <c r="E570" s="3"/>
      <c r="F570" s="3"/>
      <c r="G570" s="3"/>
      <c r="H570" s="24"/>
      <c r="I570" s="20"/>
      <c r="J570" s="17"/>
    </row>
    <row r="571" spans="1:10" ht="12" customHeight="1" x14ac:dyDescent="0.25">
      <c r="A571" s="1"/>
      <c r="B571" s="14"/>
      <c r="C571" s="3"/>
      <c r="D571" s="21"/>
      <c r="E571" s="3"/>
      <c r="F571" s="3"/>
      <c r="G571" s="3"/>
      <c r="H571" s="24"/>
      <c r="I571" s="20"/>
      <c r="J571" s="17"/>
    </row>
    <row r="572" spans="1:10" ht="12" customHeight="1" x14ac:dyDescent="0.25">
      <c r="A572" s="1"/>
      <c r="B572" s="14"/>
      <c r="C572" s="3"/>
      <c r="D572" s="21"/>
      <c r="E572" s="3"/>
      <c r="F572" s="3"/>
      <c r="G572" s="3"/>
      <c r="H572" s="24"/>
      <c r="I572" s="20"/>
      <c r="J572" s="17"/>
    </row>
    <row r="573" spans="1:10" ht="12" customHeight="1" x14ac:dyDescent="0.25">
      <c r="A573" s="1"/>
      <c r="B573" s="14"/>
      <c r="C573" s="3"/>
      <c r="D573" s="21"/>
      <c r="E573" s="3"/>
      <c r="F573" s="3"/>
      <c r="G573" s="3"/>
      <c r="H573" s="24"/>
      <c r="I573" s="20"/>
      <c r="J573" s="17"/>
    </row>
    <row r="574" spans="1:10" ht="12" customHeight="1" x14ac:dyDescent="0.25">
      <c r="A574" s="1"/>
      <c r="B574" s="14"/>
      <c r="C574" s="3"/>
      <c r="D574" s="21"/>
      <c r="E574" s="3"/>
      <c r="F574" s="3"/>
      <c r="G574" s="3"/>
      <c r="H574" s="24"/>
      <c r="I574" s="20"/>
      <c r="J574" s="17"/>
    </row>
    <row r="575" spans="1:10" ht="12" customHeight="1" x14ac:dyDescent="0.25">
      <c r="A575" s="1"/>
      <c r="B575" s="14"/>
      <c r="C575" s="3"/>
      <c r="D575" s="21"/>
      <c r="E575" s="3"/>
      <c r="F575" s="3"/>
      <c r="G575" s="3"/>
      <c r="H575" s="24"/>
      <c r="I575" s="20"/>
      <c r="J575" s="17"/>
    </row>
    <row r="576" spans="1:10" ht="12" customHeight="1" x14ac:dyDescent="0.25">
      <c r="A576" s="1"/>
      <c r="B576" s="14"/>
      <c r="C576" s="3"/>
      <c r="D576" s="21"/>
      <c r="E576" s="3"/>
      <c r="F576" s="3"/>
      <c r="G576" s="3"/>
      <c r="H576" s="24"/>
      <c r="I576" s="20"/>
      <c r="J576" s="17"/>
    </row>
    <row r="577" spans="1:10" ht="12" customHeight="1" x14ac:dyDescent="0.25">
      <c r="A577" s="1"/>
      <c r="B577" s="14"/>
      <c r="C577" s="3"/>
      <c r="D577" s="21"/>
      <c r="E577" s="3"/>
      <c r="F577" s="3"/>
      <c r="G577" s="3"/>
      <c r="H577" s="24"/>
      <c r="I577" s="20"/>
      <c r="J577" s="17"/>
    </row>
    <row r="578" spans="1:10" ht="12" customHeight="1" x14ac:dyDescent="0.25">
      <c r="A578" s="1"/>
      <c r="B578" s="14"/>
      <c r="C578" s="3"/>
      <c r="D578" s="21"/>
      <c r="E578" s="3"/>
      <c r="F578" s="3"/>
      <c r="G578" s="3"/>
      <c r="H578" s="24"/>
      <c r="I578" s="20"/>
      <c r="J578" s="17"/>
    </row>
    <row r="579" spans="1:10" ht="12" customHeight="1" x14ac:dyDescent="0.25">
      <c r="A579" s="1"/>
      <c r="B579" s="14"/>
      <c r="C579" s="3"/>
      <c r="D579" s="21"/>
      <c r="E579" s="3"/>
      <c r="F579" s="3"/>
      <c r="G579" s="3"/>
      <c r="H579" s="24"/>
      <c r="I579" s="20"/>
      <c r="J579" s="17"/>
    </row>
    <row r="580" spans="1:10" ht="12" customHeight="1" x14ac:dyDescent="0.25">
      <c r="A580" s="1"/>
      <c r="B580" s="14"/>
      <c r="C580" s="3"/>
      <c r="D580" s="21"/>
      <c r="E580" s="3"/>
      <c r="F580" s="3"/>
      <c r="G580" s="3"/>
      <c r="H580" s="24"/>
      <c r="I580" s="20"/>
      <c r="J580" s="17"/>
    </row>
    <row r="581" spans="1:10" ht="12" customHeight="1" x14ac:dyDescent="0.25">
      <c r="A581" s="1"/>
      <c r="B581" s="14"/>
      <c r="C581" s="3"/>
      <c r="D581" s="21"/>
      <c r="E581" s="3"/>
      <c r="F581" s="3"/>
      <c r="G581" s="3"/>
      <c r="H581" s="24"/>
      <c r="I581" s="20"/>
      <c r="J581" s="17"/>
    </row>
    <row r="582" spans="1:10" ht="12" customHeight="1" x14ac:dyDescent="0.25">
      <c r="A582" s="1"/>
      <c r="B582" s="14"/>
      <c r="C582" s="3"/>
      <c r="D582" s="21"/>
      <c r="E582" s="3"/>
      <c r="F582" s="3"/>
      <c r="G582" s="3"/>
      <c r="H582" s="24"/>
      <c r="I582" s="20"/>
      <c r="J582" s="17"/>
    </row>
    <row r="583" spans="1:10" ht="12" customHeight="1" x14ac:dyDescent="0.25">
      <c r="A583" s="1"/>
      <c r="B583" s="14"/>
      <c r="C583" s="3"/>
      <c r="D583" s="21"/>
      <c r="E583" s="3"/>
      <c r="F583" s="3"/>
      <c r="G583" s="3"/>
      <c r="H583" s="24"/>
      <c r="I583" s="20"/>
      <c r="J583" s="17"/>
    </row>
    <row r="584" spans="1:10" ht="12" customHeight="1" x14ac:dyDescent="0.25">
      <c r="A584" s="1"/>
      <c r="B584" s="14"/>
      <c r="C584" s="3"/>
      <c r="D584" s="21"/>
      <c r="E584" s="3"/>
      <c r="F584" s="3"/>
      <c r="G584" s="3"/>
      <c r="H584" s="24"/>
      <c r="I584" s="20"/>
      <c r="J584" s="17"/>
    </row>
    <row r="585" spans="1:10" ht="12" customHeight="1" x14ac:dyDescent="0.25">
      <c r="A585" s="1"/>
      <c r="B585" s="14"/>
      <c r="C585" s="3"/>
      <c r="D585" s="21"/>
      <c r="E585" s="3"/>
      <c r="F585" s="3"/>
      <c r="G585" s="3"/>
      <c r="H585" s="24"/>
      <c r="I585" s="20"/>
      <c r="J585" s="17"/>
    </row>
    <row r="586" spans="1:10" ht="12" customHeight="1" x14ac:dyDescent="0.25">
      <c r="A586" s="1"/>
      <c r="B586" s="14"/>
      <c r="C586" s="3"/>
      <c r="D586" s="21"/>
      <c r="E586" s="3"/>
      <c r="F586" s="3"/>
      <c r="G586" s="3"/>
      <c r="H586" s="24"/>
      <c r="I586" s="20"/>
      <c r="J586" s="17"/>
    </row>
    <row r="587" spans="1:10" ht="12" customHeight="1" x14ac:dyDescent="0.25">
      <c r="A587" s="1"/>
      <c r="B587" s="14"/>
      <c r="C587" s="3"/>
      <c r="D587" s="21"/>
      <c r="E587" s="3"/>
      <c r="F587" s="3"/>
      <c r="G587" s="3"/>
      <c r="H587" s="24"/>
      <c r="I587" s="20"/>
      <c r="J587" s="17"/>
    </row>
    <row r="588" spans="1:10" ht="12" customHeight="1" x14ac:dyDescent="0.25">
      <c r="A588" s="1"/>
      <c r="B588" s="14"/>
      <c r="C588" s="3"/>
      <c r="D588" s="21"/>
      <c r="E588" s="3"/>
      <c r="F588" s="3"/>
      <c r="G588" s="3"/>
      <c r="H588" s="24"/>
      <c r="I588" s="20"/>
      <c r="J588" s="17"/>
    </row>
    <row r="589" spans="1:10" ht="12" customHeight="1" x14ac:dyDescent="0.25">
      <c r="A589" s="1"/>
      <c r="B589" s="14"/>
      <c r="C589" s="3"/>
      <c r="D589" s="21"/>
      <c r="E589" s="3"/>
      <c r="F589" s="3"/>
      <c r="G589" s="3"/>
      <c r="H589" s="24"/>
      <c r="I589" s="20"/>
      <c r="J589" s="17"/>
    </row>
    <row r="590" spans="1:10" ht="12" customHeight="1" x14ac:dyDescent="0.25">
      <c r="A590" s="1"/>
      <c r="B590" s="14"/>
      <c r="C590" s="3"/>
      <c r="D590" s="21"/>
      <c r="E590" s="3"/>
      <c r="F590" s="3"/>
      <c r="G590" s="3"/>
      <c r="H590" s="24"/>
      <c r="I590" s="20"/>
      <c r="J590" s="17"/>
    </row>
    <row r="591" spans="1:10" ht="12" customHeight="1" x14ac:dyDescent="0.25">
      <c r="A591" s="1"/>
      <c r="B591" s="14"/>
      <c r="C591" s="3"/>
      <c r="D591" s="21"/>
      <c r="E591" s="3"/>
      <c r="F591" s="3"/>
      <c r="G591" s="3"/>
      <c r="H591" s="24"/>
      <c r="I591" s="20"/>
      <c r="J591" s="17"/>
    </row>
    <row r="592" spans="1:10" ht="12" customHeight="1" x14ac:dyDescent="0.25">
      <c r="A592" s="1"/>
      <c r="B592" s="14"/>
      <c r="C592" s="3"/>
      <c r="D592" s="21"/>
      <c r="E592" s="3"/>
      <c r="F592" s="3"/>
      <c r="G592" s="3"/>
      <c r="H592" s="24"/>
      <c r="I592" s="20"/>
      <c r="J592" s="17"/>
    </row>
    <row r="593" spans="1:10" ht="12" customHeight="1" x14ac:dyDescent="0.25">
      <c r="A593" s="1"/>
      <c r="B593" s="14"/>
      <c r="C593" s="3"/>
      <c r="D593" s="21"/>
      <c r="E593" s="3"/>
      <c r="F593" s="3"/>
      <c r="G593" s="3"/>
      <c r="H593" s="24"/>
      <c r="I593" s="20"/>
      <c r="J593" s="17"/>
    </row>
    <row r="594" spans="1:10" ht="12" customHeight="1" x14ac:dyDescent="0.25">
      <c r="A594" s="1"/>
      <c r="B594" s="14"/>
      <c r="C594" s="3"/>
      <c r="D594" s="21"/>
      <c r="E594" s="3"/>
      <c r="F594" s="3"/>
      <c r="G594" s="3"/>
      <c r="H594" s="24"/>
      <c r="I594" s="20"/>
      <c r="J594" s="17"/>
    </row>
    <row r="595" spans="1:10" ht="12" customHeight="1" x14ac:dyDescent="0.25">
      <c r="A595" s="1"/>
      <c r="B595" s="14"/>
      <c r="C595" s="3"/>
      <c r="D595" s="21"/>
      <c r="E595" s="3"/>
      <c r="F595" s="3"/>
      <c r="G595" s="3"/>
      <c r="H595" s="24"/>
      <c r="I595" s="20"/>
      <c r="J595" s="17"/>
    </row>
    <row r="596" spans="1:10" ht="12" customHeight="1" x14ac:dyDescent="0.25">
      <c r="A596" s="1"/>
      <c r="B596" s="14"/>
      <c r="C596" s="3"/>
      <c r="D596" s="21"/>
      <c r="E596" s="3"/>
      <c r="F596" s="3"/>
      <c r="G596" s="3"/>
      <c r="H596" s="24"/>
      <c r="I596" s="20"/>
      <c r="J596" s="17"/>
    </row>
    <row r="597" spans="1:10" ht="12" customHeight="1" x14ac:dyDescent="0.25">
      <c r="A597" s="1"/>
      <c r="B597" s="14"/>
      <c r="C597" s="3"/>
      <c r="D597" s="21"/>
      <c r="E597" s="3"/>
      <c r="F597" s="3"/>
      <c r="G597" s="3"/>
      <c r="H597" s="24"/>
      <c r="I597" s="20"/>
      <c r="J597" s="17"/>
    </row>
    <row r="598" spans="1:10" ht="12" customHeight="1" x14ac:dyDescent="0.25">
      <c r="A598" s="1"/>
      <c r="B598" s="14"/>
      <c r="C598" s="3"/>
      <c r="D598" s="21"/>
      <c r="E598" s="3"/>
      <c r="F598" s="3"/>
      <c r="G598" s="3"/>
      <c r="H598" s="24"/>
      <c r="I598" s="20"/>
      <c r="J598" s="17"/>
    </row>
    <row r="599" spans="1:10" ht="12" customHeight="1" x14ac:dyDescent="0.25">
      <c r="A599" s="1"/>
      <c r="B599" s="14"/>
      <c r="C599" s="3"/>
      <c r="D599" s="21"/>
      <c r="E599" s="3"/>
      <c r="F599" s="3"/>
      <c r="G599" s="3"/>
      <c r="H599" s="24"/>
      <c r="I599" s="20"/>
      <c r="J599" s="17"/>
    </row>
    <row r="600" spans="1:10" ht="12" customHeight="1" x14ac:dyDescent="0.25">
      <c r="A600" s="1"/>
      <c r="B600" s="14"/>
      <c r="C600" s="3"/>
      <c r="D600" s="21"/>
      <c r="E600" s="3"/>
      <c r="F600" s="3"/>
      <c r="G600" s="3"/>
      <c r="H600" s="24"/>
      <c r="I600" s="20"/>
      <c r="J600" s="17"/>
    </row>
    <row r="601" spans="1:10" ht="12" customHeight="1" x14ac:dyDescent="0.25">
      <c r="A601" s="1"/>
      <c r="B601" s="14"/>
      <c r="C601" s="3"/>
      <c r="D601" s="21"/>
      <c r="E601" s="3"/>
      <c r="F601" s="3"/>
      <c r="G601" s="3"/>
      <c r="H601" s="24"/>
      <c r="I601" s="20"/>
      <c r="J601" s="17"/>
    </row>
    <row r="602" spans="1:10" ht="12" customHeight="1" x14ac:dyDescent="0.25">
      <c r="A602" s="1"/>
      <c r="B602" s="14"/>
      <c r="C602" s="3"/>
      <c r="D602" s="21"/>
      <c r="E602" s="3"/>
      <c r="F602" s="3"/>
      <c r="G602" s="3"/>
      <c r="H602" s="24"/>
      <c r="I602" s="20"/>
      <c r="J602" s="17"/>
    </row>
    <row r="603" spans="1:10" ht="12" customHeight="1" x14ac:dyDescent="0.25">
      <c r="A603" s="1"/>
      <c r="B603" s="14"/>
      <c r="C603" s="3"/>
      <c r="D603" s="21"/>
      <c r="E603" s="3"/>
      <c r="F603" s="3"/>
      <c r="G603" s="3"/>
      <c r="H603" s="24"/>
      <c r="I603" s="20"/>
      <c r="J603" s="17"/>
    </row>
    <row r="604" spans="1:10" ht="12" customHeight="1" x14ac:dyDescent="0.25">
      <c r="A604" s="1"/>
      <c r="B604" s="14"/>
      <c r="C604" s="3"/>
      <c r="D604" s="21"/>
      <c r="E604" s="3"/>
      <c r="F604" s="3"/>
      <c r="G604" s="3"/>
      <c r="H604" s="24"/>
      <c r="I604" s="20"/>
      <c r="J604" s="17"/>
    </row>
    <row r="605" spans="1:10" ht="12" customHeight="1" x14ac:dyDescent="0.25">
      <c r="A605" s="1"/>
      <c r="B605" s="14"/>
      <c r="C605" s="3"/>
      <c r="D605" s="21"/>
      <c r="E605" s="3"/>
      <c r="F605" s="3"/>
      <c r="G605" s="3"/>
      <c r="H605" s="24"/>
      <c r="I605" s="20"/>
      <c r="J605" s="17"/>
    </row>
    <row r="606" spans="1:10" ht="12" customHeight="1" x14ac:dyDescent="0.25">
      <c r="A606" s="1"/>
      <c r="B606" s="14"/>
      <c r="C606" s="3"/>
      <c r="D606" s="21"/>
      <c r="E606" s="3"/>
      <c r="F606" s="3"/>
      <c r="G606" s="3"/>
      <c r="H606" s="24"/>
      <c r="I606" s="20"/>
      <c r="J606" s="17"/>
    </row>
    <row r="607" spans="1:10" ht="12" customHeight="1" x14ac:dyDescent="0.25">
      <c r="A607" s="1"/>
      <c r="B607" s="14"/>
      <c r="C607" s="3"/>
      <c r="D607" s="21"/>
      <c r="E607" s="3"/>
      <c r="F607" s="3"/>
      <c r="G607" s="3"/>
      <c r="H607" s="24"/>
      <c r="I607" s="20"/>
      <c r="J607" s="17"/>
    </row>
    <row r="608" spans="1:10" ht="12" customHeight="1" x14ac:dyDescent="0.25">
      <c r="A608" s="1"/>
      <c r="B608" s="14"/>
      <c r="C608" s="3"/>
      <c r="D608" s="21"/>
      <c r="E608" s="3"/>
      <c r="F608" s="3"/>
      <c r="G608" s="3"/>
      <c r="H608" s="24"/>
      <c r="I608" s="20"/>
      <c r="J608" s="17"/>
    </row>
    <row r="609" spans="1:10" ht="12" customHeight="1" x14ac:dyDescent="0.25">
      <c r="A609" s="1"/>
      <c r="B609" s="14"/>
      <c r="C609" s="3"/>
      <c r="D609" s="21"/>
      <c r="E609" s="3"/>
      <c r="F609" s="3"/>
      <c r="G609" s="3"/>
      <c r="H609" s="24"/>
      <c r="I609" s="20"/>
      <c r="J609" s="17"/>
    </row>
    <row r="610" spans="1:10" ht="12" customHeight="1" x14ac:dyDescent="0.25">
      <c r="A610" s="1"/>
      <c r="B610" s="14"/>
      <c r="C610" s="3"/>
      <c r="D610" s="21"/>
      <c r="E610" s="3"/>
      <c r="F610" s="3"/>
      <c r="G610" s="3"/>
      <c r="H610" s="24"/>
      <c r="I610" s="20"/>
      <c r="J610" s="17"/>
    </row>
    <row r="611" spans="1:10" ht="12" customHeight="1" x14ac:dyDescent="0.25">
      <c r="A611" s="1"/>
      <c r="B611" s="14"/>
      <c r="C611" s="3"/>
      <c r="D611" s="21"/>
      <c r="E611" s="3"/>
      <c r="F611" s="3"/>
      <c r="G611" s="3"/>
      <c r="H611" s="24"/>
      <c r="I611" s="20"/>
      <c r="J611" s="17"/>
    </row>
    <row r="612" spans="1:10" ht="12" customHeight="1" x14ac:dyDescent="0.25">
      <c r="A612" s="1"/>
      <c r="B612" s="14"/>
      <c r="C612" s="3"/>
      <c r="D612" s="21"/>
      <c r="E612" s="3"/>
      <c r="F612" s="3"/>
      <c r="G612" s="3"/>
      <c r="H612" s="24"/>
      <c r="I612" s="20"/>
      <c r="J612" s="17"/>
    </row>
    <row r="613" spans="1:10" ht="12" customHeight="1" x14ac:dyDescent="0.25">
      <c r="A613" s="1"/>
      <c r="B613" s="14"/>
      <c r="C613" s="3"/>
      <c r="D613" s="21"/>
      <c r="E613" s="3"/>
      <c r="F613" s="3"/>
      <c r="G613" s="3"/>
      <c r="H613" s="24"/>
      <c r="I613" s="20"/>
      <c r="J613" s="17"/>
    </row>
    <row r="614" spans="1:10" ht="12" customHeight="1" x14ac:dyDescent="0.25">
      <c r="A614" s="1"/>
      <c r="B614" s="14"/>
      <c r="C614" s="3"/>
      <c r="D614" s="21"/>
      <c r="E614" s="3"/>
      <c r="F614" s="3"/>
      <c r="G614" s="3"/>
      <c r="H614" s="24"/>
      <c r="I614" s="20"/>
      <c r="J614" s="17"/>
    </row>
    <row r="615" spans="1:10" ht="12" customHeight="1" x14ac:dyDescent="0.25">
      <c r="A615" s="1"/>
      <c r="B615" s="14"/>
      <c r="C615" s="3"/>
      <c r="D615" s="21"/>
      <c r="E615" s="3"/>
      <c r="F615" s="3"/>
      <c r="G615" s="3"/>
      <c r="H615" s="24"/>
      <c r="I615" s="20"/>
      <c r="J615" s="17"/>
    </row>
    <row r="616" spans="1:10" ht="12" customHeight="1" x14ac:dyDescent="0.25">
      <c r="A616" s="1"/>
      <c r="B616" s="14"/>
      <c r="C616" s="3"/>
      <c r="D616" s="21"/>
      <c r="E616" s="3"/>
      <c r="F616" s="3"/>
      <c r="G616" s="3"/>
      <c r="H616" s="24"/>
      <c r="I616" s="20"/>
      <c r="J616" s="17"/>
    </row>
    <row r="617" spans="1:10" ht="12" customHeight="1" x14ac:dyDescent="0.25">
      <c r="A617" s="1"/>
      <c r="B617" s="14"/>
      <c r="C617" s="3"/>
      <c r="D617" s="21"/>
      <c r="E617" s="3"/>
      <c r="F617" s="3"/>
      <c r="G617" s="3"/>
      <c r="H617" s="24"/>
      <c r="I617" s="20"/>
      <c r="J617" s="17"/>
    </row>
    <row r="618" spans="1:10" ht="12" customHeight="1" x14ac:dyDescent="0.25">
      <c r="A618" s="1"/>
      <c r="B618" s="14"/>
      <c r="C618" s="3"/>
      <c r="D618" s="21"/>
      <c r="E618" s="3"/>
      <c r="F618" s="3"/>
      <c r="G618" s="3"/>
      <c r="H618" s="24"/>
      <c r="I618" s="20"/>
      <c r="J618" s="17"/>
    </row>
    <row r="619" spans="1:10" ht="12" customHeight="1" x14ac:dyDescent="0.25">
      <c r="A619" s="1"/>
      <c r="B619" s="14"/>
      <c r="C619" s="3"/>
      <c r="D619" s="21"/>
      <c r="E619" s="3"/>
      <c r="F619" s="3"/>
      <c r="G619" s="3"/>
      <c r="H619" s="24"/>
      <c r="I619" s="20"/>
      <c r="J619" s="17"/>
    </row>
    <row r="620" spans="1:10" ht="12" customHeight="1" x14ac:dyDescent="0.25">
      <c r="A620" s="1"/>
      <c r="B620" s="14"/>
      <c r="C620" s="3"/>
      <c r="D620" s="21"/>
      <c r="E620" s="3"/>
      <c r="F620" s="3"/>
      <c r="G620" s="3"/>
      <c r="H620" s="24"/>
      <c r="I620" s="20"/>
      <c r="J620" s="17"/>
    </row>
    <row r="621" spans="1:10" ht="12" customHeight="1" x14ac:dyDescent="0.25">
      <c r="A621" s="1"/>
      <c r="B621" s="14"/>
      <c r="C621" s="3"/>
      <c r="D621" s="21"/>
      <c r="E621" s="3"/>
      <c r="F621" s="3"/>
      <c r="G621" s="3"/>
      <c r="H621" s="24"/>
      <c r="I621" s="20"/>
      <c r="J621" s="17"/>
    </row>
    <row r="622" spans="1:10" ht="12" customHeight="1" x14ac:dyDescent="0.25">
      <c r="A622" s="1"/>
      <c r="B622" s="14"/>
      <c r="C622" s="3"/>
      <c r="D622" s="21"/>
      <c r="E622" s="3"/>
      <c r="F622" s="3"/>
      <c r="G622" s="3"/>
      <c r="H622" s="24"/>
      <c r="I622" s="20"/>
      <c r="J622" s="17"/>
    </row>
    <row r="623" spans="1:10" ht="12" customHeight="1" x14ac:dyDescent="0.25">
      <c r="A623" s="1"/>
      <c r="B623" s="14"/>
      <c r="C623" s="3"/>
      <c r="D623" s="21"/>
      <c r="E623" s="3"/>
      <c r="F623" s="3"/>
      <c r="G623" s="3"/>
      <c r="H623" s="24"/>
      <c r="I623" s="20"/>
      <c r="J623" s="17"/>
    </row>
    <row r="624" spans="1:10" ht="12" customHeight="1" x14ac:dyDescent="0.25">
      <c r="A624" s="1"/>
      <c r="B624" s="14"/>
      <c r="C624" s="3"/>
      <c r="D624" s="21"/>
      <c r="E624" s="3"/>
      <c r="F624" s="3"/>
      <c r="G624" s="3"/>
      <c r="H624" s="24"/>
      <c r="I624" s="20"/>
      <c r="J624" s="17"/>
    </row>
    <row r="625" spans="1:10" ht="12" customHeight="1" x14ac:dyDescent="0.25">
      <c r="A625" s="1"/>
      <c r="B625" s="14"/>
      <c r="C625" s="3"/>
      <c r="D625" s="21"/>
      <c r="E625" s="3"/>
      <c r="F625" s="3"/>
      <c r="G625" s="3"/>
      <c r="H625" s="24"/>
      <c r="I625" s="20"/>
      <c r="J625" s="17"/>
    </row>
    <row r="626" spans="1:10" ht="12" customHeight="1" x14ac:dyDescent="0.25">
      <c r="A626" s="1"/>
      <c r="B626" s="14"/>
      <c r="C626" s="3"/>
      <c r="D626" s="21"/>
      <c r="E626" s="3"/>
      <c r="F626" s="3"/>
      <c r="G626" s="3"/>
      <c r="H626" s="24"/>
      <c r="I626" s="20"/>
      <c r="J626" s="17"/>
    </row>
    <row r="627" spans="1:10" ht="12" customHeight="1" x14ac:dyDescent="0.25">
      <c r="A627" s="1"/>
      <c r="B627" s="14"/>
      <c r="C627" s="3"/>
      <c r="D627" s="21"/>
      <c r="E627" s="3"/>
      <c r="F627" s="3"/>
      <c r="G627" s="3"/>
      <c r="H627" s="24"/>
      <c r="I627" s="20"/>
      <c r="J627" s="17"/>
    </row>
    <row r="628" spans="1:10" ht="12" customHeight="1" x14ac:dyDescent="0.25">
      <c r="A628" s="1"/>
      <c r="B628" s="14"/>
      <c r="C628" s="3"/>
      <c r="D628" s="21"/>
      <c r="E628" s="3"/>
      <c r="F628" s="3"/>
      <c r="G628" s="3"/>
      <c r="H628" s="24"/>
      <c r="I628" s="20"/>
      <c r="J628" s="17"/>
    </row>
    <row r="629" spans="1:10" ht="12" customHeight="1" x14ac:dyDescent="0.25">
      <c r="A629" s="1"/>
      <c r="B629" s="14"/>
      <c r="C629" s="3"/>
      <c r="D629" s="21"/>
      <c r="E629" s="3"/>
      <c r="F629" s="3"/>
      <c r="G629" s="3"/>
      <c r="H629" s="24"/>
      <c r="I629" s="20"/>
      <c r="J629" s="17"/>
    </row>
    <row r="630" spans="1:10" ht="12" customHeight="1" x14ac:dyDescent="0.25">
      <c r="A630" s="1"/>
      <c r="B630" s="14"/>
      <c r="C630" s="3"/>
      <c r="D630" s="21"/>
      <c r="E630" s="3"/>
      <c r="F630" s="3"/>
      <c r="G630" s="3"/>
      <c r="H630" s="24"/>
      <c r="I630" s="20"/>
      <c r="J630" s="17"/>
    </row>
    <row r="631" spans="1:10" ht="12" customHeight="1" x14ac:dyDescent="0.25">
      <c r="A631" s="1"/>
      <c r="B631" s="14"/>
      <c r="C631" s="3"/>
      <c r="D631" s="21"/>
      <c r="E631" s="3"/>
      <c r="F631" s="3"/>
      <c r="G631" s="3"/>
      <c r="H631" s="24"/>
      <c r="I631" s="20"/>
      <c r="J631" s="17"/>
    </row>
    <row r="632" spans="1:10" ht="12" customHeight="1" x14ac:dyDescent="0.25">
      <c r="A632" s="1"/>
      <c r="B632" s="14"/>
      <c r="C632" s="3"/>
      <c r="D632" s="21"/>
      <c r="E632" s="3"/>
      <c r="F632" s="3"/>
      <c r="G632" s="3"/>
      <c r="H632" s="24"/>
      <c r="I632" s="20"/>
      <c r="J632" s="17"/>
    </row>
    <row r="633" spans="1:10" ht="12" customHeight="1" x14ac:dyDescent="0.25">
      <c r="A633" s="1"/>
      <c r="B633" s="14"/>
      <c r="C633" s="3"/>
      <c r="D633" s="21"/>
      <c r="E633" s="3"/>
      <c r="F633" s="3"/>
      <c r="G633" s="3"/>
      <c r="H633" s="24"/>
      <c r="I633" s="20"/>
      <c r="J633" s="17"/>
    </row>
    <row r="634" spans="1:10" ht="12" customHeight="1" x14ac:dyDescent="0.25">
      <c r="A634" s="1"/>
      <c r="B634" s="14"/>
      <c r="C634" s="3"/>
      <c r="D634" s="21"/>
      <c r="E634" s="3"/>
      <c r="F634" s="3"/>
      <c r="G634" s="3"/>
      <c r="H634" s="24"/>
      <c r="I634" s="20"/>
      <c r="J634" s="17"/>
    </row>
    <row r="635" spans="1:10" ht="12" customHeight="1" x14ac:dyDescent="0.25">
      <c r="A635" s="1"/>
      <c r="B635" s="14"/>
      <c r="C635" s="3"/>
      <c r="D635" s="21"/>
      <c r="E635" s="3"/>
      <c r="F635" s="3"/>
      <c r="G635" s="3"/>
      <c r="H635" s="24"/>
      <c r="I635" s="20"/>
      <c r="J635" s="17"/>
    </row>
    <row r="636" spans="1:10" ht="12" customHeight="1" x14ac:dyDescent="0.25">
      <c r="A636" s="1"/>
      <c r="B636" s="14"/>
      <c r="C636" s="3"/>
      <c r="D636" s="21"/>
      <c r="E636" s="3"/>
      <c r="F636" s="3"/>
      <c r="G636" s="3"/>
      <c r="H636" s="24"/>
      <c r="I636" s="20"/>
      <c r="J636" s="17"/>
    </row>
    <row r="637" spans="1:10" ht="12" customHeight="1" x14ac:dyDescent="0.25">
      <c r="A637" s="1"/>
      <c r="B637" s="14"/>
      <c r="C637" s="3"/>
      <c r="D637" s="21"/>
      <c r="E637" s="3"/>
      <c r="F637" s="3"/>
      <c r="G637" s="3"/>
      <c r="H637" s="24"/>
      <c r="I637" s="20"/>
      <c r="J637" s="17"/>
    </row>
    <row r="638" spans="1:10" ht="12" customHeight="1" x14ac:dyDescent="0.25">
      <c r="A638" s="1"/>
      <c r="B638" s="14"/>
      <c r="C638" s="3"/>
      <c r="D638" s="21"/>
      <c r="E638" s="3"/>
      <c r="F638" s="3"/>
      <c r="G638" s="3"/>
      <c r="H638" s="24"/>
      <c r="I638" s="20"/>
      <c r="J638" s="17"/>
    </row>
    <row r="639" spans="1:10" ht="12" customHeight="1" x14ac:dyDescent="0.25">
      <c r="A639" s="1"/>
      <c r="B639" s="14"/>
      <c r="C639" s="3"/>
      <c r="D639" s="21"/>
      <c r="E639" s="3"/>
      <c r="F639" s="3"/>
      <c r="G639" s="3"/>
      <c r="H639" s="24"/>
      <c r="I639" s="20"/>
      <c r="J639" s="17"/>
    </row>
    <row r="640" spans="1:10" ht="12" customHeight="1" x14ac:dyDescent="0.25">
      <c r="A640" s="1"/>
      <c r="B640" s="14"/>
      <c r="C640" s="3"/>
      <c r="D640" s="21"/>
      <c r="E640" s="3"/>
      <c r="F640" s="3"/>
      <c r="G640" s="3"/>
      <c r="H640" s="24"/>
      <c r="I640" s="20"/>
      <c r="J640" s="17"/>
    </row>
    <row r="641" spans="1:10" ht="12" customHeight="1" x14ac:dyDescent="0.25">
      <c r="A641" s="1"/>
      <c r="B641" s="14"/>
      <c r="C641" s="3"/>
      <c r="D641" s="21"/>
      <c r="E641" s="3"/>
      <c r="F641" s="3"/>
      <c r="G641" s="3"/>
      <c r="H641" s="24"/>
      <c r="I641" s="20"/>
      <c r="J641" s="17"/>
    </row>
    <row r="642" spans="1:10" ht="12" customHeight="1" x14ac:dyDescent="0.25">
      <c r="A642" s="1"/>
      <c r="B642" s="14"/>
      <c r="C642" s="3"/>
      <c r="D642" s="21"/>
      <c r="E642" s="3"/>
      <c r="F642" s="3"/>
      <c r="G642" s="3"/>
      <c r="H642" s="24"/>
      <c r="I642" s="20"/>
      <c r="J642" s="17"/>
    </row>
    <row r="643" spans="1:10" ht="12" customHeight="1" x14ac:dyDescent="0.25">
      <c r="A643" s="1"/>
      <c r="B643" s="14"/>
      <c r="C643" s="3"/>
      <c r="D643" s="21"/>
      <c r="E643" s="3"/>
      <c r="F643" s="3"/>
      <c r="G643" s="3"/>
      <c r="H643" s="24"/>
      <c r="I643" s="20"/>
      <c r="J643" s="17"/>
    </row>
    <row r="644" spans="1:10" ht="12" customHeight="1" x14ac:dyDescent="0.25">
      <c r="A644" s="1"/>
      <c r="B644" s="14"/>
      <c r="C644" s="3"/>
      <c r="D644" s="21"/>
      <c r="E644" s="3"/>
      <c r="F644" s="3"/>
      <c r="G644" s="3"/>
      <c r="H644" s="24"/>
      <c r="I644" s="20"/>
      <c r="J644" s="17"/>
    </row>
    <row r="645" spans="1:10" ht="12" customHeight="1" x14ac:dyDescent="0.25">
      <c r="A645" s="1"/>
      <c r="B645" s="14"/>
      <c r="C645" s="3"/>
      <c r="D645" s="21"/>
      <c r="E645" s="3"/>
      <c r="F645" s="3"/>
      <c r="G645" s="3"/>
      <c r="H645" s="24"/>
      <c r="I645" s="20"/>
      <c r="J645" s="17"/>
    </row>
    <row r="646" spans="1:10" ht="12" customHeight="1" x14ac:dyDescent="0.25">
      <c r="A646" s="1"/>
      <c r="B646" s="14"/>
      <c r="C646" s="3"/>
      <c r="D646" s="21"/>
      <c r="E646" s="3"/>
      <c r="F646" s="3"/>
      <c r="G646" s="3"/>
      <c r="H646" s="24"/>
      <c r="I646" s="20"/>
      <c r="J646" s="17"/>
    </row>
    <row r="647" spans="1:10" ht="12" customHeight="1" x14ac:dyDescent="0.25">
      <c r="A647" s="1"/>
      <c r="B647" s="14"/>
      <c r="C647" s="3"/>
      <c r="D647" s="21"/>
      <c r="E647" s="3"/>
      <c r="F647" s="3"/>
      <c r="G647" s="3"/>
      <c r="H647" s="24"/>
      <c r="I647" s="20"/>
      <c r="J647" s="17"/>
    </row>
    <row r="648" spans="1:10" ht="12" customHeight="1" x14ac:dyDescent="0.25">
      <c r="A648" s="1"/>
      <c r="B648" s="14"/>
      <c r="C648" s="3"/>
      <c r="D648" s="21"/>
      <c r="E648" s="3"/>
      <c r="F648" s="3"/>
      <c r="G648" s="3"/>
      <c r="H648" s="24"/>
      <c r="I648" s="20"/>
      <c r="J648" s="17"/>
    </row>
    <row r="649" spans="1:10" ht="12" customHeight="1" x14ac:dyDescent="0.25">
      <c r="A649" s="1"/>
      <c r="B649" s="14"/>
      <c r="C649" s="3"/>
      <c r="D649" s="21"/>
      <c r="E649" s="3"/>
      <c r="F649" s="3"/>
      <c r="G649" s="3"/>
      <c r="H649" s="24"/>
      <c r="I649" s="20"/>
      <c r="J649" s="17"/>
    </row>
    <row r="650" spans="1:10" ht="12" customHeight="1" x14ac:dyDescent="0.25">
      <c r="A650" s="1"/>
      <c r="B650" s="14"/>
      <c r="C650" s="3"/>
      <c r="D650" s="21"/>
      <c r="E650" s="3"/>
      <c r="F650" s="3"/>
      <c r="G650" s="3"/>
      <c r="H650" s="24"/>
      <c r="I650" s="20"/>
      <c r="J650" s="17"/>
    </row>
    <row r="651" spans="1:10" ht="12" customHeight="1" x14ac:dyDescent="0.25">
      <c r="A651" s="1"/>
      <c r="B651" s="14"/>
      <c r="C651" s="3"/>
      <c r="D651" s="21"/>
      <c r="E651" s="3"/>
      <c r="F651" s="3"/>
      <c r="G651" s="3"/>
      <c r="H651" s="24"/>
      <c r="I651" s="20"/>
      <c r="J651" s="17"/>
    </row>
    <row r="652" spans="1:10" ht="12" customHeight="1" x14ac:dyDescent="0.25">
      <c r="A652" s="1"/>
      <c r="B652" s="14"/>
      <c r="C652" s="3"/>
      <c r="D652" s="21"/>
      <c r="E652" s="3"/>
      <c r="F652" s="3"/>
      <c r="G652" s="3"/>
      <c r="H652" s="24"/>
      <c r="I652" s="20"/>
      <c r="J652" s="17"/>
    </row>
    <row r="653" spans="1:10" ht="12" customHeight="1" x14ac:dyDescent="0.25">
      <c r="A653" s="1"/>
      <c r="B653" s="14"/>
      <c r="C653" s="3"/>
      <c r="D653" s="21"/>
      <c r="E653" s="3"/>
      <c r="F653" s="3"/>
      <c r="G653" s="3"/>
      <c r="H653" s="24"/>
      <c r="I653" s="20"/>
      <c r="J653" s="17"/>
    </row>
    <row r="654" spans="1:10" ht="12" customHeight="1" x14ac:dyDescent="0.25">
      <c r="A654" s="1"/>
      <c r="B654" s="14"/>
      <c r="C654" s="3"/>
      <c r="D654" s="21"/>
      <c r="E654" s="3"/>
      <c r="F654" s="3"/>
      <c r="G654" s="3"/>
      <c r="H654" s="24"/>
      <c r="I654" s="20"/>
      <c r="J654" s="17"/>
    </row>
    <row r="655" spans="1:10" ht="12" customHeight="1" x14ac:dyDescent="0.25">
      <c r="A655" s="1"/>
      <c r="B655" s="14"/>
      <c r="C655" s="3"/>
      <c r="D655" s="21"/>
      <c r="E655" s="3"/>
      <c r="F655" s="3"/>
      <c r="G655" s="3"/>
      <c r="H655" s="24"/>
      <c r="I655" s="20"/>
      <c r="J655" s="17"/>
    </row>
    <row r="656" spans="1:10" ht="12" customHeight="1" x14ac:dyDescent="0.25">
      <c r="A656" s="1"/>
      <c r="B656" s="14"/>
      <c r="C656" s="3"/>
      <c r="D656" s="21"/>
      <c r="E656" s="3"/>
      <c r="F656" s="3"/>
      <c r="G656" s="3"/>
      <c r="H656" s="24"/>
      <c r="I656" s="20"/>
      <c r="J656" s="17"/>
    </row>
    <row r="657" spans="1:10" ht="12" customHeight="1" x14ac:dyDescent="0.25">
      <c r="A657" s="1"/>
      <c r="B657" s="14"/>
      <c r="C657" s="3"/>
      <c r="D657" s="21"/>
      <c r="E657" s="3"/>
      <c r="F657" s="3"/>
      <c r="G657" s="3"/>
      <c r="H657" s="24"/>
      <c r="I657" s="20"/>
      <c r="J657" s="17"/>
    </row>
    <row r="658" spans="1:10" ht="12" customHeight="1" x14ac:dyDescent="0.25">
      <c r="A658" s="1"/>
      <c r="B658" s="14"/>
      <c r="C658" s="3"/>
      <c r="D658" s="21"/>
      <c r="E658" s="3"/>
      <c r="F658" s="3"/>
      <c r="G658" s="3"/>
      <c r="H658" s="24"/>
      <c r="I658" s="20"/>
      <c r="J658" s="17"/>
    </row>
    <row r="659" spans="1:10" ht="12" customHeight="1" x14ac:dyDescent="0.25">
      <c r="A659" s="1"/>
      <c r="B659" s="14"/>
      <c r="C659" s="3"/>
      <c r="D659" s="21"/>
      <c r="E659" s="3"/>
      <c r="F659" s="3"/>
      <c r="G659" s="3"/>
      <c r="H659" s="24"/>
      <c r="I659" s="20"/>
      <c r="J659" s="17"/>
    </row>
    <row r="660" spans="1:10" ht="12" customHeight="1" x14ac:dyDescent="0.25">
      <c r="A660" s="1"/>
      <c r="B660" s="14"/>
      <c r="C660" s="3"/>
      <c r="D660" s="21"/>
      <c r="E660" s="3"/>
      <c r="F660" s="3"/>
      <c r="G660" s="3"/>
      <c r="H660" s="24"/>
      <c r="I660" s="20"/>
      <c r="J660" s="17"/>
    </row>
    <row r="661" spans="1:10" ht="12" customHeight="1" x14ac:dyDescent="0.25">
      <c r="A661" s="1"/>
      <c r="B661" s="14"/>
      <c r="C661" s="3"/>
      <c r="D661" s="21"/>
      <c r="E661" s="3"/>
      <c r="F661" s="3"/>
      <c r="G661" s="3"/>
      <c r="H661" s="24"/>
      <c r="I661" s="20"/>
      <c r="J661" s="17"/>
    </row>
    <row r="662" spans="1:10" ht="12" customHeight="1" x14ac:dyDescent="0.25">
      <c r="A662" s="1"/>
      <c r="B662" s="14"/>
      <c r="C662" s="3"/>
      <c r="D662" s="21"/>
      <c r="E662" s="3"/>
      <c r="F662" s="3"/>
      <c r="G662" s="3"/>
      <c r="H662" s="24"/>
      <c r="I662" s="20"/>
      <c r="J662" s="17"/>
    </row>
    <row r="663" spans="1:10" ht="12" customHeight="1" x14ac:dyDescent="0.25">
      <c r="A663" s="1"/>
      <c r="B663" s="14"/>
      <c r="C663" s="3"/>
      <c r="D663" s="21"/>
      <c r="E663" s="3"/>
      <c r="F663" s="3"/>
      <c r="G663" s="3"/>
      <c r="H663" s="24"/>
      <c r="I663" s="20"/>
      <c r="J663" s="17"/>
    </row>
    <row r="664" spans="1:10" ht="12" customHeight="1" x14ac:dyDescent="0.25">
      <c r="A664" s="1"/>
      <c r="B664" s="14"/>
      <c r="C664" s="3"/>
      <c r="D664" s="21"/>
      <c r="E664" s="3"/>
      <c r="F664" s="3"/>
      <c r="G664" s="3"/>
      <c r="H664" s="24"/>
      <c r="I664" s="20"/>
      <c r="J664" s="17"/>
    </row>
    <row r="665" spans="1:10" ht="12" customHeight="1" x14ac:dyDescent="0.25">
      <c r="A665" s="1"/>
      <c r="B665" s="14"/>
      <c r="C665" s="3"/>
      <c r="D665" s="21"/>
      <c r="E665" s="3"/>
      <c r="F665" s="3"/>
      <c r="G665" s="3"/>
      <c r="H665" s="24"/>
      <c r="I665" s="20"/>
      <c r="J665" s="17"/>
    </row>
    <row r="666" spans="1:10" ht="12" customHeight="1" x14ac:dyDescent="0.25">
      <c r="A666" s="1"/>
      <c r="B666" s="14"/>
      <c r="C666" s="3"/>
      <c r="D666" s="21"/>
      <c r="E666" s="3"/>
      <c r="F666" s="3"/>
      <c r="G666" s="3"/>
      <c r="H666" s="24"/>
      <c r="I666" s="20"/>
      <c r="J666" s="17"/>
    </row>
    <row r="667" spans="1:10" ht="12" customHeight="1" x14ac:dyDescent="0.25">
      <c r="A667" s="1"/>
      <c r="B667" s="14"/>
      <c r="C667" s="3"/>
      <c r="D667" s="21"/>
      <c r="E667" s="3"/>
      <c r="F667" s="3"/>
      <c r="G667" s="3"/>
      <c r="H667" s="24"/>
      <c r="I667" s="20"/>
      <c r="J667" s="17"/>
    </row>
    <row r="668" spans="1:10" ht="12" customHeight="1" x14ac:dyDescent="0.25">
      <c r="A668" s="1"/>
      <c r="B668" s="14"/>
      <c r="C668" s="3"/>
      <c r="D668" s="21"/>
      <c r="E668" s="3"/>
      <c r="F668" s="3"/>
      <c r="G668" s="3"/>
      <c r="H668" s="24"/>
      <c r="I668" s="20"/>
      <c r="J668" s="17"/>
    </row>
    <row r="669" spans="1:10" ht="12" customHeight="1" x14ac:dyDescent="0.25">
      <c r="A669" s="1"/>
      <c r="B669" s="14"/>
      <c r="C669" s="3"/>
      <c r="D669" s="21"/>
      <c r="E669" s="3"/>
      <c r="F669" s="3"/>
      <c r="G669" s="3"/>
      <c r="H669" s="24"/>
      <c r="I669" s="20"/>
      <c r="J669" s="17"/>
    </row>
    <row r="670" spans="1:10" ht="12" customHeight="1" x14ac:dyDescent="0.25">
      <c r="A670" s="1"/>
      <c r="B670" s="14"/>
      <c r="C670" s="3"/>
      <c r="D670" s="21"/>
      <c r="E670" s="3"/>
      <c r="F670" s="3"/>
      <c r="G670" s="3"/>
      <c r="H670" s="24"/>
      <c r="I670" s="20"/>
      <c r="J670" s="17"/>
    </row>
    <row r="671" spans="1:10" ht="12" customHeight="1" x14ac:dyDescent="0.25">
      <c r="A671" s="1"/>
      <c r="B671" s="14"/>
      <c r="C671" s="3"/>
      <c r="D671" s="21"/>
      <c r="E671" s="3"/>
      <c r="F671" s="3"/>
      <c r="G671" s="3"/>
      <c r="H671" s="24"/>
      <c r="I671" s="20"/>
      <c r="J671" s="17"/>
    </row>
    <row r="672" spans="1:10" ht="12" customHeight="1" x14ac:dyDescent="0.25">
      <c r="A672" s="1"/>
      <c r="B672" s="14"/>
      <c r="C672" s="3"/>
      <c r="D672" s="21"/>
      <c r="E672" s="3"/>
      <c r="F672" s="3"/>
      <c r="G672" s="3"/>
      <c r="H672" s="24"/>
      <c r="I672" s="20"/>
      <c r="J672" s="17"/>
    </row>
    <row r="673" spans="1:10" ht="12" customHeight="1" x14ac:dyDescent="0.25">
      <c r="A673" s="1"/>
      <c r="B673" s="14"/>
      <c r="C673" s="3"/>
      <c r="D673" s="21"/>
      <c r="E673" s="3"/>
      <c r="F673" s="3"/>
      <c r="G673" s="3"/>
      <c r="H673" s="24"/>
      <c r="I673" s="20"/>
      <c r="J673" s="17"/>
    </row>
    <row r="674" spans="1:10" ht="12" customHeight="1" x14ac:dyDescent="0.25">
      <c r="A674" s="1"/>
      <c r="B674" s="14"/>
      <c r="C674" s="3"/>
      <c r="D674" s="21"/>
      <c r="E674" s="3"/>
      <c r="F674" s="3"/>
      <c r="G674" s="3"/>
      <c r="H674" s="24"/>
      <c r="I674" s="20"/>
      <c r="J674" s="17"/>
    </row>
    <row r="675" spans="1:10" ht="12" customHeight="1" x14ac:dyDescent="0.25">
      <c r="A675" s="1"/>
      <c r="B675" s="14"/>
      <c r="C675" s="3"/>
      <c r="D675" s="21"/>
      <c r="E675" s="3"/>
      <c r="F675" s="3"/>
      <c r="G675" s="3"/>
      <c r="H675" s="24"/>
      <c r="I675" s="20"/>
      <c r="J675" s="17"/>
    </row>
    <row r="676" spans="1:10" ht="12" customHeight="1" x14ac:dyDescent="0.25">
      <c r="A676" s="1"/>
      <c r="B676" s="14"/>
      <c r="C676" s="3"/>
      <c r="D676" s="21"/>
      <c r="E676" s="3"/>
      <c r="F676" s="3"/>
      <c r="G676" s="3"/>
      <c r="H676" s="24"/>
      <c r="I676" s="20"/>
      <c r="J676" s="17"/>
    </row>
    <row r="677" spans="1:10" ht="12" customHeight="1" x14ac:dyDescent="0.25">
      <c r="A677" s="1"/>
      <c r="B677" s="14"/>
      <c r="C677" s="3"/>
      <c r="D677" s="21"/>
      <c r="E677" s="3"/>
      <c r="F677" s="3"/>
      <c r="G677" s="3"/>
      <c r="H677" s="24"/>
      <c r="I677" s="20"/>
      <c r="J677" s="17"/>
    </row>
    <row r="678" spans="1:10" ht="12" customHeight="1" x14ac:dyDescent="0.25">
      <c r="A678" s="1"/>
      <c r="B678" s="14"/>
      <c r="C678" s="3"/>
      <c r="D678" s="21"/>
      <c r="E678" s="3"/>
      <c r="F678" s="3"/>
      <c r="G678" s="3"/>
      <c r="H678" s="24"/>
      <c r="I678" s="20"/>
      <c r="J678" s="17"/>
    </row>
    <row r="679" spans="1:10" ht="12" customHeight="1" x14ac:dyDescent="0.25">
      <c r="A679" s="1"/>
      <c r="B679" s="14"/>
      <c r="C679" s="3"/>
      <c r="D679" s="21"/>
      <c r="E679" s="3"/>
      <c r="F679" s="3"/>
      <c r="G679" s="3"/>
      <c r="H679" s="24"/>
      <c r="I679" s="20"/>
      <c r="J679" s="17"/>
    </row>
    <row r="680" spans="1:10" ht="12" customHeight="1" x14ac:dyDescent="0.25">
      <c r="A680" s="1"/>
      <c r="B680" s="14"/>
      <c r="C680" s="3"/>
      <c r="D680" s="21"/>
      <c r="E680" s="3"/>
      <c r="F680" s="3"/>
      <c r="G680" s="3"/>
      <c r="H680" s="24"/>
      <c r="I680" s="20"/>
      <c r="J680" s="17"/>
    </row>
    <row r="681" spans="1:10" ht="12" customHeight="1" x14ac:dyDescent="0.25">
      <c r="A681" s="1"/>
      <c r="B681" s="14"/>
      <c r="C681" s="3"/>
      <c r="D681" s="21"/>
      <c r="E681" s="3"/>
      <c r="F681" s="3"/>
      <c r="G681" s="3"/>
      <c r="H681" s="24"/>
      <c r="I681" s="20"/>
      <c r="J681" s="17"/>
    </row>
    <row r="682" spans="1:10" ht="12" customHeight="1" x14ac:dyDescent="0.25">
      <c r="A682" s="1"/>
      <c r="B682" s="14"/>
      <c r="C682" s="3"/>
      <c r="D682" s="21"/>
      <c r="E682" s="3"/>
      <c r="F682" s="3"/>
      <c r="G682" s="3"/>
      <c r="H682" s="24"/>
      <c r="I682" s="20"/>
      <c r="J682" s="17"/>
    </row>
    <row r="683" spans="1:10" ht="12" customHeight="1" x14ac:dyDescent="0.25">
      <c r="A683" s="1"/>
      <c r="B683" s="14"/>
      <c r="C683" s="3"/>
      <c r="D683" s="21"/>
      <c r="E683" s="3"/>
      <c r="F683" s="3"/>
      <c r="G683" s="3"/>
      <c r="H683" s="24"/>
      <c r="I683" s="20"/>
      <c r="J683" s="17"/>
    </row>
    <row r="684" spans="1:10" ht="12" customHeight="1" x14ac:dyDescent="0.25">
      <c r="A684" s="1"/>
      <c r="B684" s="14"/>
      <c r="C684" s="3"/>
      <c r="D684" s="21"/>
      <c r="E684" s="3"/>
      <c r="F684" s="3"/>
      <c r="G684" s="3"/>
      <c r="H684" s="24"/>
      <c r="I684" s="20"/>
      <c r="J684" s="17"/>
    </row>
    <row r="685" spans="1:10" ht="12" customHeight="1" x14ac:dyDescent="0.25">
      <c r="A685" s="1"/>
      <c r="B685" s="14"/>
      <c r="C685" s="3"/>
      <c r="D685" s="21"/>
      <c r="E685" s="3"/>
      <c r="F685" s="3"/>
      <c r="G685" s="3"/>
      <c r="H685" s="24"/>
      <c r="I685" s="20"/>
      <c r="J685" s="17"/>
    </row>
    <row r="686" spans="1:10" ht="12" customHeight="1" x14ac:dyDescent="0.25">
      <c r="A686" s="1"/>
      <c r="B686" s="14"/>
      <c r="C686" s="3"/>
      <c r="D686" s="21"/>
      <c r="E686" s="3"/>
      <c r="F686" s="3"/>
      <c r="G686" s="3"/>
      <c r="H686" s="24"/>
      <c r="I686" s="20"/>
      <c r="J686" s="17"/>
    </row>
    <row r="687" spans="1:10" ht="12" customHeight="1" x14ac:dyDescent="0.25">
      <c r="A687" s="1"/>
      <c r="B687" s="14"/>
      <c r="C687" s="3"/>
      <c r="D687" s="21"/>
      <c r="E687" s="3"/>
      <c r="F687" s="3"/>
      <c r="G687" s="3"/>
      <c r="H687" s="24"/>
      <c r="I687" s="20"/>
      <c r="J687" s="17"/>
    </row>
    <row r="688" spans="1:10" ht="12" customHeight="1" x14ac:dyDescent="0.25">
      <c r="A688" s="1"/>
      <c r="B688" s="14"/>
      <c r="C688" s="3"/>
      <c r="D688" s="21"/>
      <c r="E688" s="3"/>
      <c r="F688" s="3"/>
      <c r="G688" s="3"/>
      <c r="H688" s="24"/>
      <c r="I688" s="20"/>
      <c r="J688" s="17"/>
    </row>
    <row r="689" spans="1:10" ht="12" customHeight="1" x14ac:dyDescent="0.25">
      <c r="A689" s="1"/>
      <c r="B689" s="14"/>
      <c r="C689" s="3"/>
      <c r="D689" s="21"/>
      <c r="E689" s="3"/>
      <c r="F689" s="3"/>
      <c r="G689" s="3"/>
      <c r="H689" s="24"/>
      <c r="I689" s="20"/>
      <c r="J689" s="17"/>
    </row>
    <row r="690" spans="1:10" ht="12" customHeight="1" x14ac:dyDescent="0.25">
      <c r="A690" s="1"/>
      <c r="B690" s="14"/>
      <c r="C690" s="3"/>
      <c r="D690" s="21"/>
      <c r="E690" s="3"/>
      <c r="F690" s="3"/>
      <c r="G690" s="3"/>
      <c r="H690" s="24"/>
      <c r="I690" s="20"/>
      <c r="J690" s="17"/>
    </row>
    <row r="691" spans="1:10" ht="12" customHeight="1" x14ac:dyDescent="0.25">
      <c r="A691" s="1"/>
      <c r="B691" s="14"/>
      <c r="C691" s="3"/>
      <c r="D691" s="21"/>
      <c r="E691" s="3"/>
      <c r="F691" s="3"/>
      <c r="G691" s="3"/>
      <c r="H691" s="24"/>
      <c r="I691" s="20"/>
      <c r="J691" s="17"/>
    </row>
    <row r="692" spans="1:10" ht="12" customHeight="1" x14ac:dyDescent="0.25">
      <c r="A692" s="1"/>
      <c r="B692" s="14"/>
      <c r="C692" s="3"/>
      <c r="D692" s="21"/>
      <c r="E692" s="3"/>
      <c r="F692" s="3"/>
      <c r="G692" s="3"/>
      <c r="H692" s="24"/>
      <c r="I692" s="20"/>
      <c r="J692" s="17"/>
    </row>
    <row r="693" spans="1:10" ht="12" customHeight="1" x14ac:dyDescent="0.25">
      <c r="A693" s="1"/>
      <c r="B693" s="14"/>
      <c r="C693" s="3"/>
      <c r="D693" s="21"/>
      <c r="E693" s="3"/>
      <c r="F693" s="3"/>
      <c r="G693" s="3"/>
      <c r="H693" s="24"/>
      <c r="I693" s="20"/>
      <c r="J693" s="17"/>
    </row>
    <row r="694" spans="1:10" ht="12" customHeight="1" x14ac:dyDescent="0.25">
      <c r="A694" s="1"/>
      <c r="B694" s="14"/>
      <c r="C694" s="3"/>
      <c r="D694" s="21"/>
      <c r="E694" s="3"/>
      <c r="F694" s="3"/>
      <c r="G694" s="3"/>
      <c r="H694" s="24"/>
      <c r="I694" s="20"/>
      <c r="J694" s="17"/>
    </row>
    <row r="695" spans="1:10" ht="12" customHeight="1" x14ac:dyDescent="0.25">
      <c r="A695" s="1"/>
      <c r="B695" s="14"/>
      <c r="C695" s="3"/>
      <c r="D695" s="21"/>
      <c r="E695" s="3"/>
      <c r="F695" s="3"/>
      <c r="G695" s="3"/>
      <c r="H695" s="24"/>
      <c r="I695" s="20"/>
      <c r="J695" s="17"/>
    </row>
    <row r="696" spans="1:10" ht="12" customHeight="1" x14ac:dyDescent="0.25">
      <c r="A696" s="1"/>
      <c r="B696" s="14"/>
      <c r="C696" s="3"/>
      <c r="D696" s="21"/>
      <c r="E696" s="3"/>
      <c r="F696" s="3"/>
      <c r="G696" s="3"/>
      <c r="H696" s="24"/>
      <c r="I696" s="20"/>
      <c r="J696" s="17"/>
    </row>
    <row r="697" spans="1:10" ht="12" customHeight="1" x14ac:dyDescent="0.25">
      <c r="A697" s="1"/>
      <c r="B697" s="14"/>
      <c r="C697" s="3"/>
      <c r="D697" s="21"/>
      <c r="E697" s="3"/>
      <c r="F697" s="3"/>
      <c r="G697" s="3"/>
      <c r="H697" s="24"/>
      <c r="I697" s="20"/>
      <c r="J697" s="17"/>
    </row>
    <row r="698" spans="1:10" ht="12" customHeight="1" x14ac:dyDescent="0.25">
      <c r="A698" s="1"/>
      <c r="B698" s="14"/>
      <c r="C698" s="3"/>
      <c r="D698" s="21"/>
      <c r="E698" s="3"/>
      <c r="F698" s="3"/>
      <c r="G698" s="3"/>
      <c r="H698" s="24"/>
      <c r="I698" s="20"/>
      <c r="J698" s="17"/>
    </row>
    <row r="699" spans="1:10" ht="12" customHeight="1" x14ac:dyDescent="0.25">
      <c r="A699" s="1"/>
      <c r="B699" s="14"/>
      <c r="C699" s="3"/>
      <c r="D699" s="21"/>
      <c r="E699" s="3"/>
      <c r="F699" s="3"/>
      <c r="G699" s="3"/>
      <c r="H699" s="24"/>
      <c r="I699" s="20"/>
      <c r="J699" s="17"/>
    </row>
    <row r="700" spans="1:10" ht="12" customHeight="1" x14ac:dyDescent="0.25">
      <c r="A700" s="1"/>
      <c r="B700" s="14"/>
      <c r="C700" s="3"/>
      <c r="D700" s="21"/>
      <c r="E700" s="3"/>
      <c r="F700" s="3"/>
      <c r="G700" s="3"/>
      <c r="H700" s="24"/>
      <c r="I700" s="20"/>
      <c r="J700" s="17"/>
    </row>
    <row r="701" spans="1:10" ht="12" customHeight="1" x14ac:dyDescent="0.25">
      <c r="A701" s="1"/>
      <c r="B701" s="14"/>
      <c r="C701" s="3"/>
      <c r="D701" s="21"/>
      <c r="E701" s="3"/>
      <c r="F701" s="3"/>
      <c r="G701" s="3"/>
      <c r="H701" s="24"/>
      <c r="I701" s="20"/>
      <c r="J701" s="17"/>
    </row>
    <row r="702" spans="1:10" ht="12" customHeight="1" x14ac:dyDescent="0.25">
      <c r="A702" s="1"/>
      <c r="B702" s="14"/>
      <c r="C702" s="3"/>
      <c r="D702" s="21"/>
      <c r="E702" s="3"/>
      <c r="F702" s="3"/>
      <c r="G702" s="3"/>
      <c r="H702" s="24"/>
      <c r="I702" s="20"/>
      <c r="J702" s="17"/>
    </row>
    <row r="703" spans="1:10" ht="12" customHeight="1" x14ac:dyDescent="0.25">
      <c r="A703" s="1"/>
      <c r="B703" s="14"/>
      <c r="C703" s="3"/>
      <c r="D703" s="21"/>
      <c r="E703" s="3"/>
      <c r="F703" s="3"/>
      <c r="G703" s="3"/>
      <c r="H703" s="24"/>
      <c r="I703" s="20"/>
      <c r="J703" s="17"/>
    </row>
    <row r="704" spans="1:10" ht="12" customHeight="1" x14ac:dyDescent="0.25">
      <c r="A704" s="1"/>
      <c r="B704" s="14"/>
      <c r="C704" s="3"/>
      <c r="D704" s="21"/>
      <c r="E704" s="3"/>
      <c r="F704" s="3"/>
      <c r="G704" s="3"/>
      <c r="H704" s="24"/>
      <c r="I704" s="20"/>
      <c r="J704" s="17"/>
    </row>
    <row r="705" spans="1:10" ht="12" customHeight="1" x14ac:dyDescent="0.25">
      <c r="A705" s="1"/>
      <c r="B705" s="14"/>
      <c r="C705" s="3"/>
      <c r="D705" s="21"/>
      <c r="E705" s="3"/>
      <c r="F705" s="3"/>
      <c r="G705" s="3"/>
      <c r="H705" s="24"/>
      <c r="I705" s="20"/>
      <c r="J705" s="17"/>
    </row>
    <row r="706" spans="1:10" ht="12" customHeight="1" x14ac:dyDescent="0.25">
      <c r="A706" s="1"/>
      <c r="B706" s="14"/>
      <c r="C706" s="3"/>
      <c r="D706" s="21"/>
      <c r="E706" s="3"/>
      <c r="F706" s="3"/>
      <c r="G706" s="3"/>
      <c r="H706" s="24"/>
      <c r="I706" s="20"/>
      <c r="J706" s="17"/>
    </row>
    <row r="707" spans="1:10" ht="12" customHeight="1" x14ac:dyDescent="0.25">
      <c r="A707" s="1"/>
      <c r="B707" s="14"/>
      <c r="C707" s="3"/>
      <c r="D707" s="21"/>
      <c r="E707" s="3"/>
      <c r="F707" s="3"/>
      <c r="G707" s="3"/>
      <c r="H707" s="24"/>
      <c r="I707" s="20"/>
      <c r="J707" s="17"/>
    </row>
    <row r="708" spans="1:10" ht="12" customHeight="1" x14ac:dyDescent="0.25">
      <c r="A708" s="1"/>
      <c r="B708" s="14"/>
      <c r="C708" s="3"/>
      <c r="D708" s="21"/>
      <c r="E708" s="3"/>
      <c r="F708" s="3"/>
      <c r="G708" s="3"/>
      <c r="H708" s="24"/>
      <c r="I708" s="20"/>
      <c r="J708" s="17"/>
    </row>
    <row r="709" spans="1:10" ht="12" customHeight="1" x14ac:dyDescent="0.25">
      <c r="A709" s="1"/>
      <c r="B709" s="14"/>
      <c r="C709" s="3"/>
      <c r="D709" s="21"/>
      <c r="E709" s="3"/>
      <c r="F709" s="3"/>
      <c r="G709" s="3"/>
      <c r="H709" s="24"/>
      <c r="I709" s="20"/>
      <c r="J709" s="17"/>
    </row>
    <row r="710" spans="1:10" ht="12" customHeight="1" x14ac:dyDescent="0.25">
      <c r="A710" s="1"/>
      <c r="B710" s="14"/>
      <c r="C710" s="3"/>
      <c r="D710" s="21"/>
      <c r="E710" s="3"/>
      <c r="F710" s="3"/>
      <c r="G710" s="3"/>
      <c r="H710" s="24"/>
      <c r="I710" s="20"/>
      <c r="J710" s="17"/>
    </row>
    <row r="711" spans="1:10" ht="12" customHeight="1" x14ac:dyDescent="0.25">
      <c r="A711" s="1"/>
      <c r="B711" s="14"/>
      <c r="C711" s="3"/>
      <c r="D711" s="21"/>
      <c r="E711" s="3"/>
      <c r="F711" s="3"/>
      <c r="G711" s="3"/>
      <c r="H711" s="24"/>
      <c r="I711" s="20"/>
      <c r="J711" s="17"/>
    </row>
    <row r="712" spans="1:10" ht="12" customHeight="1" x14ac:dyDescent="0.25">
      <c r="A712" s="1"/>
      <c r="B712" s="14"/>
      <c r="C712" s="3"/>
      <c r="D712" s="21"/>
      <c r="E712" s="3"/>
      <c r="F712" s="3"/>
      <c r="G712" s="3"/>
      <c r="H712" s="24"/>
      <c r="I712" s="20"/>
      <c r="J712" s="17"/>
    </row>
    <row r="713" spans="1:10" ht="12" customHeight="1" x14ac:dyDescent="0.25">
      <c r="A713" s="1"/>
      <c r="B713" s="14"/>
      <c r="C713" s="3"/>
      <c r="D713" s="21"/>
      <c r="E713" s="3"/>
      <c r="F713" s="3"/>
      <c r="G713" s="3"/>
      <c r="H713" s="24"/>
      <c r="I713" s="20"/>
      <c r="J713" s="17"/>
    </row>
    <row r="714" spans="1:10" ht="12" customHeight="1" x14ac:dyDescent="0.25">
      <c r="A714" s="1"/>
      <c r="B714" s="14"/>
      <c r="C714" s="3"/>
      <c r="D714" s="21"/>
      <c r="E714" s="3"/>
      <c r="F714" s="3"/>
      <c r="G714" s="3"/>
      <c r="H714" s="24"/>
      <c r="I714" s="20"/>
      <c r="J714" s="17"/>
    </row>
    <row r="715" spans="1:10" ht="12" customHeight="1" x14ac:dyDescent="0.25">
      <c r="A715" s="1"/>
      <c r="B715" s="14"/>
      <c r="C715" s="3"/>
      <c r="D715" s="21"/>
      <c r="E715" s="3"/>
      <c r="F715" s="3"/>
      <c r="G715" s="3"/>
      <c r="H715" s="24"/>
      <c r="I715" s="20"/>
      <c r="J715" s="17"/>
    </row>
    <row r="716" spans="1:10" ht="12" customHeight="1" x14ac:dyDescent="0.25">
      <c r="A716" s="1"/>
      <c r="B716" s="14"/>
      <c r="C716" s="3"/>
      <c r="D716" s="21"/>
      <c r="E716" s="3"/>
      <c r="F716" s="3"/>
      <c r="G716" s="3"/>
      <c r="H716" s="24"/>
      <c r="I716" s="20"/>
      <c r="J716" s="17"/>
    </row>
    <row r="717" spans="1:10" ht="12" customHeight="1" x14ac:dyDescent="0.25">
      <c r="A717" s="1"/>
      <c r="B717" s="14"/>
      <c r="C717" s="3"/>
      <c r="D717" s="21"/>
      <c r="E717" s="3"/>
      <c r="F717" s="3"/>
      <c r="G717" s="3"/>
      <c r="H717" s="24"/>
      <c r="I717" s="20"/>
      <c r="J717" s="17"/>
    </row>
    <row r="718" spans="1:10" ht="12" customHeight="1" x14ac:dyDescent="0.25">
      <c r="A718" s="1"/>
      <c r="B718" s="14"/>
      <c r="C718" s="3"/>
      <c r="D718" s="21"/>
      <c r="E718" s="3"/>
      <c r="F718" s="3"/>
      <c r="G718" s="3"/>
      <c r="H718" s="24"/>
      <c r="I718" s="20"/>
      <c r="J718" s="17"/>
    </row>
    <row r="719" spans="1:10" ht="12" customHeight="1" x14ac:dyDescent="0.25">
      <c r="A719" s="1"/>
      <c r="B719" s="14"/>
      <c r="C719" s="3"/>
      <c r="D719" s="21"/>
      <c r="E719" s="3"/>
      <c r="F719" s="3"/>
      <c r="G719" s="3"/>
      <c r="H719" s="24"/>
      <c r="I719" s="20"/>
      <c r="J719" s="17"/>
    </row>
    <row r="720" spans="1:10" ht="12" customHeight="1" x14ac:dyDescent="0.25">
      <c r="A720" s="1"/>
      <c r="B720" s="14"/>
      <c r="C720" s="3"/>
      <c r="D720" s="21"/>
      <c r="E720" s="3"/>
      <c r="F720" s="3"/>
      <c r="G720" s="3"/>
      <c r="H720" s="24"/>
      <c r="I720" s="20"/>
      <c r="J720" s="17"/>
    </row>
    <row r="721" spans="1:10" ht="12" customHeight="1" x14ac:dyDescent="0.25">
      <c r="A721" s="1"/>
      <c r="B721" s="14"/>
      <c r="C721" s="3"/>
      <c r="D721" s="21"/>
      <c r="E721" s="3"/>
      <c r="F721" s="3"/>
      <c r="G721" s="3"/>
      <c r="H721" s="24"/>
      <c r="I721" s="20"/>
      <c r="J721" s="17"/>
    </row>
    <row r="722" spans="1:10" ht="12" customHeight="1" x14ac:dyDescent="0.25">
      <c r="A722" s="1"/>
      <c r="B722" s="14"/>
      <c r="C722" s="3"/>
      <c r="D722" s="21"/>
      <c r="E722" s="3"/>
      <c r="F722" s="3"/>
      <c r="G722" s="3"/>
      <c r="H722" s="24"/>
      <c r="I722" s="20"/>
      <c r="J722" s="17"/>
    </row>
    <row r="723" spans="1:10" ht="12" customHeight="1" x14ac:dyDescent="0.25">
      <c r="A723" s="1"/>
      <c r="B723" s="14"/>
      <c r="C723" s="3"/>
      <c r="D723" s="21"/>
      <c r="E723" s="3"/>
      <c r="F723" s="3"/>
      <c r="G723" s="3"/>
      <c r="H723" s="24"/>
      <c r="I723" s="20"/>
      <c r="J723" s="17"/>
    </row>
    <row r="724" spans="1:10" ht="12" customHeight="1" x14ac:dyDescent="0.25">
      <c r="A724" s="1"/>
      <c r="B724" s="14"/>
      <c r="C724" s="3"/>
      <c r="D724" s="21"/>
      <c r="E724" s="3"/>
      <c r="F724" s="3"/>
      <c r="G724" s="3"/>
      <c r="H724" s="24"/>
      <c r="I724" s="20"/>
      <c r="J724" s="17"/>
    </row>
    <row r="725" spans="1:10" ht="12" customHeight="1" x14ac:dyDescent="0.25">
      <c r="A725" s="1"/>
      <c r="B725" s="14"/>
      <c r="C725" s="3"/>
      <c r="D725" s="21"/>
      <c r="E725" s="3"/>
      <c r="F725" s="3"/>
      <c r="G725" s="3"/>
      <c r="H725" s="24"/>
      <c r="I725" s="20"/>
      <c r="J725" s="17"/>
    </row>
    <row r="726" spans="1:10" ht="12" customHeight="1" x14ac:dyDescent="0.25">
      <c r="A726" s="1"/>
      <c r="B726" s="14"/>
      <c r="C726" s="3"/>
      <c r="D726" s="21"/>
      <c r="E726" s="3"/>
      <c r="F726" s="3"/>
      <c r="G726" s="3"/>
      <c r="H726" s="24"/>
      <c r="I726" s="20"/>
      <c r="J726" s="17"/>
    </row>
    <row r="727" spans="1:10" ht="12" customHeight="1" x14ac:dyDescent="0.25">
      <c r="A727" s="1"/>
      <c r="B727" s="14"/>
      <c r="C727" s="3"/>
      <c r="D727" s="21"/>
      <c r="E727" s="3"/>
      <c r="F727" s="3"/>
      <c r="G727" s="3"/>
      <c r="H727" s="24"/>
      <c r="I727" s="20"/>
      <c r="J727" s="17"/>
    </row>
    <row r="728" spans="1:10" ht="12" customHeight="1" x14ac:dyDescent="0.25">
      <c r="A728" s="1"/>
      <c r="B728" s="3"/>
      <c r="C728" s="3"/>
      <c r="D728" s="12"/>
    </row>
    <row r="729" spans="1:10" ht="12" customHeight="1" x14ac:dyDescent="0.25">
      <c r="A729" s="1"/>
      <c r="B729" s="3"/>
      <c r="C729" s="3"/>
      <c r="D729" s="12"/>
    </row>
    <row r="730" spans="1:10" ht="12" customHeight="1" x14ac:dyDescent="0.25">
      <c r="A730" s="1"/>
      <c r="B730" s="3"/>
      <c r="C730" s="3"/>
      <c r="D730" s="12"/>
    </row>
    <row r="731" spans="1:10" ht="12" customHeight="1" x14ac:dyDescent="0.25">
      <c r="A731" s="1"/>
      <c r="B731" s="3"/>
      <c r="C731" s="3"/>
      <c r="D731" s="12"/>
    </row>
    <row r="732" spans="1:10" ht="12" customHeight="1" x14ac:dyDescent="0.25">
      <c r="A732" s="1"/>
      <c r="B732" s="3"/>
      <c r="C732" s="3"/>
      <c r="D732" s="12"/>
    </row>
    <row r="733" spans="1:10" ht="12" customHeight="1" x14ac:dyDescent="0.25">
      <c r="A733" s="1"/>
      <c r="B733" s="3"/>
      <c r="C733" s="3"/>
      <c r="D733" s="12"/>
    </row>
    <row r="734" spans="1:10" ht="12" customHeight="1" x14ac:dyDescent="0.25">
      <c r="A734" s="1"/>
      <c r="B734" s="3"/>
      <c r="C734" s="3"/>
      <c r="D734" s="12"/>
    </row>
    <row r="735" spans="1:10" ht="12" customHeight="1" x14ac:dyDescent="0.25">
      <c r="A735" s="1"/>
      <c r="B735" s="3"/>
      <c r="C735" s="3"/>
      <c r="D735" s="12"/>
    </row>
    <row r="736" spans="1:10" ht="12" customHeight="1" x14ac:dyDescent="0.25">
      <c r="A736" s="1"/>
      <c r="B736" s="3"/>
      <c r="C736" s="3"/>
      <c r="D736" s="12"/>
    </row>
    <row r="737" spans="1:4" ht="12" customHeight="1" x14ac:dyDescent="0.25">
      <c r="A737" s="1"/>
      <c r="B737" s="3"/>
      <c r="C737" s="3"/>
      <c r="D737" s="12"/>
    </row>
    <row r="738" spans="1:4" ht="12" customHeight="1" x14ac:dyDescent="0.25">
      <c r="A738" s="1"/>
      <c r="B738" s="3"/>
      <c r="C738" s="3"/>
      <c r="D738" s="12"/>
    </row>
    <row r="739" spans="1:4" ht="12" customHeight="1" x14ac:dyDescent="0.25">
      <c r="A739" s="1"/>
      <c r="B739" s="3"/>
      <c r="C739" s="3"/>
      <c r="D739" s="12"/>
    </row>
    <row r="740" spans="1:4" ht="12" customHeight="1" x14ac:dyDescent="0.25">
      <c r="A740" s="1"/>
      <c r="B740" s="3"/>
      <c r="C740" s="3"/>
      <c r="D740" s="12"/>
    </row>
    <row r="741" spans="1:4" ht="12" customHeight="1" x14ac:dyDescent="0.25">
      <c r="A741" s="1"/>
      <c r="B741" s="3"/>
      <c r="C741" s="3"/>
      <c r="D741" s="12"/>
    </row>
    <row r="742" spans="1:4" ht="12" customHeight="1" x14ac:dyDescent="0.25">
      <c r="A742" s="1"/>
      <c r="B742" s="3"/>
      <c r="C742" s="3"/>
      <c r="D742" s="12"/>
    </row>
    <row r="743" spans="1:4" ht="12" customHeight="1" x14ac:dyDescent="0.25">
      <c r="A743" s="1"/>
      <c r="B743" s="3"/>
      <c r="C743" s="3"/>
      <c r="D743" s="12"/>
    </row>
    <row r="744" spans="1:4" ht="12" customHeight="1" x14ac:dyDescent="0.25">
      <c r="A744" s="1"/>
      <c r="B744" s="3"/>
      <c r="C744" s="3"/>
      <c r="D744" s="12"/>
    </row>
    <row r="745" spans="1:4" ht="12" customHeight="1" x14ac:dyDescent="0.25">
      <c r="A745" s="1"/>
      <c r="B745" s="3"/>
      <c r="C745" s="3"/>
      <c r="D745" s="12"/>
    </row>
    <row r="746" spans="1:4" ht="12" customHeight="1" x14ac:dyDescent="0.25">
      <c r="A746" s="1"/>
      <c r="B746" s="3"/>
      <c r="C746" s="3"/>
      <c r="D746" s="12"/>
    </row>
    <row r="747" spans="1:4" ht="12" customHeight="1" x14ac:dyDescent="0.25">
      <c r="A747" s="1"/>
      <c r="B747" s="3"/>
      <c r="C747" s="3"/>
      <c r="D747" s="12"/>
    </row>
    <row r="748" spans="1:4" ht="12" customHeight="1" x14ac:dyDescent="0.25">
      <c r="A748" s="1"/>
      <c r="B748" s="3"/>
      <c r="C748" s="3"/>
      <c r="D748" s="12"/>
    </row>
    <row r="749" spans="1:4" ht="12" customHeight="1" x14ac:dyDescent="0.25">
      <c r="A749" s="1"/>
      <c r="B749" s="3"/>
      <c r="C749" s="3"/>
      <c r="D749" s="12"/>
    </row>
    <row r="750" spans="1:4" ht="12" customHeight="1" x14ac:dyDescent="0.25">
      <c r="A750" s="1"/>
      <c r="B750" s="3"/>
      <c r="C750" s="3"/>
      <c r="D750" s="12"/>
    </row>
    <row r="751" spans="1:4" ht="12" customHeight="1" x14ac:dyDescent="0.25">
      <c r="A751" s="1"/>
      <c r="B751" s="3"/>
      <c r="C751" s="3"/>
      <c r="D751" s="12"/>
    </row>
    <row r="752" spans="1:4" ht="12" customHeight="1" x14ac:dyDescent="0.25">
      <c r="A752" s="1"/>
      <c r="B752" s="3"/>
      <c r="C752" s="3"/>
      <c r="D752" s="12"/>
    </row>
    <row r="753" spans="1:4" ht="12" customHeight="1" x14ac:dyDescent="0.25">
      <c r="A753" s="1"/>
      <c r="B753" s="3"/>
      <c r="C753" s="3"/>
      <c r="D753" s="12"/>
    </row>
    <row r="754" spans="1:4" ht="12" customHeight="1" x14ac:dyDescent="0.25">
      <c r="A754" s="1"/>
      <c r="B754" s="3"/>
      <c r="C754" s="3"/>
      <c r="D754" s="12"/>
    </row>
    <row r="755" spans="1:4" ht="12" customHeight="1" x14ac:dyDescent="0.25">
      <c r="A755" s="1"/>
      <c r="B755" s="3"/>
      <c r="C755" s="3"/>
      <c r="D755" s="12"/>
    </row>
    <row r="756" spans="1:4" ht="12" customHeight="1" x14ac:dyDescent="0.25">
      <c r="A756" s="1"/>
      <c r="B756" s="3"/>
      <c r="C756" s="3"/>
      <c r="D756" s="12"/>
    </row>
    <row r="757" spans="1:4" ht="12" customHeight="1" x14ac:dyDescent="0.25">
      <c r="A757" s="1"/>
      <c r="B757" s="3"/>
      <c r="C757" s="3"/>
      <c r="D757" s="12"/>
    </row>
    <row r="758" spans="1:4" ht="12" customHeight="1" x14ac:dyDescent="0.25">
      <c r="A758" s="1"/>
      <c r="B758" s="3"/>
      <c r="C758" s="3"/>
      <c r="D758" s="12"/>
    </row>
    <row r="759" spans="1:4" ht="12" customHeight="1" x14ac:dyDescent="0.25">
      <c r="A759" s="1"/>
      <c r="B759" s="3"/>
      <c r="C759" s="3"/>
      <c r="D759" s="12"/>
    </row>
    <row r="760" spans="1:4" ht="12" customHeight="1" x14ac:dyDescent="0.25">
      <c r="A760" s="1"/>
      <c r="B760" s="3"/>
      <c r="C760" s="3"/>
      <c r="D760" s="12"/>
    </row>
    <row r="761" spans="1:4" ht="12" customHeight="1" x14ac:dyDescent="0.25">
      <c r="A761" s="1"/>
      <c r="B761" s="3"/>
      <c r="C761" s="3"/>
      <c r="D761" s="12"/>
    </row>
    <row r="762" spans="1:4" ht="12" customHeight="1" x14ac:dyDescent="0.25">
      <c r="A762" s="1"/>
      <c r="B762" s="3"/>
      <c r="C762" s="3"/>
      <c r="D762" s="12"/>
    </row>
    <row r="763" spans="1:4" ht="12" customHeight="1" x14ac:dyDescent="0.25">
      <c r="A763" s="1"/>
      <c r="B763" s="3"/>
      <c r="C763" s="3"/>
      <c r="D763" s="12"/>
    </row>
    <row r="764" spans="1:4" ht="12" customHeight="1" x14ac:dyDescent="0.25">
      <c r="A764" s="1"/>
      <c r="B764" s="3"/>
      <c r="C764" s="3"/>
      <c r="D764" s="12"/>
    </row>
    <row r="765" spans="1:4" ht="12" customHeight="1" x14ac:dyDescent="0.25">
      <c r="A765" s="1"/>
      <c r="B765" s="3"/>
      <c r="C765" s="3"/>
      <c r="D765" s="12"/>
    </row>
    <row r="766" spans="1:4" ht="12" customHeight="1" x14ac:dyDescent="0.25">
      <c r="A766" s="1"/>
      <c r="B766" s="3"/>
      <c r="C766" s="3"/>
      <c r="D766" s="12"/>
    </row>
    <row r="767" spans="1:4" ht="12" customHeight="1" x14ac:dyDescent="0.25">
      <c r="A767" s="1"/>
      <c r="B767" s="3"/>
      <c r="C767" s="3"/>
      <c r="D767" s="12"/>
    </row>
    <row r="768" spans="1:4" ht="12" customHeight="1" x14ac:dyDescent="0.25">
      <c r="A768" s="1"/>
      <c r="B768" s="3"/>
      <c r="C768" s="3"/>
      <c r="D768" s="12"/>
    </row>
    <row r="769" spans="1:4" ht="12" customHeight="1" x14ac:dyDescent="0.25">
      <c r="A769" s="1"/>
      <c r="B769" s="3"/>
      <c r="C769" s="3"/>
      <c r="D769" s="12"/>
    </row>
    <row r="770" spans="1:4" ht="12" customHeight="1" x14ac:dyDescent="0.25">
      <c r="A770" s="1"/>
      <c r="B770" s="3"/>
      <c r="C770" s="3"/>
      <c r="D770" s="12"/>
    </row>
    <row r="771" spans="1:4" ht="12" customHeight="1" x14ac:dyDescent="0.25">
      <c r="A771" s="1"/>
      <c r="B771" s="3"/>
      <c r="C771" s="3"/>
      <c r="D771" s="12"/>
    </row>
    <row r="772" spans="1:4" ht="12" customHeight="1" x14ac:dyDescent="0.25">
      <c r="A772" s="1"/>
      <c r="B772" s="3"/>
      <c r="C772" s="3"/>
      <c r="D772" s="12"/>
    </row>
    <row r="773" spans="1:4" ht="12" customHeight="1" x14ac:dyDescent="0.25">
      <c r="A773" s="1"/>
      <c r="B773" s="3"/>
      <c r="C773" s="3"/>
      <c r="D773" s="12"/>
    </row>
    <row r="774" spans="1:4" ht="12" customHeight="1" x14ac:dyDescent="0.25">
      <c r="A774" s="1"/>
      <c r="B774" s="3"/>
      <c r="C774" s="3"/>
      <c r="D774" s="12"/>
    </row>
    <row r="775" spans="1:4" ht="12" customHeight="1" x14ac:dyDescent="0.25">
      <c r="A775" s="1"/>
      <c r="B775" s="3"/>
      <c r="C775" s="3"/>
      <c r="D775" s="12"/>
    </row>
    <row r="776" spans="1:4" ht="12" customHeight="1" x14ac:dyDescent="0.25">
      <c r="A776" s="1"/>
      <c r="B776" s="3"/>
      <c r="C776" s="3"/>
      <c r="D776" s="12"/>
    </row>
    <row r="777" spans="1:4" ht="12" customHeight="1" x14ac:dyDescent="0.25">
      <c r="A777" s="1"/>
      <c r="B777" s="3"/>
      <c r="C777" s="3"/>
      <c r="D777" s="12"/>
    </row>
    <row r="778" spans="1:4" ht="12" customHeight="1" x14ac:dyDescent="0.25">
      <c r="A778" s="1"/>
      <c r="B778" s="3"/>
      <c r="C778" s="3"/>
      <c r="D778" s="12"/>
    </row>
    <row r="779" spans="1:4" ht="12" customHeight="1" x14ac:dyDescent="0.25">
      <c r="A779" s="1"/>
      <c r="B779" s="3"/>
      <c r="C779" s="3"/>
      <c r="D779" s="12"/>
    </row>
    <row r="780" spans="1:4" ht="12" customHeight="1" x14ac:dyDescent="0.25">
      <c r="A780" s="1"/>
      <c r="B780" s="3"/>
      <c r="C780" s="3"/>
      <c r="D780" s="12"/>
    </row>
    <row r="781" spans="1:4" ht="12" customHeight="1" x14ac:dyDescent="0.25">
      <c r="A781" s="1"/>
      <c r="B781" s="3"/>
      <c r="C781" s="3"/>
      <c r="D781" s="12"/>
    </row>
    <row r="782" spans="1:4" ht="12" customHeight="1" x14ac:dyDescent="0.25">
      <c r="A782" s="1"/>
      <c r="B782" s="3"/>
      <c r="C782" s="3"/>
      <c r="D782" s="12"/>
    </row>
    <row r="783" spans="1:4" ht="12" customHeight="1" x14ac:dyDescent="0.25">
      <c r="A783" s="1"/>
      <c r="B783" s="3"/>
      <c r="C783" s="3"/>
      <c r="D783" s="12"/>
    </row>
    <row r="784" spans="1:4" ht="12" customHeight="1" x14ac:dyDescent="0.25">
      <c r="A784" s="1"/>
      <c r="B784" s="3"/>
      <c r="C784" s="3"/>
      <c r="D784" s="12"/>
    </row>
    <row r="785" spans="1:4" ht="12" customHeight="1" x14ac:dyDescent="0.25">
      <c r="A785" s="1"/>
      <c r="B785" s="3"/>
      <c r="C785" s="3"/>
      <c r="D785" s="12"/>
    </row>
    <row r="786" spans="1:4" ht="12" customHeight="1" x14ac:dyDescent="0.25">
      <c r="A786" s="1"/>
      <c r="B786" s="3"/>
      <c r="C786" s="3"/>
      <c r="D786" s="12"/>
    </row>
    <row r="787" spans="1:4" ht="12" customHeight="1" x14ac:dyDescent="0.25">
      <c r="A787" s="1"/>
      <c r="B787" s="3"/>
      <c r="C787" s="3"/>
      <c r="D787" s="12"/>
    </row>
    <row r="788" spans="1:4" ht="12" customHeight="1" x14ac:dyDescent="0.25">
      <c r="A788" s="1"/>
      <c r="B788" s="3"/>
      <c r="C788" s="3"/>
      <c r="D788" s="12"/>
    </row>
    <row r="789" spans="1:4" ht="12" customHeight="1" x14ac:dyDescent="0.25">
      <c r="A789" s="1"/>
      <c r="B789" s="3"/>
      <c r="C789" s="3"/>
      <c r="D789" s="12"/>
    </row>
    <row r="790" spans="1:4" ht="12" customHeight="1" x14ac:dyDescent="0.25">
      <c r="A790" s="1"/>
      <c r="B790" s="3"/>
      <c r="C790" s="3"/>
      <c r="D790" s="12"/>
    </row>
    <row r="791" spans="1:4" ht="12" customHeight="1" x14ac:dyDescent="0.25">
      <c r="A791" s="1"/>
      <c r="B791" s="3"/>
      <c r="C791" s="3"/>
      <c r="D791" s="12"/>
    </row>
    <row r="792" spans="1:4" ht="12" customHeight="1" x14ac:dyDescent="0.25">
      <c r="A792" s="1"/>
      <c r="B792" s="3"/>
      <c r="C792" s="3"/>
      <c r="D792" s="12"/>
    </row>
    <row r="793" spans="1:4" ht="12" customHeight="1" x14ac:dyDescent="0.25">
      <c r="A793" s="1"/>
      <c r="B793" s="3"/>
      <c r="C793" s="3"/>
      <c r="D793" s="12"/>
    </row>
    <row r="794" spans="1:4" ht="12" customHeight="1" x14ac:dyDescent="0.25">
      <c r="A794" s="1"/>
      <c r="B794" s="3"/>
      <c r="C794" s="3"/>
      <c r="D794" s="12"/>
    </row>
    <row r="795" spans="1:4" ht="12" customHeight="1" x14ac:dyDescent="0.25">
      <c r="A795" s="1"/>
      <c r="B795" s="3"/>
      <c r="C795" s="3"/>
      <c r="D795" s="12"/>
    </row>
    <row r="796" spans="1:4" ht="12" customHeight="1" x14ac:dyDescent="0.25">
      <c r="A796" s="1"/>
      <c r="B796" s="3"/>
      <c r="C796" s="3"/>
      <c r="D796" s="12"/>
    </row>
    <row r="797" spans="1:4" ht="12" customHeight="1" x14ac:dyDescent="0.25">
      <c r="A797" s="1"/>
      <c r="B797" s="3"/>
      <c r="C797" s="3"/>
      <c r="D797" s="12"/>
    </row>
    <row r="798" spans="1:4" ht="12" customHeight="1" x14ac:dyDescent="0.25">
      <c r="A798" s="1"/>
      <c r="B798" s="3"/>
      <c r="C798" s="3"/>
      <c r="D798" s="12"/>
    </row>
    <row r="799" spans="1:4" ht="12" customHeight="1" x14ac:dyDescent="0.25">
      <c r="A799" s="1"/>
      <c r="B799" s="3"/>
      <c r="C799" s="3"/>
      <c r="D799" s="12"/>
    </row>
    <row r="800" spans="1:4" ht="12" customHeight="1" x14ac:dyDescent="0.25">
      <c r="A800" s="1"/>
      <c r="B800" s="3"/>
      <c r="C800" s="3"/>
      <c r="D800" s="12"/>
    </row>
    <row r="801" spans="1:4" ht="12" customHeight="1" x14ac:dyDescent="0.25">
      <c r="A801" s="1"/>
      <c r="B801" s="3"/>
      <c r="C801" s="3"/>
      <c r="D801" s="12"/>
    </row>
    <row r="802" spans="1:4" ht="12" customHeight="1" x14ac:dyDescent="0.25">
      <c r="A802" s="1"/>
      <c r="B802" s="3"/>
      <c r="C802" s="3"/>
      <c r="D802" s="12"/>
    </row>
    <row r="803" spans="1:4" ht="12" customHeight="1" x14ac:dyDescent="0.25">
      <c r="A803" s="1"/>
      <c r="B803" s="3"/>
      <c r="C803" s="3"/>
      <c r="D803" s="12"/>
    </row>
    <row r="804" spans="1:4" ht="12" customHeight="1" x14ac:dyDescent="0.25">
      <c r="A804" s="1"/>
      <c r="B804" s="3"/>
      <c r="C804" s="3"/>
      <c r="D804" s="12"/>
    </row>
    <row r="805" spans="1:4" ht="12" customHeight="1" x14ac:dyDescent="0.25">
      <c r="A805" s="1"/>
      <c r="B805" s="3"/>
      <c r="C805" s="3"/>
      <c r="D805" s="12"/>
    </row>
    <row r="806" spans="1:4" ht="12" customHeight="1" x14ac:dyDescent="0.25">
      <c r="A806" s="1"/>
      <c r="B806" s="3"/>
      <c r="C806" s="3"/>
      <c r="D806" s="12"/>
    </row>
    <row r="807" spans="1:4" ht="12" customHeight="1" x14ac:dyDescent="0.25">
      <c r="A807" s="1"/>
      <c r="B807" s="3"/>
      <c r="C807" s="3"/>
      <c r="D807" s="12"/>
    </row>
    <row r="808" spans="1:4" ht="12" customHeight="1" x14ac:dyDescent="0.25">
      <c r="A808" s="1"/>
      <c r="B808" s="3"/>
      <c r="C808" s="3"/>
      <c r="D808" s="12"/>
    </row>
    <row r="809" spans="1:4" ht="12" customHeight="1" x14ac:dyDescent="0.25">
      <c r="A809" s="1"/>
      <c r="B809" s="3"/>
      <c r="C809" s="3"/>
      <c r="D809" s="12"/>
    </row>
    <row r="810" spans="1:4" ht="12" customHeight="1" x14ac:dyDescent="0.25">
      <c r="A810" s="1"/>
      <c r="B810" s="3"/>
      <c r="C810" s="3"/>
      <c r="D810" s="12"/>
    </row>
    <row r="811" spans="1:4" ht="12" customHeight="1" x14ac:dyDescent="0.25">
      <c r="A811" s="1"/>
      <c r="B811" s="3"/>
      <c r="C811" s="3"/>
      <c r="D811" s="12"/>
    </row>
    <row r="812" spans="1:4" ht="12" customHeight="1" x14ac:dyDescent="0.25">
      <c r="A812" s="1"/>
      <c r="B812" s="3"/>
      <c r="C812" s="3"/>
      <c r="D812" s="12"/>
    </row>
    <row r="813" spans="1:4" ht="12" customHeight="1" x14ac:dyDescent="0.25">
      <c r="A813" s="1"/>
      <c r="B813" s="3"/>
      <c r="C813" s="3"/>
      <c r="D813" s="12"/>
    </row>
    <row r="814" spans="1:4" ht="12" customHeight="1" x14ac:dyDescent="0.25">
      <c r="A814" s="1"/>
      <c r="B814" s="3"/>
      <c r="C814" s="3"/>
      <c r="D814" s="12"/>
    </row>
    <row r="815" spans="1:4" ht="12" customHeight="1" x14ac:dyDescent="0.25">
      <c r="A815" s="1"/>
      <c r="B815" s="3"/>
      <c r="C815" s="3"/>
      <c r="D815" s="12"/>
    </row>
    <row r="816" spans="1:4" ht="12" customHeight="1" x14ac:dyDescent="0.25">
      <c r="A816" s="1"/>
      <c r="B816" s="3"/>
      <c r="C816" s="3"/>
      <c r="D816" s="12"/>
    </row>
    <row r="817" spans="1:4" ht="12" customHeight="1" x14ac:dyDescent="0.25">
      <c r="A817" s="1"/>
      <c r="B817" s="3"/>
      <c r="C817" s="3"/>
      <c r="D817" s="12"/>
    </row>
    <row r="818" spans="1:4" ht="12" customHeight="1" x14ac:dyDescent="0.25">
      <c r="A818" s="1"/>
      <c r="B818" s="3"/>
      <c r="C818" s="3"/>
      <c r="D818" s="12"/>
    </row>
    <row r="819" spans="1:4" ht="12" customHeight="1" x14ac:dyDescent="0.25">
      <c r="A819" s="1"/>
      <c r="B819" s="3"/>
      <c r="C819" s="3"/>
      <c r="D819" s="12"/>
    </row>
    <row r="820" spans="1:4" ht="12" customHeight="1" x14ac:dyDescent="0.25">
      <c r="A820" s="1"/>
      <c r="B820" s="3"/>
      <c r="C820" s="3"/>
      <c r="D820" s="12"/>
    </row>
    <row r="821" spans="1:4" ht="12" customHeight="1" x14ac:dyDescent="0.25">
      <c r="A821" s="1"/>
      <c r="B821" s="3"/>
      <c r="C821" s="3"/>
      <c r="D821" s="12"/>
    </row>
    <row r="822" spans="1:4" ht="12" customHeight="1" x14ac:dyDescent="0.25">
      <c r="A822" s="1"/>
      <c r="B822" s="3"/>
      <c r="C822" s="3"/>
      <c r="D822" s="12"/>
    </row>
    <row r="823" spans="1:4" ht="12" customHeight="1" x14ac:dyDescent="0.25">
      <c r="A823" s="1"/>
      <c r="B823" s="3"/>
      <c r="C823" s="3"/>
      <c r="D823" s="12"/>
    </row>
    <row r="824" spans="1:4" ht="12" customHeight="1" x14ac:dyDescent="0.25">
      <c r="A824" s="1"/>
      <c r="B824" s="3"/>
      <c r="C824" s="3"/>
      <c r="D824" s="12"/>
    </row>
    <row r="825" spans="1:4" ht="12" customHeight="1" x14ac:dyDescent="0.25">
      <c r="A825" s="1"/>
      <c r="B825" s="3"/>
      <c r="C825" s="3"/>
      <c r="D825" s="12"/>
    </row>
    <row r="826" spans="1:4" ht="12" customHeight="1" x14ac:dyDescent="0.25">
      <c r="A826" s="1"/>
      <c r="B826" s="3"/>
      <c r="C826" s="3"/>
      <c r="D826" s="12"/>
    </row>
    <row r="827" spans="1:4" ht="12" customHeight="1" x14ac:dyDescent="0.25">
      <c r="A827" s="1"/>
      <c r="B827" s="3"/>
      <c r="C827" s="3"/>
      <c r="D827" s="12"/>
    </row>
    <row r="828" spans="1:4" ht="12" customHeight="1" x14ac:dyDescent="0.25">
      <c r="A828" s="1"/>
      <c r="B828" s="3"/>
      <c r="C828" s="3"/>
      <c r="D828" s="12"/>
    </row>
    <row r="829" spans="1:4" ht="12" customHeight="1" x14ac:dyDescent="0.25">
      <c r="A829" s="1"/>
      <c r="B829" s="3"/>
      <c r="C829" s="3"/>
      <c r="D829" s="12"/>
    </row>
    <row r="830" spans="1:4" ht="12" customHeight="1" x14ac:dyDescent="0.25">
      <c r="A830" s="1"/>
      <c r="B830" s="3"/>
      <c r="C830" s="3"/>
      <c r="D830" s="12"/>
    </row>
    <row r="831" spans="1:4" ht="12" customHeight="1" x14ac:dyDescent="0.25">
      <c r="A831" s="1"/>
      <c r="B831" s="3"/>
      <c r="C831" s="3"/>
      <c r="D831" s="12"/>
    </row>
    <row r="832" spans="1:4" ht="12" customHeight="1" x14ac:dyDescent="0.25">
      <c r="A832" s="1"/>
      <c r="B832" s="3"/>
      <c r="C832" s="3"/>
      <c r="D832" s="12"/>
    </row>
    <row r="833" spans="1:4" ht="12" customHeight="1" x14ac:dyDescent="0.25">
      <c r="A833" s="1"/>
      <c r="B833" s="3"/>
      <c r="C833" s="3"/>
      <c r="D833" s="12"/>
    </row>
    <row r="834" spans="1:4" ht="12" customHeight="1" x14ac:dyDescent="0.25">
      <c r="A834" s="1"/>
      <c r="B834" s="3"/>
      <c r="C834" s="3"/>
      <c r="D834" s="12"/>
    </row>
    <row r="835" spans="1:4" ht="12" customHeight="1" x14ac:dyDescent="0.25">
      <c r="A835" s="1"/>
      <c r="B835" s="3"/>
      <c r="C835" s="3"/>
      <c r="D835" s="12"/>
    </row>
    <row r="836" spans="1:4" ht="12" customHeight="1" x14ac:dyDescent="0.25">
      <c r="A836" s="1"/>
      <c r="B836" s="3"/>
      <c r="C836" s="3"/>
      <c r="D836" s="12"/>
    </row>
    <row r="837" spans="1:4" ht="12" customHeight="1" x14ac:dyDescent="0.25">
      <c r="A837" s="1"/>
      <c r="B837" s="3"/>
      <c r="C837" s="3"/>
      <c r="D837" s="12"/>
    </row>
    <row r="838" spans="1:4" ht="12" customHeight="1" x14ac:dyDescent="0.25">
      <c r="A838" s="1"/>
      <c r="B838" s="3"/>
      <c r="C838" s="3"/>
      <c r="D838" s="12"/>
    </row>
    <row r="839" spans="1:4" ht="12" customHeight="1" x14ac:dyDescent="0.25">
      <c r="A839" s="1"/>
      <c r="B839" s="3"/>
      <c r="C839" s="3"/>
      <c r="D839" s="12"/>
    </row>
    <row r="840" spans="1:4" ht="12" customHeight="1" x14ac:dyDescent="0.25">
      <c r="A840" s="1"/>
      <c r="B840" s="3"/>
      <c r="C840" s="3"/>
      <c r="D840" s="12"/>
    </row>
    <row r="841" spans="1:4" ht="12" customHeight="1" x14ac:dyDescent="0.25">
      <c r="A841" s="1"/>
      <c r="B841" s="3"/>
      <c r="C841" s="3"/>
      <c r="D841" s="12"/>
    </row>
    <row r="842" spans="1:4" ht="12" customHeight="1" x14ac:dyDescent="0.25">
      <c r="A842" s="1"/>
      <c r="B842" s="3"/>
      <c r="C842" s="3"/>
      <c r="D842" s="12"/>
    </row>
    <row r="843" spans="1:4" ht="12" customHeight="1" x14ac:dyDescent="0.25">
      <c r="A843" s="1"/>
      <c r="B843" s="3"/>
      <c r="C843" s="3"/>
      <c r="D843" s="12"/>
    </row>
    <row r="844" spans="1:4" ht="12" customHeight="1" x14ac:dyDescent="0.25">
      <c r="A844" s="1"/>
      <c r="B844" s="3"/>
      <c r="C844" s="3"/>
      <c r="D844" s="12"/>
    </row>
    <row r="845" spans="1:4" ht="12" customHeight="1" x14ac:dyDescent="0.25">
      <c r="A845" s="1"/>
      <c r="B845" s="3"/>
      <c r="C845" s="3"/>
      <c r="D845" s="12"/>
    </row>
    <row r="846" spans="1:4" ht="12" customHeight="1" x14ac:dyDescent="0.25">
      <c r="A846" s="1"/>
      <c r="B846" s="3"/>
      <c r="C846" s="3"/>
      <c r="D846" s="12"/>
    </row>
    <row r="847" spans="1:4" ht="12" customHeight="1" x14ac:dyDescent="0.25">
      <c r="A847" s="1"/>
      <c r="B847" s="3"/>
      <c r="C847" s="3"/>
      <c r="D847" s="12"/>
    </row>
    <row r="848" spans="1:4" ht="12" customHeight="1" x14ac:dyDescent="0.25">
      <c r="A848" s="1"/>
      <c r="B848" s="3"/>
      <c r="C848" s="3"/>
      <c r="D848" s="12"/>
    </row>
    <row r="849" spans="1:4" ht="12" customHeight="1" x14ac:dyDescent="0.25">
      <c r="A849" s="1"/>
      <c r="B849" s="3"/>
      <c r="C849" s="3"/>
      <c r="D849" s="12"/>
    </row>
    <row r="850" spans="1:4" ht="12" customHeight="1" x14ac:dyDescent="0.25">
      <c r="A850" s="1"/>
      <c r="B850" s="3"/>
      <c r="C850" s="3"/>
      <c r="D850" s="12"/>
    </row>
    <row r="851" spans="1:4" ht="12" customHeight="1" x14ac:dyDescent="0.25">
      <c r="A851" s="1"/>
      <c r="B851" s="3"/>
      <c r="C851" s="3"/>
      <c r="D851" s="12"/>
    </row>
    <row r="852" spans="1:4" ht="12" customHeight="1" x14ac:dyDescent="0.25">
      <c r="A852" s="1"/>
      <c r="B852" s="3"/>
      <c r="C852" s="3"/>
      <c r="D852" s="12"/>
    </row>
    <row r="853" spans="1:4" ht="12" customHeight="1" x14ac:dyDescent="0.25">
      <c r="A853" s="1"/>
      <c r="B853" s="3"/>
      <c r="C853" s="3"/>
      <c r="D853" s="12"/>
    </row>
    <row r="854" spans="1:4" ht="12" customHeight="1" x14ac:dyDescent="0.25">
      <c r="A854" s="1"/>
      <c r="B854" s="3"/>
      <c r="C854" s="3"/>
      <c r="D854" s="12"/>
    </row>
    <row r="855" spans="1:4" ht="12" customHeight="1" x14ac:dyDescent="0.25">
      <c r="A855" s="1"/>
      <c r="B855" s="3"/>
      <c r="C855" s="3"/>
      <c r="D855" s="12"/>
    </row>
    <row r="856" spans="1:4" ht="12" customHeight="1" x14ac:dyDescent="0.25">
      <c r="A856" s="1"/>
      <c r="B856" s="3"/>
      <c r="C856" s="3"/>
      <c r="D856" s="12"/>
    </row>
    <row r="857" spans="1:4" ht="12" customHeight="1" x14ac:dyDescent="0.25">
      <c r="A857" s="1"/>
      <c r="B857" s="3"/>
      <c r="C857" s="3"/>
      <c r="D857" s="12"/>
    </row>
    <row r="858" spans="1:4" ht="12" customHeight="1" x14ac:dyDescent="0.25">
      <c r="A858" s="1"/>
      <c r="B858" s="3"/>
      <c r="C858" s="3"/>
      <c r="D858" s="12"/>
    </row>
    <row r="859" spans="1:4" ht="12" customHeight="1" x14ac:dyDescent="0.25">
      <c r="A859" s="1"/>
      <c r="B859" s="3"/>
      <c r="C859" s="3"/>
      <c r="D859" s="12"/>
    </row>
    <row r="860" spans="1:4" ht="12" customHeight="1" x14ac:dyDescent="0.25">
      <c r="A860" s="1"/>
      <c r="B860" s="3"/>
      <c r="C860" s="3"/>
      <c r="D860" s="12"/>
    </row>
    <row r="861" spans="1:4" ht="12" customHeight="1" x14ac:dyDescent="0.25">
      <c r="A861" s="1"/>
      <c r="B861" s="3"/>
      <c r="C861" s="3"/>
      <c r="D861" s="12"/>
    </row>
    <row r="862" spans="1:4" ht="12" customHeight="1" x14ac:dyDescent="0.25">
      <c r="A862" s="1"/>
      <c r="B862" s="3"/>
      <c r="C862" s="3"/>
      <c r="D862" s="12"/>
    </row>
    <row r="863" spans="1:4" ht="12" customHeight="1" x14ac:dyDescent="0.25">
      <c r="A863" s="1"/>
      <c r="B863" s="3"/>
      <c r="C863" s="3"/>
      <c r="D863" s="12"/>
    </row>
    <row r="864" spans="1:4" ht="12" customHeight="1" x14ac:dyDescent="0.25">
      <c r="A864" s="1"/>
      <c r="B864" s="3"/>
      <c r="C864" s="3"/>
      <c r="D864" s="12"/>
    </row>
    <row r="865" spans="1:4" ht="12" customHeight="1" x14ac:dyDescent="0.25">
      <c r="A865" s="1"/>
      <c r="B865" s="3"/>
      <c r="C865" s="3"/>
      <c r="D865" s="12"/>
    </row>
    <row r="866" spans="1:4" ht="12" customHeight="1" x14ac:dyDescent="0.25">
      <c r="A866" s="1"/>
      <c r="B866" s="3"/>
      <c r="C866" s="3"/>
      <c r="D866" s="12"/>
    </row>
    <row r="867" spans="1:4" ht="12" customHeight="1" x14ac:dyDescent="0.25">
      <c r="A867" s="1"/>
      <c r="B867" s="3"/>
      <c r="C867" s="3"/>
      <c r="D867" s="12"/>
    </row>
    <row r="868" spans="1:4" ht="12" customHeight="1" x14ac:dyDescent="0.25">
      <c r="A868" s="1"/>
      <c r="B868" s="3"/>
      <c r="C868" s="3"/>
      <c r="D868" s="12"/>
    </row>
    <row r="869" spans="1:4" ht="12" customHeight="1" x14ac:dyDescent="0.25">
      <c r="A869" s="1"/>
      <c r="B869" s="3"/>
      <c r="C869" s="3"/>
      <c r="D869" s="12"/>
    </row>
    <row r="870" spans="1:4" ht="12" customHeight="1" x14ac:dyDescent="0.25">
      <c r="A870" s="1"/>
      <c r="B870" s="3"/>
      <c r="C870" s="3"/>
      <c r="D870" s="12"/>
    </row>
    <row r="871" spans="1:4" ht="12" customHeight="1" x14ac:dyDescent="0.25">
      <c r="A871" s="1"/>
      <c r="B871" s="3"/>
      <c r="C871" s="3"/>
      <c r="D871" s="12"/>
    </row>
    <row r="872" spans="1:4" ht="12" customHeight="1" x14ac:dyDescent="0.25">
      <c r="A872" s="1"/>
      <c r="B872" s="3"/>
      <c r="C872" s="3"/>
      <c r="D872" s="12"/>
    </row>
    <row r="873" spans="1:4" ht="12" customHeight="1" x14ac:dyDescent="0.25">
      <c r="A873" s="1"/>
      <c r="B873" s="3"/>
      <c r="C873" s="3"/>
      <c r="D873" s="12"/>
    </row>
    <row r="874" spans="1:4" ht="12" customHeight="1" x14ac:dyDescent="0.25">
      <c r="A874" s="1"/>
      <c r="B874" s="3"/>
      <c r="C874" s="3"/>
      <c r="D874" s="12"/>
    </row>
    <row r="875" spans="1:4" ht="12" customHeight="1" x14ac:dyDescent="0.25">
      <c r="A875" s="1"/>
      <c r="B875" s="3"/>
      <c r="C875" s="3"/>
      <c r="D875" s="12"/>
    </row>
    <row r="876" spans="1:4" ht="12" customHeight="1" x14ac:dyDescent="0.25">
      <c r="A876" s="1"/>
      <c r="B876" s="3"/>
      <c r="C876" s="3"/>
      <c r="D876" s="12"/>
    </row>
    <row r="877" spans="1:4" ht="12" customHeight="1" x14ac:dyDescent="0.25">
      <c r="A877" s="1"/>
      <c r="B877" s="3"/>
      <c r="C877" s="3"/>
      <c r="D877" s="12"/>
    </row>
    <row r="878" spans="1:4" ht="12" customHeight="1" x14ac:dyDescent="0.25">
      <c r="A878" s="1"/>
      <c r="B878" s="3"/>
      <c r="C878" s="3"/>
      <c r="D878" s="12"/>
    </row>
    <row r="879" spans="1:4" ht="12" customHeight="1" x14ac:dyDescent="0.25">
      <c r="A879" s="1"/>
      <c r="B879" s="3"/>
      <c r="C879" s="3"/>
      <c r="D879" s="12"/>
    </row>
    <row r="880" spans="1:4" ht="12" customHeight="1" x14ac:dyDescent="0.25">
      <c r="A880" s="1"/>
      <c r="B880" s="3"/>
      <c r="C880" s="3"/>
      <c r="D880" s="12"/>
    </row>
    <row r="881" spans="1:4" ht="12" customHeight="1" x14ac:dyDescent="0.25">
      <c r="A881" s="1"/>
      <c r="B881" s="3"/>
      <c r="C881" s="3"/>
      <c r="D881" s="12"/>
    </row>
    <row r="882" spans="1:4" ht="12" customHeight="1" x14ac:dyDescent="0.25">
      <c r="A882" s="1"/>
      <c r="B882" s="3"/>
      <c r="C882" s="3"/>
      <c r="D882" s="12"/>
    </row>
    <row r="883" spans="1:4" ht="12" customHeight="1" x14ac:dyDescent="0.25">
      <c r="A883" s="1"/>
      <c r="B883" s="3"/>
      <c r="C883" s="3"/>
      <c r="D883" s="12"/>
    </row>
    <row r="884" spans="1:4" ht="12" customHeight="1" x14ac:dyDescent="0.25">
      <c r="A884" s="1"/>
      <c r="B884" s="3"/>
      <c r="C884" s="3"/>
      <c r="D884" s="12"/>
    </row>
    <row r="885" spans="1:4" ht="12" customHeight="1" x14ac:dyDescent="0.25">
      <c r="A885" s="1"/>
      <c r="B885" s="3"/>
      <c r="C885" s="3"/>
      <c r="D885" s="12"/>
    </row>
    <row r="886" spans="1:4" ht="12" customHeight="1" x14ac:dyDescent="0.25">
      <c r="A886" s="1"/>
      <c r="B886" s="3"/>
      <c r="C886" s="3"/>
      <c r="D886" s="12"/>
    </row>
    <row r="887" spans="1:4" ht="12" customHeight="1" x14ac:dyDescent="0.25">
      <c r="A887" s="1"/>
      <c r="B887" s="3"/>
      <c r="C887" s="3"/>
      <c r="D887" s="12"/>
    </row>
    <row r="888" spans="1:4" ht="12" customHeight="1" x14ac:dyDescent="0.25">
      <c r="A888" s="1"/>
      <c r="B888" s="3"/>
      <c r="C888" s="3"/>
      <c r="D888" s="12"/>
    </row>
    <row r="889" spans="1:4" ht="12" customHeight="1" x14ac:dyDescent="0.25">
      <c r="A889" s="1"/>
      <c r="B889" s="3"/>
      <c r="C889" s="3"/>
      <c r="D889" s="12"/>
    </row>
    <row r="890" spans="1:4" ht="12" customHeight="1" x14ac:dyDescent="0.25">
      <c r="A890" s="1"/>
      <c r="B890" s="3"/>
      <c r="C890" s="3"/>
      <c r="D890" s="12"/>
    </row>
    <row r="891" spans="1:4" ht="12" customHeight="1" x14ac:dyDescent="0.25">
      <c r="A891" s="1"/>
      <c r="B891" s="3"/>
      <c r="C891" s="3"/>
      <c r="D891" s="12"/>
    </row>
    <row r="892" spans="1:4" ht="12" customHeight="1" x14ac:dyDescent="0.25">
      <c r="A892" s="1"/>
      <c r="B892" s="3"/>
      <c r="C892" s="3"/>
      <c r="D892" s="12"/>
    </row>
    <row r="893" spans="1:4" ht="12" customHeight="1" x14ac:dyDescent="0.25">
      <c r="A893" s="1"/>
      <c r="B893" s="3"/>
      <c r="C893" s="3"/>
      <c r="D893" s="12"/>
    </row>
    <row r="894" spans="1:4" ht="12" customHeight="1" x14ac:dyDescent="0.25">
      <c r="A894" s="1"/>
      <c r="B894" s="3"/>
      <c r="C894" s="3"/>
      <c r="D894" s="12"/>
    </row>
    <row r="895" spans="1:4" ht="12" customHeight="1" x14ac:dyDescent="0.25">
      <c r="A895" s="1"/>
      <c r="B895" s="3"/>
      <c r="C895" s="3"/>
      <c r="D895" s="12"/>
    </row>
    <row r="896" spans="1:4" ht="12" customHeight="1" x14ac:dyDescent="0.25">
      <c r="A896" s="1"/>
      <c r="B896" s="3"/>
      <c r="C896" s="3"/>
      <c r="D896" s="12"/>
    </row>
    <row r="897" spans="1:4" ht="12" customHeight="1" x14ac:dyDescent="0.25">
      <c r="A897" s="1"/>
      <c r="B897" s="3"/>
      <c r="C897" s="3"/>
      <c r="D897" s="12"/>
    </row>
    <row r="898" spans="1:4" ht="12" customHeight="1" x14ac:dyDescent="0.25">
      <c r="A898" s="1"/>
      <c r="B898" s="3"/>
      <c r="C898" s="3"/>
      <c r="D898" s="12"/>
    </row>
    <row r="899" spans="1:4" ht="12" customHeight="1" x14ac:dyDescent="0.25">
      <c r="A899" s="1"/>
      <c r="B899" s="3"/>
      <c r="C899" s="3"/>
      <c r="D899" s="12"/>
    </row>
    <row r="900" spans="1:4" ht="12" customHeight="1" x14ac:dyDescent="0.25">
      <c r="A900" s="1"/>
      <c r="B900" s="3"/>
      <c r="C900" s="3"/>
      <c r="D900" s="12"/>
    </row>
    <row r="901" spans="1:4" ht="12" customHeight="1" x14ac:dyDescent="0.25">
      <c r="A901" s="1"/>
      <c r="B901" s="3"/>
      <c r="C901" s="3"/>
      <c r="D901" s="12"/>
    </row>
    <row r="902" spans="1:4" ht="12" customHeight="1" x14ac:dyDescent="0.25">
      <c r="A902" s="1"/>
      <c r="B902" s="3"/>
      <c r="C902" s="3"/>
      <c r="D902" s="12"/>
    </row>
    <row r="903" spans="1:4" ht="12" customHeight="1" x14ac:dyDescent="0.25">
      <c r="A903" s="1"/>
      <c r="B903" s="3"/>
      <c r="C903" s="3"/>
      <c r="D903" s="12"/>
    </row>
    <row r="904" spans="1:4" ht="12" customHeight="1" x14ac:dyDescent="0.25">
      <c r="A904" s="1"/>
      <c r="B904" s="3"/>
      <c r="C904" s="3"/>
      <c r="D904" s="12"/>
    </row>
    <row r="905" spans="1:4" ht="12" customHeight="1" x14ac:dyDescent="0.25">
      <c r="A905" s="1"/>
      <c r="B905" s="3"/>
      <c r="C905" s="3"/>
      <c r="D905" s="12"/>
    </row>
    <row r="906" spans="1:4" ht="12" customHeight="1" x14ac:dyDescent="0.25">
      <c r="A906" s="1"/>
      <c r="B906" s="3"/>
      <c r="C906" s="3"/>
      <c r="D906" s="12"/>
    </row>
    <row r="907" spans="1:4" ht="12" customHeight="1" x14ac:dyDescent="0.25">
      <c r="A907" s="1"/>
      <c r="B907" s="3"/>
      <c r="C907" s="3"/>
      <c r="D907" s="12"/>
    </row>
    <row r="908" spans="1:4" ht="12" customHeight="1" x14ac:dyDescent="0.25">
      <c r="A908" s="1"/>
      <c r="B908" s="3"/>
      <c r="C908" s="3"/>
      <c r="D908" s="12"/>
    </row>
    <row r="909" spans="1:4" ht="12" customHeight="1" x14ac:dyDescent="0.25">
      <c r="A909" s="1"/>
      <c r="B909" s="3"/>
      <c r="C909" s="3"/>
      <c r="D909" s="12"/>
    </row>
    <row r="910" spans="1:4" ht="12" customHeight="1" x14ac:dyDescent="0.25">
      <c r="A910" s="1"/>
      <c r="B910" s="3"/>
      <c r="C910" s="3"/>
      <c r="D910" s="12"/>
    </row>
    <row r="911" spans="1:4" ht="12" customHeight="1" x14ac:dyDescent="0.25">
      <c r="A911" s="1"/>
      <c r="B911" s="3"/>
      <c r="C911" s="3"/>
      <c r="D911" s="12"/>
    </row>
    <row r="912" spans="1:4" ht="12" customHeight="1" x14ac:dyDescent="0.25">
      <c r="A912" s="1"/>
      <c r="B912" s="3"/>
      <c r="C912" s="3"/>
      <c r="D912" s="12"/>
    </row>
    <row r="913" spans="1:4" ht="12" customHeight="1" x14ac:dyDescent="0.25">
      <c r="A913" s="1"/>
      <c r="B913" s="3"/>
      <c r="C913" s="3"/>
      <c r="D913" s="12"/>
    </row>
    <row r="914" spans="1:4" ht="12" customHeight="1" x14ac:dyDescent="0.25">
      <c r="A914" s="1"/>
      <c r="B914" s="3"/>
      <c r="C914" s="3"/>
      <c r="D914" s="12"/>
    </row>
    <row r="915" spans="1:4" ht="12" customHeight="1" x14ac:dyDescent="0.25">
      <c r="A915" s="1"/>
      <c r="B915" s="3"/>
      <c r="C915" s="3"/>
      <c r="D915" s="12"/>
    </row>
    <row r="916" spans="1:4" ht="12" customHeight="1" x14ac:dyDescent="0.25">
      <c r="A916" s="1"/>
      <c r="B916" s="3"/>
      <c r="C916" s="3"/>
      <c r="D916" s="12"/>
    </row>
    <row r="917" spans="1:4" ht="12" customHeight="1" x14ac:dyDescent="0.25">
      <c r="A917" s="1"/>
      <c r="B917" s="3"/>
      <c r="C917" s="3"/>
      <c r="D917" s="12"/>
    </row>
    <row r="918" spans="1:4" ht="12" customHeight="1" x14ac:dyDescent="0.25">
      <c r="A918" s="1"/>
      <c r="B918" s="3"/>
      <c r="C918" s="3"/>
      <c r="D918" s="12"/>
    </row>
    <row r="919" spans="1:4" ht="12" customHeight="1" x14ac:dyDescent="0.25">
      <c r="A919" s="1"/>
      <c r="B919" s="3"/>
      <c r="C919" s="3"/>
      <c r="D919" s="12"/>
    </row>
    <row r="920" spans="1:4" ht="12" customHeight="1" x14ac:dyDescent="0.25">
      <c r="A920" s="1"/>
      <c r="B920" s="3"/>
      <c r="C920" s="3"/>
      <c r="D920" s="12"/>
    </row>
    <row r="921" spans="1:4" ht="12" customHeight="1" x14ac:dyDescent="0.25">
      <c r="A921" s="1"/>
      <c r="B921" s="3"/>
      <c r="C921" s="3"/>
      <c r="D921" s="12"/>
    </row>
    <row r="922" spans="1:4" ht="12" customHeight="1" x14ac:dyDescent="0.25">
      <c r="A922" s="1"/>
      <c r="B922" s="3"/>
      <c r="C922" s="3"/>
      <c r="D922" s="12"/>
    </row>
    <row r="923" spans="1:4" ht="12" customHeight="1" x14ac:dyDescent="0.25">
      <c r="A923" s="1"/>
      <c r="B923" s="3"/>
      <c r="C923" s="3"/>
      <c r="D923" s="12"/>
    </row>
    <row r="924" spans="1:4" ht="12" customHeight="1" x14ac:dyDescent="0.25">
      <c r="A924" s="1"/>
      <c r="B924" s="3"/>
      <c r="C924" s="3"/>
      <c r="D924" s="12"/>
    </row>
    <row r="925" spans="1:4" ht="12" customHeight="1" x14ac:dyDescent="0.25">
      <c r="A925" s="1"/>
      <c r="B925" s="3"/>
      <c r="C925" s="3"/>
      <c r="D925" s="12"/>
    </row>
    <row r="926" spans="1:4" ht="12" customHeight="1" x14ac:dyDescent="0.25">
      <c r="A926" s="1"/>
      <c r="B926" s="3"/>
      <c r="C926" s="3"/>
      <c r="D926" s="12"/>
    </row>
    <row r="927" spans="1:4" ht="12" customHeight="1" x14ac:dyDescent="0.25">
      <c r="A927" s="1"/>
      <c r="B927" s="3"/>
      <c r="C927" s="3"/>
      <c r="D927" s="12"/>
    </row>
    <row r="928" spans="1:4" ht="12" customHeight="1" x14ac:dyDescent="0.25">
      <c r="A928" s="1"/>
      <c r="B928" s="3"/>
      <c r="C928" s="3"/>
      <c r="D928" s="12"/>
    </row>
    <row r="929" spans="1:4" ht="12" customHeight="1" x14ac:dyDescent="0.25">
      <c r="A929" s="1"/>
      <c r="B929" s="3"/>
      <c r="C929" s="3"/>
      <c r="D929" s="12"/>
    </row>
    <row r="930" spans="1:4" ht="12" customHeight="1" x14ac:dyDescent="0.25">
      <c r="A930" s="1"/>
      <c r="B930" s="3"/>
      <c r="C930" s="3"/>
      <c r="D930" s="12"/>
    </row>
    <row r="931" spans="1:4" ht="12" customHeight="1" x14ac:dyDescent="0.25">
      <c r="A931" s="1"/>
      <c r="B931" s="3"/>
      <c r="C931" s="3"/>
      <c r="D931" s="12"/>
    </row>
    <row r="932" spans="1:4" ht="12" customHeight="1" x14ac:dyDescent="0.25">
      <c r="A932" s="1"/>
      <c r="B932" s="3"/>
      <c r="C932" s="3"/>
      <c r="D932" s="12"/>
    </row>
    <row r="933" spans="1:4" ht="12" customHeight="1" x14ac:dyDescent="0.25">
      <c r="A933" s="1"/>
      <c r="B933" s="3"/>
      <c r="C933" s="3"/>
      <c r="D933" s="12"/>
    </row>
    <row r="934" spans="1:4" ht="12" customHeight="1" x14ac:dyDescent="0.25">
      <c r="A934" s="1"/>
      <c r="B934" s="3"/>
      <c r="C934" s="3"/>
      <c r="D934" s="12"/>
    </row>
    <row r="935" spans="1:4" ht="12" customHeight="1" x14ac:dyDescent="0.25">
      <c r="A935" s="1"/>
      <c r="B935" s="3"/>
      <c r="C935" s="3"/>
      <c r="D935" s="12"/>
    </row>
    <row r="936" spans="1:4" ht="12" customHeight="1" x14ac:dyDescent="0.25">
      <c r="A936" s="1"/>
      <c r="B936" s="3"/>
      <c r="C936" s="3"/>
      <c r="D936" s="12"/>
    </row>
    <row r="937" spans="1:4" ht="12" customHeight="1" x14ac:dyDescent="0.25">
      <c r="A937" s="1"/>
      <c r="B937" s="3"/>
      <c r="C937" s="3"/>
      <c r="D937" s="12"/>
    </row>
    <row r="938" spans="1:4" ht="12" customHeight="1" x14ac:dyDescent="0.25">
      <c r="A938" s="1"/>
      <c r="B938" s="3"/>
      <c r="C938" s="3"/>
      <c r="D938" s="12"/>
    </row>
    <row r="939" spans="1:4" ht="12" customHeight="1" x14ac:dyDescent="0.25">
      <c r="A939" s="1"/>
      <c r="B939" s="3"/>
      <c r="C939" s="3"/>
      <c r="D939" s="12"/>
    </row>
    <row r="940" spans="1:4" ht="12" customHeight="1" x14ac:dyDescent="0.25">
      <c r="A940" s="1"/>
      <c r="B940" s="3"/>
      <c r="C940" s="3"/>
      <c r="D940" s="12"/>
    </row>
    <row r="941" spans="1:4" ht="12" customHeight="1" x14ac:dyDescent="0.25">
      <c r="A941" s="1"/>
      <c r="B941" s="3"/>
      <c r="C941" s="3"/>
      <c r="D941" s="12"/>
    </row>
    <row r="942" spans="1:4" ht="12" customHeight="1" x14ac:dyDescent="0.25">
      <c r="A942" s="1"/>
      <c r="B942" s="3"/>
      <c r="C942" s="3"/>
      <c r="D942" s="12"/>
    </row>
    <row r="943" spans="1:4" ht="12" customHeight="1" x14ac:dyDescent="0.25">
      <c r="A943" s="1"/>
      <c r="B943" s="3"/>
      <c r="C943" s="3"/>
      <c r="D943" s="12"/>
    </row>
    <row r="944" spans="1:4" ht="12" customHeight="1" x14ac:dyDescent="0.25">
      <c r="A944" s="1"/>
      <c r="B944" s="3"/>
      <c r="C944" s="3"/>
      <c r="D944" s="12"/>
    </row>
    <row r="945" spans="1:4" ht="12" customHeight="1" x14ac:dyDescent="0.25">
      <c r="A945" s="1"/>
      <c r="B945" s="3"/>
      <c r="C945" s="3"/>
      <c r="D945" s="12"/>
    </row>
    <row r="946" spans="1:4" ht="12" customHeight="1" x14ac:dyDescent="0.25">
      <c r="A946" s="1"/>
      <c r="B946" s="3"/>
      <c r="C946" s="3"/>
      <c r="D946" s="12"/>
    </row>
    <row r="947" spans="1:4" ht="12" customHeight="1" x14ac:dyDescent="0.25">
      <c r="A947" s="1"/>
      <c r="B947" s="3"/>
      <c r="C947" s="3"/>
      <c r="D947" s="12"/>
    </row>
    <row r="948" spans="1:4" ht="12" customHeight="1" x14ac:dyDescent="0.25">
      <c r="A948" s="1"/>
      <c r="B948" s="3"/>
      <c r="C948" s="3"/>
      <c r="D948" s="12"/>
    </row>
    <row r="949" spans="1:4" ht="12" customHeight="1" x14ac:dyDescent="0.25">
      <c r="A949" s="1"/>
      <c r="B949" s="3"/>
      <c r="C949" s="3"/>
      <c r="D949" s="12"/>
    </row>
    <row r="950" spans="1:4" ht="12" customHeight="1" x14ac:dyDescent="0.25">
      <c r="A950" s="1"/>
      <c r="B950" s="3"/>
      <c r="C950" s="3"/>
      <c r="D950" s="12"/>
    </row>
    <row r="951" spans="1:4" ht="12" customHeight="1" x14ac:dyDescent="0.25">
      <c r="A951" s="1"/>
      <c r="B951" s="3"/>
      <c r="C951" s="3"/>
      <c r="D951" s="12"/>
    </row>
    <row r="952" spans="1:4" ht="12" customHeight="1" x14ac:dyDescent="0.25">
      <c r="A952" s="1"/>
      <c r="B952" s="3"/>
      <c r="C952" s="3"/>
      <c r="D952" s="12"/>
    </row>
    <row r="953" spans="1:4" ht="12" customHeight="1" x14ac:dyDescent="0.25">
      <c r="A953" s="1"/>
      <c r="B953" s="3"/>
      <c r="C953" s="3"/>
      <c r="D953" s="12"/>
    </row>
    <row r="954" spans="1:4" ht="12" customHeight="1" x14ac:dyDescent="0.25">
      <c r="A954" s="1"/>
      <c r="B954" s="3"/>
      <c r="C954" s="3"/>
      <c r="D954" s="12"/>
    </row>
    <row r="955" spans="1:4" ht="12" customHeight="1" x14ac:dyDescent="0.25">
      <c r="A955" s="1"/>
      <c r="B955" s="3"/>
      <c r="C955" s="3"/>
      <c r="D955" s="12"/>
    </row>
    <row r="956" spans="1:4" ht="12" customHeight="1" x14ac:dyDescent="0.25">
      <c r="A956" s="1"/>
      <c r="B956" s="3"/>
      <c r="C956" s="3"/>
      <c r="D956" s="12"/>
    </row>
    <row r="957" spans="1:4" ht="12" customHeight="1" x14ac:dyDescent="0.25">
      <c r="A957" s="1"/>
      <c r="B957" s="3"/>
      <c r="C957" s="3"/>
      <c r="D957" s="12"/>
    </row>
    <row r="958" spans="1:4" ht="12" customHeight="1" x14ac:dyDescent="0.25">
      <c r="A958" s="1"/>
      <c r="B958" s="3"/>
      <c r="C958" s="3"/>
      <c r="D958" s="12"/>
    </row>
    <row r="959" spans="1:4" ht="12" customHeight="1" x14ac:dyDescent="0.25">
      <c r="A959" s="1"/>
      <c r="B959" s="3"/>
      <c r="C959" s="3"/>
      <c r="D959" s="12"/>
    </row>
    <row r="960" spans="1:4" ht="12" customHeight="1" x14ac:dyDescent="0.25">
      <c r="A960" s="1"/>
      <c r="B960" s="3"/>
      <c r="C960" s="3"/>
      <c r="D960" s="12"/>
    </row>
    <row r="961" spans="1:4" ht="12" customHeight="1" x14ac:dyDescent="0.25">
      <c r="A961" s="1"/>
      <c r="B961" s="3"/>
      <c r="C961" s="3"/>
      <c r="D961" s="12"/>
    </row>
    <row r="962" spans="1:4" ht="12" customHeight="1" x14ac:dyDescent="0.25">
      <c r="A962" s="1"/>
      <c r="B962" s="3"/>
      <c r="C962" s="3"/>
      <c r="D962" s="12"/>
    </row>
    <row r="963" spans="1:4" ht="12" customHeight="1" x14ac:dyDescent="0.25">
      <c r="A963" s="1"/>
      <c r="B963" s="3"/>
      <c r="C963" s="3"/>
      <c r="D963" s="12"/>
    </row>
    <row r="964" spans="1:4" ht="12" customHeight="1" x14ac:dyDescent="0.25">
      <c r="A964" s="1"/>
      <c r="B964" s="3"/>
      <c r="C964" s="3"/>
      <c r="D964" s="12"/>
    </row>
    <row r="965" spans="1:4" ht="12" customHeight="1" x14ac:dyDescent="0.25">
      <c r="A965" s="1"/>
      <c r="B965" s="3"/>
      <c r="C965" s="3"/>
      <c r="D965" s="12"/>
    </row>
    <row r="966" spans="1:4" ht="12" customHeight="1" x14ac:dyDescent="0.25">
      <c r="A966" s="1"/>
      <c r="B966" s="3"/>
      <c r="C966" s="3"/>
      <c r="D966" s="12"/>
    </row>
    <row r="967" spans="1:4" ht="12" customHeight="1" x14ac:dyDescent="0.25">
      <c r="A967" s="1"/>
      <c r="B967" s="3"/>
      <c r="C967" s="3"/>
      <c r="D967" s="12"/>
    </row>
    <row r="968" spans="1:4" ht="12" customHeight="1" x14ac:dyDescent="0.25">
      <c r="A968" s="1"/>
      <c r="B968" s="3"/>
      <c r="C968" s="3"/>
      <c r="D968" s="12"/>
    </row>
    <row r="969" spans="1:4" ht="12" customHeight="1" x14ac:dyDescent="0.25">
      <c r="A969" s="1"/>
      <c r="B969" s="3"/>
      <c r="C969" s="3"/>
      <c r="D969" s="12"/>
    </row>
    <row r="970" spans="1:4" ht="12" customHeight="1" x14ac:dyDescent="0.25">
      <c r="A970" s="1"/>
      <c r="B970" s="3"/>
      <c r="C970" s="3"/>
      <c r="D970" s="12"/>
    </row>
    <row r="971" spans="1:4" ht="12" customHeight="1" x14ac:dyDescent="0.25">
      <c r="A971" s="1"/>
      <c r="B971" s="3"/>
      <c r="C971" s="3"/>
      <c r="D971" s="12"/>
    </row>
    <row r="972" spans="1:4" ht="12" customHeight="1" x14ac:dyDescent="0.25">
      <c r="A972" s="1"/>
      <c r="B972" s="3"/>
      <c r="C972" s="3"/>
      <c r="D972" s="12"/>
    </row>
    <row r="973" spans="1:4" ht="12" customHeight="1" x14ac:dyDescent="0.25">
      <c r="A973" s="1"/>
      <c r="B973" s="3"/>
      <c r="C973" s="3"/>
      <c r="D973" s="12"/>
    </row>
    <row r="974" spans="1:4" ht="12" customHeight="1" x14ac:dyDescent="0.25">
      <c r="A974" s="1"/>
      <c r="B974" s="3"/>
      <c r="C974" s="3"/>
      <c r="D974" s="12"/>
    </row>
    <row r="975" spans="1:4" ht="12" customHeight="1" x14ac:dyDescent="0.25">
      <c r="A975" s="1"/>
      <c r="B975" s="3"/>
      <c r="C975" s="3"/>
      <c r="D975" s="12"/>
    </row>
    <row r="976" spans="1:4" ht="12" customHeight="1" x14ac:dyDescent="0.25">
      <c r="A976" s="1"/>
      <c r="B976" s="3"/>
      <c r="C976" s="3"/>
      <c r="D976" s="12"/>
    </row>
    <row r="977" spans="1:4" ht="12" customHeight="1" x14ac:dyDescent="0.25">
      <c r="A977" s="1"/>
      <c r="B977" s="3"/>
      <c r="C977" s="3"/>
      <c r="D977" s="12"/>
    </row>
    <row r="978" spans="1:4" ht="12" customHeight="1" x14ac:dyDescent="0.25">
      <c r="A978" s="1"/>
      <c r="B978" s="3"/>
      <c r="C978" s="3"/>
      <c r="D978" s="12"/>
    </row>
    <row r="979" spans="1:4" ht="12" customHeight="1" x14ac:dyDescent="0.25">
      <c r="A979" s="1"/>
      <c r="B979" s="3"/>
      <c r="C979" s="3"/>
      <c r="D979" s="12"/>
    </row>
    <row r="980" spans="1:4" ht="12" customHeight="1" x14ac:dyDescent="0.25">
      <c r="A980" s="1"/>
      <c r="B980" s="3"/>
      <c r="C980" s="3"/>
      <c r="D980" s="12"/>
    </row>
    <row r="981" spans="1:4" ht="12" customHeight="1" x14ac:dyDescent="0.25">
      <c r="A981" s="1"/>
      <c r="B981" s="3"/>
      <c r="C981" s="3"/>
      <c r="D981" s="12"/>
    </row>
    <row r="982" spans="1:4" ht="12" customHeight="1" x14ac:dyDescent="0.25">
      <c r="A982" s="1"/>
      <c r="B982" s="3"/>
      <c r="C982" s="3"/>
      <c r="D982" s="12"/>
    </row>
    <row r="983" spans="1:4" ht="12" customHeight="1" x14ac:dyDescent="0.25">
      <c r="A983" s="1"/>
      <c r="B983" s="3"/>
      <c r="C983" s="3"/>
      <c r="D983" s="12"/>
    </row>
    <row r="984" spans="1:4" ht="12" customHeight="1" x14ac:dyDescent="0.25">
      <c r="A984" s="1"/>
      <c r="B984" s="3"/>
      <c r="C984" s="3"/>
      <c r="D984" s="12"/>
    </row>
    <row r="985" spans="1:4" ht="12" customHeight="1" x14ac:dyDescent="0.25">
      <c r="A985" s="1"/>
      <c r="B985" s="3"/>
      <c r="C985" s="3"/>
      <c r="D985" s="12"/>
    </row>
    <row r="986" spans="1:4" ht="12" customHeight="1" x14ac:dyDescent="0.25">
      <c r="A986" s="1"/>
      <c r="B986" s="3"/>
      <c r="C986" s="3"/>
      <c r="D986" s="12"/>
    </row>
    <row r="987" spans="1:4" ht="12" customHeight="1" x14ac:dyDescent="0.25">
      <c r="A987" s="1"/>
      <c r="B987" s="3"/>
      <c r="C987" s="3"/>
      <c r="D987" s="12"/>
    </row>
    <row r="988" spans="1:4" ht="12" customHeight="1" x14ac:dyDescent="0.25">
      <c r="A988" s="1"/>
      <c r="B988" s="3"/>
      <c r="C988" s="3"/>
      <c r="D988" s="12"/>
    </row>
    <row r="989" spans="1:4" ht="12" customHeight="1" x14ac:dyDescent="0.25">
      <c r="A989" s="1"/>
      <c r="B989" s="3"/>
      <c r="C989" s="3"/>
      <c r="D989" s="12"/>
    </row>
    <row r="990" spans="1:4" ht="12" customHeight="1" x14ac:dyDescent="0.25">
      <c r="A990" s="1"/>
      <c r="B990" s="3"/>
      <c r="C990" s="3"/>
      <c r="D990" s="12"/>
    </row>
    <row r="991" spans="1:4" ht="12" customHeight="1" x14ac:dyDescent="0.25">
      <c r="A991" s="1"/>
      <c r="B991" s="3"/>
      <c r="C991" s="3"/>
      <c r="D991" s="12"/>
    </row>
    <row r="992" spans="1:4" ht="12" customHeight="1" x14ac:dyDescent="0.25">
      <c r="A992" s="1"/>
      <c r="B992" s="3"/>
      <c r="C992" s="3"/>
      <c r="D992" s="12"/>
    </row>
    <row r="993" spans="1:4" ht="12" customHeight="1" x14ac:dyDescent="0.25">
      <c r="A993" s="1"/>
      <c r="B993" s="3"/>
      <c r="C993" s="3"/>
      <c r="D993" s="12"/>
    </row>
    <row r="994" spans="1:4" ht="12" customHeight="1" x14ac:dyDescent="0.25">
      <c r="A994" s="1"/>
      <c r="B994" s="3"/>
      <c r="C994" s="3"/>
      <c r="D994" s="12"/>
    </row>
    <row r="995" spans="1:4" ht="12" customHeight="1" x14ac:dyDescent="0.25">
      <c r="A995" s="1"/>
      <c r="B995" s="3"/>
      <c r="C995" s="3"/>
      <c r="D995" s="12"/>
    </row>
    <row r="996" spans="1:4" ht="12" customHeight="1" x14ac:dyDescent="0.25">
      <c r="A996" s="1"/>
      <c r="B996" s="3"/>
      <c r="C996" s="3"/>
      <c r="D996" s="12"/>
    </row>
    <row r="997" spans="1:4" ht="12" customHeight="1" x14ac:dyDescent="0.25">
      <c r="A997" s="1"/>
      <c r="B997" s="3"/>
      <c r="C997" s="3"/>
      <c r="D997" s="12"/>
    </row>
    <row r="998" spans="1:4" ht="12" customHeight="1" x14ac:dyDescent="0.25">
      <c r="A998" s="1"/>
      <c r="B998" s="3"/>
      <c r="C998" s="3"/>
      <c r="D998" s="12"/>
    </row>
    <row r="999" spans="1:4" ht="12" customHeight="1" x14ac:dyDescent="0.25">
      <c r="A999" s="1"/>
      <c r="B999" s="3"/>
      <c r="C999" s="3"/>
      <c r="D999" s="12"/>
    </row>
    <row r="1000" spans="1:4" ht="12" customHeight="1" x14ac:dyDescent="0.25">
      <c r="A1000" s="1"/>
      <c r="B1000" s="3"/>
      <c r="C1000" s="3"/>
      <c r="D1000" s="12"/>
    </row>
  </sheetData>
  <mergeCells count="2">
    <mergeCell ref="A14:A15"/>
    <mergeCell ref="B14:C14"/>
  </mergeCells>
  <pageMargins left="0.7" right="0.7" top="0.75" bottom="0.75" header="0" footer="0"/>
  <pageSetup orientation="portrait"/>
  <headerFooter>
    <oddFooter>&amp;C# Propietaria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16" sqref="B16"/>
    </sheetView>
  </sheetViews>
  <sheetFormatPr baseColWidth="10" defaultColWidth="14.453125" defaultRowHeight="15" customHeight="1" x14ac:dyDescent="0.25"/>
  <cols>
    <col min="1" max="1" width="17.54296875" customWidth="1"/>
    <col min="2" max="2" width="14.54296875" customWidth="1"/>
    <col min="3" max="4" width="11.453125" customWidth="1"/>
    <col min="5" max="5" width="9.81640625" customWidth="1"/>
    <col min="6" max="6" width="9" customWidth="1"/>
    <col min="7" max="7" width="16.08984375" customWidth="1"/>
    <col min="8" max="8" width="11.453125" customWidth="1"/>
    <col min="9" max="9" width="12.81640625" customWidth="1"/>
    <col min="10" max="10" width="12.453125" customWidth="1"/>
    <col min="11" max="26" width="11.453125" customWidth="1"/>
  </cols>
  <sheetData>
    <row r="1" spans="1:11" ht="12" customHeight="1" x14ac:dyDescent="0.2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</row>
    <row r="2" spans="1:11" ht="12" customHeight="1" x14ac:dyDescent="0.25">
      <c r="A2" s="1" t="s">
        <v>3</v>
      </c>
      <c r="B2" s="2" t="s">
        <v>4</v>
      </c>
      <c r="C2" s="3"/>
      <c r="D2" s="6" t="s">
        <v>5</v>
      </c>
      <c r="E2" s="7">
        <f>B8+365</f>
        <v>43904</v>
      </c>
      <c r="F2" s="5"/>
      <c r="G2" s="8" t="s">
        <v>6</v>
      </c>
      <c r="H2" s="5">
        <f>-(B9-E3)/(E2-B8)</f>
        <v>6.9627068493150687E-3</v>
      </c>
    </row>
    <row r="3" spans="1:11" ht="12" customHeight="1" x14ac:dyDescent="0.3">
      <c r="A3" s="9" t="s">
        <v>7</v>
      </c>
      <c r="B3" s="2" t="s">
        <v>8</v>
      </c>
      <c r="C3" s="3"/>
      <c r="D3" s="6" t="s">
        <v>9</v>
      </c>
      <c r="E3" s="26">
        <v>5</v>
      </c>
      <c r="F3" s="5"/>
      <c r="G3" s="5" t="s">
        <v>10</v>
      </c>
      <c r="H3" s="11">
        <f>J277</f>
        <v>4.372720961999728</v>
      </c>
    </row>
    <row r="4" spans="1:11" ht="12" customHeight="1" x14ac:dyDescent="0.25">
      <c r="A4" s="1" t="s">
        <v>11</v>
      </c>
      <c r="B4" s="2">
        <v>2.5</v>
      </c>
      <c r="C4" s="3"/>
      <c r="D4" s="3" t="s">
        <v>12</v>
      </c>
      <c r="K4" s="3" t="s">
        <v>13</v>
      </c>
    </row>
    <row r="5" spans="1:11" ht="12" customHeight="1" x14ac:dyDescent="0.25">
      <c r="A5" s="1" t="s">
        <v>14</v>
      </c>
      <c r="B5" s="2">
        <v>2</v>
      </c>
      <c r="C5" s="3"/>
      <c r="D5" s="12"/>
    </row>
    <row r="6" spans="1:11" ht="12" customHeight="1" x14ac:dyDescent="0.25">
      <c r="A6" s="1" t="s">
        <v>15</v>
      </c>
      <c r="B6" s="13">
        <v>1000000</v>
      </c>
      <c r="C6" s="14"/>
      <c r="D6" s="12"/>
    </row>
    <row r="7" spans="1:11" ht="12" customHeight="1" x14ac:dyDescent="0.25">
      <c r="A7" s="1" t="s">
        <v>16</v>
      </c>
      <c r="B7" s="13">
        <f>B4/B5*$B$6/100</f>
        <v>12500</v>
      </c>
      <c r="C7" s="3"/>
      <c r="D7" s="12"/>
    </row>
    <row r="8" spans="1:11" ht="12" customHeight="1" x14ac:dyDescent="0.25">
      <c r="A8" s="1" t="s">
        <v>17</v>
      </c>
      <c r="B8" s="15">
        <v>43539</v>
      </c>
      <c r="C8" s="3"/>
      <c r="D8" s="12"/>
    </row>
    <row r="9" spans="1:11" ht="12" customHeight="1" x14ac:dyDescent="0.25">
      <c r="A9" s="1" t="s">
        <v>18</v>
      </c>
      <c r="B9" s="2">
        <v>2.458612</v>
      </c>
      <c r="C9" s="3"/>
      <c r="D9" s="12"/>
    </row>
    <row r="10" spans="1:11" ht="12" customHeight="1" x14ac:dyDescent="0.25">
      <c r="A10" s="1" t="s">
        <v>19</v>
      </c>
      <c r="B10" s="16">
        <v>100.078125</v>
      </c>
      <c r="C10" s="3"/>
      <c r="D10" s="12"/>
    </row>
    <row r="11" spans="1:11" ht="12" customHeight="1" x14ac:dyDescent="0.25">
      <c r="A11" s="1"/>
      <c r="B11" s="3"/>
      <c r="C11" s="17"/>
      <c r="D11" s="12"/>
    </row>
    <row r="12" spans="1:11" ht="12" customHeight="1" x14ac:dyDescent="0.25">
      <c r="A12" s="1"/>
      <c r="B12" s="3"/>
      <c r="C12" s="17"/>
      <c r="D12" s="12"/>
    </row>
    <row r="13" spans="1:11" ht="12" customHeight="1" x14ac:dyDescent="0.25">
      <c r="A13" s="1"/>
      <c r="B13" s="3"/>
      <c r="C13" s="3"/>
      <c r="D13" s="12"/>
    </row>
    <row r="14" spans="1:11" ht="12" customHeight="1" x14ac:dyDescent="0.25">
      <c r="A14" s="27" t="s">
        <v>20</v>
      </c>
      <c r="B14" s="29" t="s">
        <v>21</v>
      </c>
      <c r="C14" s="30"/>
      <c r="D14" s="18" t="s">
        <v>22</v>
      </c>
      <c r="I14" s="13"/>
    </row>
    <row r="15" spans="1:11" ht="12" customHeight="1" x14ac:dyDescent="0.3">
      <c r="A15" s="28"/>
      <c r="B15" s="5" t="s">
        <v>23</v>
      </c>
      <c r="C15" s="5" t="s">
        <v>24</v>
      </c>
      <c r="D15" s="12" t="s">
        <v>25</v>
      </c>
      <c r="E15" s="19" t="s">
        <v>26</v>
      </c>
      <c r="F15" s="19" t="s">
        <v>27</v>
      </c>
      <c r="G15" s="9" t="s">
        <v>28</v>
      </c>
      <c r="H15" s="9" t="s">
        <v>29</v>
      </c>
      <c r="I15" s="9" t="s">
        <v>30</v>
      </c>
      <c r="J15" s="9" t="s">
        <v>10</v>
      </c>
    </row>
    <row r="16" spans="1:11" ht="12" customHeight="1" x14ac:dyDescent="0.3">
      <c r="A16" s="1">
        <f>B8</f>
        <v>43539</v>
      </c>
      <c r="B16" s="20">
        <v>1019.0217391304349</v>
      </c>
      <c r="C16" s="20">
        <v>0</v>
      </c>
      <c r="D16" s="21" t="str">
        <f t="shared" ref="D16:D527" si="0">TEXT(WORKDAY(A16,0),$D$14&amp;"mmdd")</f>
        <v>190315</v>
      </c>
      <c r="E16" s="22">
        <f>B9</f>
        <v>2.458612</v>
      </c>
      <c r="F16" s="9">
        <v>0</v>
      </c>
      <c r="G16" s="14">
        <f t="shared" ref="G16:G526" si="1">PRICE(A16,$B$3,$B$4%,E16%,100,2,2)</f>
        <v>100.07807789534182</v>
      </c>
      <c r="H16" s="23">
        <v>0</v>
      </c>
      <c r="I16" s="20">
        <f t="shared" ref="I16:I527" si="2">C16+H16</f>
        <v>0</v>
      </c>
    </row>
    <row r="17" spans="1:11" ht="12" customHeight="1" x14ac:dyDescent="0.3">
      <c r="A17" s="1">
        <f t="shared" ref="A17:A527" si="3">WORKDAY(A16,1)</f>
        <v>43542</v>
      </c>
      <c r="B17" s="20">
        <v>1222.8260869565217</v>
      </c>
      <c r="C17" s="20">
        <f t="shared" ref="C17:C527" si="4">IF(B17&gt;B16,C16+(B17-B16),C16+($B$7-B16)+B17)</f>
        <v>203.80434782608688</v>
      </c>
      <c r="D17" s="21" t="str">
        <f t="shared" si="0"/>
        <v>190318</v>
      </c>
      <c r="E17" s="22">
        <f t="shared" ref="E17:E527" si="5">E16+F16</f>
        <v>2.458612</v>
      </c>
      <c r="F17" s="9">
        <v>0</v>
      </c>
      <c r="G17" s="14">
        <f t="shared" si="1"/>
        <v>100.07764727391361</v>
      </c>
      <c r="H17" s="24">
        <f t="shared" ref="H17:H527" si="6">(G17-$B$10)*$B$6/100</f>
        <v>-4.777260863875199</v>
      </c>
      <c r="I17" s="20">
        <f t="shared" si="2"/>
        <v>199.02708696221168</v>
      </c>
      <c r="J17" s="17">
        <f t="shared" ref="J17:J527" si="7">I17/$B$6*100</f>
        <v>1.9902708696221169E-2</v>
      </c>
      <c r="K17" s="3"/>
    </row>
    <row r="18" spans="1:11" ht="12" customHeight="1" x14ac:dyDescent="0.3">
      <c r="A18" s="1">
        <f t="shared" si="3"/>
        <v>43543</v>
      </c>
      <c r="B18" s="20">
        <v>1290.7608695652173</v>
      </c>
      <c r="C18" s="20">
        <f t="shared" si="4"/>
        <v>271.7391304347824</v>
      </c>
      <c r="D18" s="21" t="str">
        <f t="shared" si="0"/>
        <v>190319</v>
      </c>
      <c r="E18" s="22">
        <f t="shared" si="5"/>
        <v>2.458612</v>
      </c>
      <c r="F18" s="9">
        <v>0</v>
      </c>
      <c r="G18" s="14">
        <f t="shared" si="1"/>
        <v>100.07750465675888</v>
      </c>
      <c r="H18" s="24">
        <f t="shared" si="6"/>
        <v>-6.2034324112403283</v>
      </c>
      <c r="I18" s="20">
        <f t="shared" si="2"/>
        <v>265.53569802354207</v>
      </c>
      <c r="J18" s="17">
        <f t="shared" si="7"/>
        <v>2.655356980235421E-2</v>
      </c>
    </row>
    <row r="19" spans="1:11" ht="12" customHeight="1" x14ac:dyDescent="0.3">
      <c r="A19" s="1">
        <f t="shared" si="3"/>
        <v>43544</v>
      </c>
      <c r="B19" s="20">
        <v>1358.695652173913</v>
      </c>
      <c r="C19" s="20">
        <f t="shared" si="4"/>
        <v>339.67391304347814</v>
      </c>
      <c r="D19" s="21" t="str">
        <f t="shared" si="0"/>
        <v>190320</v>
      </c>
      <c r="E19" s="22">
        <f t="shared" si="5"/>
        <v>2.458612</v>
      </c>
      <c r="F19" s="9">
        <v>0</v>
      </c>
      <c r="G19" s="14">
        <f t="shared" si="1"/>
        <v>100.07736250131703</v>
      </c>
      <c r="H19" s="24">
        <f t="shared" si="6"/>
        <v>-7.6249868297395551</v>
      </c>
      <c r="I19" s="20">
        <f t="shared" si="2"/>
        <v>332.04892621373858</v>
      </c>
      <c r="J19" s="17">
        <f t="shared" si="7"/>
        <v>3.3204892621373855E-2</v>
      </c>
    </row>
    <row r="20" spans="1:11" ht="12" customHeight="1" x14ac:dyDescent="0.3">
      <c r="A20" s="1">
        <f t="shared" si="3"/>
        <v>43545</v>
      </c>
      <c r="B20" s="20">
        <v>1426.6304347826087</v>
      </c>
      <c r="C20" s="20">
        <f t="shared" si="4"/>
        <v>407.60869565217388</v>
      </c>
      <c r="D20" s="21" t="str">
        <f t="shared" si="0"/>
        <v>190321</v>
      </c>
      <c r="E20" s="22">
        <f t="shared" si="5"/>
        <v>2.458612</v>
      </c>
      <c r="F20" s="9">
        <v>0</v>
      </c>
      <c r="G20" s="14">
        <f t="shared" si="1"/>
        <v>100.07722080761941</v>
      </c>
      <c r="H20" s="24">
        <f t="shared" si="6"/>
        <v>-9.0419238058814244</v>
      </c>
      <c r="I20" s="20">
        <f t="shared" si="2"/>
        <v>398.56677184629245</v>
      </c>
      <c r="J20" s="17">
        <f t="shared" si="7"/>
        <v>3.9856677184629243E-2</v>
      </c>
    </row>
    <row r="21" spans="1:11" ht="12" customHeight="1" x14ac:dyDescent="0.3">
      <c r="A21" s="1">
        <f t="shared" si="3"/>
        <v>43546</v>
      </c>
      <c r="B21" s="20">
        <v>1494.5652173913043</v>
      </c>
      <c r="C21" s="20">
        <f t="shared" si="4"/>
        <v>475.54347826086939</v>
      </c>
      <c r="D21" s="21" t="str">
        <f t="shared" si="0"/>
        <v>190322</v>
      </c>
      <c r="E21" s="22">
        <f t="shared" si="5"/>
        <v>2.458612</v>
      </c>
      <c r="F21" s="9">
        <v>0</v>
      </c>
      <c r="G21" s="14">
        <f t="shared" si="1"/>
        <v>100.0770795756974</v>
      </c>
      <c r="H21" s="24">
        <f t="shared" si="6"/>
        <v>-10.454243026032373</v>
      </c>
      <c r="I21" s="20">
        <f t="shared" si="2"/>
        <v>465.08923523483702</v>
      </c>
      <c r="J21" s="17">
        <f t="shared" si="7"/>
        <v>4.6508923523483701E-2</v>
      </c>
    </row>
    <row r="22" spans="1:11" ht="12" customHeight="1" x14ac:dyDescent="0.3">
      <c r="A22" s="1">
        <f t="shared" si="3"/>
        <v>43549</v>
      </c>
      <c r="B22" s="20">
        <v>1698.3695652173913</v>
      </c>
      <c r="C22" s="20">
        <f t="shared" si="4"/>
        <v>679.34782608695639</v>
      </c>
      <c r="D22" s="21" t="str">
        <f t="shared" si="0"/>
        <v>190325</v>
      </c>
      <c r="E22" s="22">
        <f t="shared" si="5"/>
        <v>2.458612</v>
      </c>
      <c r="F22" s="9">
        <v>0</v>
      </c>
      <c r="G22" s="14">
        <f t="shared" si="1"/>
        <v>100.07665865089827</v>
      </c>
      <c r="H22" s="24">
        <f t="shared" si="6"/>
        <v>-14.663491017330443</v>
      </c>
      <c r="I22" s="20">
        <f t="shared" si="2"/>
        <v>664.68433506962594</v>
      </c>
      <c r="J22" s="17">
        <f t="shared" si="7"/>
        <v>6.646843350696259E-2</v>
      </c>
    </row>
    <row r="23" spans="1:11" ht="12" customHeight="1" x14ac:dyDescent="0.3">
      <c r="A23" s="1">
        <f t="shared" si="3"/>
        <v>43550</v>
      </c>
      <c r="B23" s="20">
        <v>1766.3043478260868</v>
      </c>
      <c r="C23" s="20">
        <f t="shared" si="4"/>
        <v>747.2826086956519</v>
      </c>
      <c r="D23" s="21" t="str">
        <f t="shared" si="0"/>
        <v>190326</v>
      </c>
      <c r="E23" s="22">
        <f t="shared" si="5"/>
        <v>2.458612</v>
      </c>
      <c r="F23" s="9">
        <v>0</v>
      </c>
      <c r="G23" s="14">
        <f t="shared" si="1"/>
        <v>100.07651926639203</v>
      </c>
      <c r="H23" s="24">
        <f t="shared" si="6"/>
        <v>-16.057336079740026</v>
      </c>
      <c r="I23" s="20">
        <f t="shared" si="2"/>
        <v>731.22527261591188</v>
      </c>
      <c r="J23" s="17">
        <f t="shared" si="7"/>
        <v>7.3122527261591186E-2</v>
      </c>
    </row>
    <row r="24" spans="1:11" ht="12" customHeight="1" x14ac:dyDescent="0.3">
      <c r="A24" s="1">
        <f t="shared" si="3"/>
        <v>43551</v>
      </c>
      <c r="B24" s="20">
        <v>1834.2391304347827</v>
      </c>
      <c r="C24" s="20">
        <f t="shared" si="4"/>
        <v>815.21739130434787</v>
      </c>
      <c r="D24" s="21" t="str">
        <f t="shared" si="0"/>
        <v>190327</v>
      </c>
      <c r="E24" s="22">
        <f t="shared" si="5"/>
        <v>2.458612</v>
      </c>
      <c r="F24" s="9">
        <v>0</v>
      </c>
      <c r="G24" s="14">
        <f t="shared" si="1"/>
        <v>100.07638034381814</v>
      </c>
      <c r="H24" s="24">
        <f t="shared" si="6"/>
        <v>-17.446561818559303</v>
      </c>
      <c r="I24" s="20">
        <f t="shared" si="2"/>
        <v>797.77082948578857</v>
      </c>
      <c r="J24" s="17">
        <f t="shared" si="7"/>
        <v>7.9777082948578854E-2</v>
      </c>
    </row>
    <row r="25" spans="1:11" ht="12" customHeight="1" x14ac:dyDescent="0.3">
      <c r="A25" s="1">
        <f t="shared" si="3"/>
        <v>43552</v>
      </c>
      <c r="B25" s="20">
        <v>1902.1739130434785</v>
      </c>
      <c r="C25" s="20">
        <f t="shared" si="4"/>
        <v>883.15217391304361</v>
      </c>
      <c r="D25" s="21" t="str">
        <f t="shared" si="0"/>
        <v>190328</v>
      </c>
      <c r="E25" s="22">
        <f t="shared" si="5"/>
        <v>2.458612</v>
      </c>
      <c r="F25" s="9">
        <v>0</v>
      </c>
      <c r="G25" s="14">
        <f t="shared" si="1"/>
        <v>100.07624188320794</v>
      </c>
      <c r="H25" s="24">
        <f t="shared" si="6"/>
        <v>-18.831167920581038</v>
      </c>
      <c r="I25" s="20">
        <f t="shared" si="2"/>
        <v>864.32100599246257</v>
      </c>
      <c r="J25" s="17">
        <f t="shared" si="7"/>
        <v>8.6432100599246248E-2</v>
      </c>
    </row>
    <row r="26" spans="1:11" ht="12" customHeight="1" x14ac:dyDescent="0.3">
      <c r="A26" s="1">
        <f t="shared" si="3"/>
        <v>43553</v>
      </c>
      <c r="B26" s="20">
        <v>1970.108695652174</v>
      </c>
      <c r="C26" s="20">
        <f t="shared" si="4"/>
        <v>951.08695652173913</v>
      </c>
      <c r="D26" s="21" t="str">
        <f t="shared" si="0"/>
        <v>190329</v>
      </c>
      <c r="E26" s="22">
        <f t="shared" si="5"/>
        <v>2.458612</v>
      </c>
      <c r="F26" s="9">
        <v>0</v>
      </c>
      <c r="G26" s="14">
        <f t="shared" si="1"/>
        <v>100.07610388459278</v>
      </c>
      <c r="H26" s="24">
        <f t="shared" si="6"/>
        <v>-20.211154072171666</v>
      </c>
      <c r="I26" s="20">
        <f t="shared" si="2"/>
        <v>930.87580244956746</v>
      </c>
      <c r="J26" s="17">
        <f t="shared" si="7"/>
        <v>9.3087580244956752E-2</v>
      </c>
    </row>
    <row r="27" spans="1:11" ht="12" customHeight="1" x14ac:dyDescent="0.3">
      <c r="A27" s="1">
        <f t="shared" si="3"/>
        <v>43556</v>
      </c>
      <c r="B27" s="20">
        <v>2173.913043478261</v>
      </c>
      <c r="C27" s="20">
        <f t="shared" si="4"/>
        <v>1154.891304347826</v>
      </c>
      <c r="D27" s="21" t="str">
        <f t="shared" si="0"/>
        <v>190401</v>
      </c>
      <c r="E27" s="22">
        <f t="shared" si="5"/>
        <v>2.458612</v>
      </c>
      <c r="F27" s="9">
        <v>0</v>
      </c>
      <c r="G27" s="14">
        <f t="shared" si="1"/>
        <v>100.07569266103118</v>
      </c>
      <c r="H27" s="24">
        <f t="shared" si="6"/>
        <v>-24.323389688163388</v>
      </c>
      <c r="I27" s="20">
        <f t="shared" si="2"/>
        <v>1130.5679146596626</v>
      </c>
      <c r="J27" s="17">
        <f t="shared" si="7"/>
        <v>0.11305679146596626</v>
      </c>
    </row>
    <row r="28" spans="1:11" ht="12" customHeight="1" x14ac:dyDescent="0.3">
      <c r="A28" s="1">
        <f t="shared" si="3"/>
        <v>43557</v>
      </c>
      <c r="B28" s="20">
        <v>2241.8478260869565</v>
      </c>
      <c r="C28" s="20">
        <f t="shared" si="4"/>
        <v>1222.8260869565215</v>
      </c>
      <c r="D28" s="21" t="str">
        <f t="shared" si="0"/>
        <v>190402</v>
      </c>
      <c r="E28" s="22">
        <f t="shared" si="5"/>
        <v>2.458612</v>
      </c>
      <c r="F28" s="9">
        <v>0</v>
      </c>
      <c r="G28" s="14">
        <f t="shared" si="1"/>
        <v>100.07555651070983</v>
      </c>
      <c r="H28" s="24">
        <f t="shared" si="6"/>
        <v>-25.684892901693956</v>
      </c>
      <c r="I28" s="20">
        <f t="shared" si="2"/>
        <v>1197.1411940548276</v>
      </c>
      <c r="J28" s="17">
        <f t="shared" si="7"/>
        <v>0.11971411940548277</v>
      </c>
    </row>
    <row r="29" spans="1:11" ht="12" customHeight="1" x14ac:dyDescent="0.3">
      <c r="A29" s="1">
        <f t="shared" si="3"/>
        <v>43558</v>
      </c>
      <c r="B29" s="20">
        <v>2309.782608695652</v>
      </c>
      <c r="C29" s="20">
        <f t="shared" si="4"/>
        <v>1290.760869565217</v>
      </c>
      <c r="D29" s="21" t="str">
        <f t="shared" si="0"/>
        <v>190403</v>
      </c>
      <c r="E29" s="22">
        <f t="shared" si="5"/>
        <v>2.458612</v>
      </c>
      <c r="F29" s="9">
        <v>0</v>
      </c>
      <c r="G29" s="14">
        <f t="shared" si="1"/>
        <v>100.07542082254037</v>
      </c>
      <c r="H29" s="24">
        <f t="shared" si="6"/>
        <v>-27.041774596341384</v>
      </c>
      <c r="I29" s="20">
        <f t="shared" si="2"/>
        <v>1263.7190949688757</v>
      </c>
      <c r="J29" s="17">
        <f t="shared" si="7"/>
        <v>0.12637190949688756</v>
      </c>
    </row>
    <row r="30" spans="1:11" ht="12" customHeight="1" x14ac:dyDescent="0.3">
      <c r="A30" s="1">
        <f t="shared" si="3"/>
        <v>43559</v>
      </c>
      <c r="B30" s="20">
        <v>2377.717391304348</v>
      </c>
      <c r="C30" s="20">
        <f t="shared" si="4"/>
        <v>1358.695652173913</v>
      </c>
      <c r="D30" s="21" t="str">
        <f t="shared" si="0"/>
        <v>190404</v>
      </c>
      <c r="E30" s="22">
        <f t="shared" si="5"/>
        <v>2.458612</v>
      </c>
      <c r="F30" s="9">
        <v>0</v>
      </c>
      <c r="G30" s="14">
        <f t="shared" si="1"/>
        <v>100.07528559655411</v>
      </c>
      <c r="H30" s="24">
        <f t="shared" si="6"/>
        <v>-28.394034458898432</v>
      </c>
      <c r="I30" s="20">
        <f t="shared" si="2"/>
        <v>1330.3016177150146</v>
      </c>
      <c r="J30" s="17">
        <f t="shared" si="7"/>
        <v>0.13303016177150145</v>
      </c>
    </row>
    <row r="31" spans="1:11" ht="12" customHeight="1" x14ac:dyDescent="0.3">
      <c r="A31" s="1">
        <f t="shared" si="3"/>
        <v>43560</v>
      </c>
      <c r="B31" s="20">
        <v>2445.6521739130435</v>
      </c>
      <c r="C31" s="20">
        <f t="shared" si="4"/>
        <v>1426.6304347826085</v>
      </c>
      <c r="D31" s="21" t="str">
        <f t="shared" si="0"/>
        <v>190405</v>
      </c>
      <c r="E31" s="22">
        <f t="shared" si="5"/>
        <v>2.458612</v>
      </c>
      <c r="F31" s="9">
        <v>0</v>
      </c>
      <c r="G31" s="14">
        <f t="shared" si="1"/>
        <v>100.0751508327825</v>
      </c>
      <c r="H31" s="24">
        <f t="shared" si="6"/>
        <v>-29.741672175020994</v>
      </c>
      <c r="I31" s="20">
        <f t="shared" si="2"/>
        <v>1396.8887626075875</v>
      </c>
      <c r="J31" s="17">
        <f t="shared" si="7"/>
        <v>0.13968887626075877</v>
      </c>
    </row>
    <row r="32" spans="1:11" ht="12" customHeight="1" x14ac:dyDescent="0.3">
      <c r="A32" s="1">
        <f t="shared" si="3"/>
        <v>43563</v>
      </c>
      <c r="B32" s="20">
        <v>2649.45652173913</v>
      </c>
      <c r="C32" s="20">
        <f t="shared" si="4"/>
        <v>1630.4347826086951</v>
      </c>
      <c r="D32" s="21" t="str">
        <f t="shared" si="0"/>
        <v>190408</v>
      </c>
      <c r="E32" s="22">
        <f t="shared" si="5"/>
        <v>2.458612</v>
      </c>
      <c r="F32" s="9">
        <v>0</v>
      </c>
      <c r="G32" s="14">
        <f t="shared" si="1"/>
        <v>100.07474931506904</v>
      </c>
      <c r="H32" s="24">
        <f t="shared" si="6"/>
        <v>-33.756849309583004</v>
      </c>
      <c r="I32" s="20">
        <f t="shared" si="2"/>
        <v>1596.6779332991121</v>
      </c>
      <c r="J32" s="17">
        <f t="shared" si="7"/>
        <v>0.15966779332991121</v>
      </c>
    </row>
    <row r="33" spans="1:10" ht="12" customHeight="1" x14ac:dyDescent="0.3">
      <c r="A33" s="1">
        <f t="shared" si="3"/>
        <v>43564</v>
      </c>
      <c r="B33" s="20">
        <v>2717.391304347826</v>
      </c>
      <c r="C33" s="20">
        <f t="shared" si="4"/>
        <v>1698.369565217391</v>
      </c>
      <c r="D33" s="21" t="str">
        <f t="shared" si="0"/>
        <v>190409</v>
      </c>
      <c r="E33" s="22">
        <f t="shared" si="5"/>
        <v>2.458612</v>
      </c>
      <c r="F33" s="9">
        <v>0</v>
      </c>
      <c r="G33" s="14">
        <f t="shared" si="1"/>
        <v>100.07461640046967</v>
      </c>
      <c r="H33" s="24">
        <f t="shared" si="6"/>
        <v>-35.085995303347772</v>
      </c>
      <c r="I33" s="20">
        <f t="shared" si="2"/>
        <v>1663.2835699140433</v>
      </c>
      <c r="J33" s="17">
        <f t="shared" si="7"/>
        <v>0.16632835699140433</v>
      </c>
    </row>
    <row r="34" spans="1:10" ht="12" customHeight="1" x14ac:dyDescent="0.3">
      <c r="A34" s="1">
        <f t="shared" si="3"/>
        <v>43565</v>
      </c>
      <c r="B34" s="20">
        <v>2785.3260869565215</v>
      </c>
      <c r="C34" s="20">
        <f t="shared" si="4"/>
        <v>1766.3043478260865</v>
      </c>
      <c r="D34" s="21" t="str">
        <f t="shared" si="0"/>
        <v>190410</v>
      </c>
      <c r="E34" s="22">
        <f t="shared" si="5"/>
        <v>2.458612</v>
      </c>
      <c r="F34" s="9">
        <v>0</v>
      </c>
      <c r="G34" s="14">
        <f t="shared" si="1"/>
        <v>100.07448394824175</v>
      </c>
      <c r="H34" s="24">
        <f t="shared" si="6"/>
        <v>-36.410517582510238</v>
      </c>
      <c r="I34" s="20">
        <f t="shared" si="2"/>
        <v>1729.8938302435763</v>
      </c>
      <c r="J34" s="17">
        <f t="shared" si="7"/>
        <v>0.17298938302435762</v>
      </c>
    </row>
    <row r="35" spans="1:10" ht="12" customHeight="1" x14ac:dyDescent="0.3">
      <c r="A35" s="1">
        <f t="shared" si="3"/>
        <v>43566</v>
      </c>
      <c r="B35" s="20">
        <v>2853.2608695652175</v>
      </c>
      <c r="C35" s="20">
        <f t="shared" si="4"/>
        <v>1834.2391304347825</v>
      </c>
      <c r="D35" s="21" t="str">
        <f t="shared" si="0"/>
        <v>190411</v>
      </c>
      <c r="E35" s="22">
        <f t="shared" si="5"/>
        <v>2.458612</v>
      </c>
      <c r="F35" s="9">
        <v>0</v>
      </c>
      <c r="G35" s="14">
        <f t="shared" si="1"/>
        <v>100.0743519584168</v>
      </c>
      <c r="H35" s="24">
        <f t="shared" si="6"/>
        <v>-37.730415832015751</v>
      </c>
      <c r="I35" s="20">
        <f t="shared" si="2"/>
        <v>1796.5087146027668</v>
      </c>
      <c r="J35" s="17">
        <f t="shared" si="7"/>
        <v>0.17965087146027667</v>
      </c>
    </row>
    <row r="36" spans="1:10" ht="12" customHeight="1" x14ac:dyDescent="0.3">
      <c r="A36" s="1">
        <f t="shared" si="3"/>
        <v>43567</v>
      </c>
      <c r="B36" s="20">
        <v>2921.195652173913</v>
      </c>
      <c r="C36" s="20">
        <f t="shared" si="4"/>
        <v>1902.173913043478</v>
      </c>
      <c r="D36" s="21" t="str">
        <f t="shared" si="0"/>
        <v>190412</v>
      </c>
      <c r="E36" s="22">
        <f t="shared" si="5"/>
        <v>2.458612</v>
      </c>
      <c r="F36" s="9">
        <v>0</v>
      </c>
      <c r="G36" s="14">
        <f t="shared" si="1"/>
        <v>100.07422043102608</v>
      </c>
      <c r="H36" s="24">
        <f t="shared" si="6"/>
        <v>-39.045689739225509</v>
      </c>
      <c r="I36" s="20">
        <f t="shared" si="2"/>
        <v>1863.1282233042525</v>
      </c>
      <c r="J36" s="17">
        <f t="shared" si="7"/>
        <v>0.18631282233042526</v>
      </c>
    </row>
    <row r="37" spans="1:10" ht="12" customHeight="1" x14ac:dyDescent="0.3">
      <c r="A37" s="1">
        <f t="shared" si="3"/>
        <v>43570</v>
      </c>
      <c r="B37" s="20">
        <v>3125</v>
      </c>
      <c r="C37" s="20">
        <f t="shared" si="4"/>
        <v>2105.978260869565</v>
      </c>
      <c r="D37" s="21" t="str">
        <f t="shared" si="0"/>
        <v>190415</v>
      </c>
      <c r="E37" s="22">
        <f t="shared" si="5"/>
        <v>2.458612</v>
      </c>
      <c r="F37" s="9">
        <v>0</v>
      </c>
      <c r="G37" s="14">
        <f t="shared" si="1"/>
        <v>100.07382862377364</v>
      </c>
      <c r="H37" s="24">
        <f t="shared" si="6"/>
        <v>-42.963762263639182</v>
      </c>
      <c r="I37" s="20">
        <f t="shared" si="2"/>
        <v>2063.0144986059258</v>
      </c>
      <c r="J37" s="17">
        <f t="shared" si="7"/>
        <v>0.20630144986059257</v>
      </c>
    </row>
    <row r="38" spans="1:10" ht="12" customHeight="1" x14ac:dyDescent="0.3">
      <c r="A38" s="1">
        <f t="shared" si="3"/>
        <v>43571</v>
      </c>
      <c r="B38" s="20">
        <v>3192.9347826086964</v>
      </c>
      <c r="C38" s="20">
        <f t="shared" si="4"/>
        <v>2173.9130434782614</v>
      </c>
      <c r="D38" s="21" t="str">
        <f t="shared" si="0"/>
        <v>190416</v>
      </c>
      <c r="E38" s="22">
        <f t="shared" si="5"/>
        <v>2.458612</v>
      </c>
      <c r="F38" s="9">
        <v>0</v>
      </c>
      <c r="G38" s="14">
        <f t="shared" si="1"/>
        <v>100.07369894643399</v>
      </c>
      <c r="H38" s="24">
        <f t="shared" si="6"/>
        <v>-44.260535660072264</v>
      </c>
      <c r="I38" s="20">
        <f t="shared" si="2"/>
        <v>2129.6525078181894</v>
      </c>
      <c r="J38" s="17">
        <f t="shared" si="7"/>
        <v>0.21296525078181894</v>
      </c>
    </row>
    <row r="39" spans="1:10" ht="12" customHeight="1" x14ac:dyDescent="0.3">
      <c r="A39" s="1">
        <f t="shared" si="3"/>
        <v>43572</v>
      </c>
      <c r="B39" s="20">
        <v>3260.8695652173915</v>
      </c>
      <c r="C39" s="20">
        <f t="shared" si="4"/>
        <v>2241.8478260869565</v>
      </c>
      <c r="D39" s="21" t="str">
        <f t="shared" si="0"/>
        <v>190417</v>
      </c>
      <c r="E39" s="22">
        <f t="shared" si="5"/>
        <v>2.458612</v>
      </c>
      <c r="F39" s="9">
        <v>0</v>
      </c>
      <c r="G39" s="14">
        <f t="shared" si="1"/>
        <v>100.07356973168564</v>
      </c>
      <c r="H39" s="24">
        <f t="shared" si="6"/>
        <v>-45.552683143625927</v>
      </c>
      <c r="I39" s="20">
        <f t="shared" si="2"/>
        <v>2196.2951429433306</v>
      </c>
      <c r="J39" s="17">
        <f t="shared" si="7"/>
        <v>0.21962951429433303</v>
      </c>
    </row>
    <row r="40" spans="1:10" ht="12" customHeight="1" x14ac:dyDescent="0.3">
      <c r="A40" s="1">
        <f t="shared" si="3"/>
        <v>43573</v>
      </c>
      <c r="B40" s="20">
        <v>3328.804347826087</v>
      </c>
      <c r="C40" s="20">
        <f t="shared" si="4"/>
        <v>2309.782608695652</v>
      </c>
      <c r="D40" s="21" t="str">
        <f t="shared" si="0"/>
        <v>190418</v>
      </c>
      <c r="E40" s="22">
        <f t="shared" si="5"/>
        <v>2.458612</v>
      </c>
      <c r="F40" s="9">
        <v>0</v>
      </c>
      <c r="G40" s="14">
        <f t="shared" si="1"/>
        <v>100.07344097955995</v>
      </c>
      <c r="H40" s="24">
        <f t="shared" si="6"/>
        <v>-46.840204400524499</v>
      </c>
      <c r="I40" s="20">
        <f t="shared" si="2"/>
        <v>2262.9424042951277</v>
      </c>
      <c r="J40" s="17">
        <f t="shared" si="7"/>
        <v>0.22629424042951277</v>
      </c>
    </row>
    <row r="41" spans="1:10" ht="12" customHeight="1" x14ac:dyDescent="0.3">
      <c r="A41" s="1">
        <f t="shared" si="3"/>
        <v>43574</v>
      </c>
      <c r="B41" s="20">
        <v>3396.7391304347825</v>
      </c>
      <c r="C41" s="20">
        <f t="shared" si="4"/>
        <v>2377.7173913043475</v>
      </c>
      <c r="D41" s="21" t="str">
        <f t="shared" si="0"/>
        <v>190419</v>
      </c>
      <c r="E41" s="22">
        <f t="shared" si="5"/>
        <v>2.458612</v>
      </c>
      <c r="F41" s="9">
        <v>0</v>
      </c>
      <c r="G41" s="14">
        <f t="shared" si="1"/>
        <v>100.07331269008829</v>
      </c>
      <c r="H41" s="24">
        <f t="shared" si="6"/>
        <v>-48.123099117134416</v>
      </c>
      <c r="I41" s="20">
        <f t="shared" si="2"/>
        <v>2329.5942921872129</v>
      </c>
      <c r="J41" s="17">
        <f t="shared" si="7"/>
        <v>0.23295942921872126</v>
      </c>
    </row>
    <row r="42" spans="1:10" ht="12" customHeight="1" x14ac:dyDescent="0.3">
      <c r="A42" s="1">
        <f t="shared" si="3"/>
        <v>43577</v>
      </c>
      <c r="B42" s="20">
        <v>3600.54347826087</v>
      </c>
      <c r="C42" s="20">
        <f t="shared" si="4"/>
        <v>2581.521739130435</v>
      </c>
      <c r="D42" s="21" t="str">
        <f t="shared" si="0"/>
        <v>190422</v>
      </c>
      <c r="E42" s="22">
        <f t="shared" si="5"/>
        <v>2.458612</v>
      </c>
      <c r="F42" s="9">
        <v>0</v>
      </c>
      <c r="G42" s="14">
        <f t="shared" si="1"/>
        <v>100.07293059791182</v>
      </c>
      <c r="H42" s="24">
        <f t="shared" si="6"/>
        <v>-51.944020881791175</v>
      </c>
      <c r="I42" s="20">
        <f t="shared" si="2"/>
        <v>2529.5777182486436</v>
      </c>
      <c r="J42" s="17">
        <f t="shared" si="7"/>
        <v>0.25295777182486434</v>
      </c>
    </row>
    <row r="43" spans="1:10" ht="12" customHeight="1" x14ac:dyDescent="0.3">
      <c r="A43" s="1">
        <f t="shared" si="3"/>
        <v>43578</v>
      </c>
      <c r="B43" s="20">
        <v>3668.4782608695655</v>
      </c>
      <c r="C43" s="20">
        <f t="shared" si="4"/>
        <v>2649.4565217391305</v>
      </c>
      <c r="D43" s="21" t="str">
        <f t="shared" si="0"/>
        <v>190423</v>
      </c>
      <c r="E43" s="22">
        <f t="shared" si="5"/>
        <v>2.458612</v>
      </c>
      <c r="F43" s="9">
        <v>0</v>
      </c>
      <c r="G43" s="14">
        <f t="shared" si="1"/>
        <v>100.07280415937053</v>
      </c>
      <c r="H43" s="24">
        <f t="shared" si="6"/>
        <v>-53.208406294658062</v>
      </c>
      <c r="I43" s="20">
        <f t="shared" si="2"/>
        <v>2596.2481154444722</v>
      </c>
      <c r="J43" s="17">
        <f t="shared" si="7"/>
        <v>0.25962481154444722</v>
      </c>
    </row>
    <row r="44" spans="1:10" ht="12" customHeight="1" x14ac:dyDescent="0.3">
      <c r="A44" s="1">
        <f t="shared" si="3"/>
        <v>43579</v>
      </c>
      <c r="B44" s="20">
        <v>3736.4130434782605</v>
      </c>
      <c r="C44" s="20">
        <f t="shared" si="4"/>
        <v>2717.3913043478256</v>
      </c>
      <c r="D44" s="21" t="str">
        <f t="shared" si="0"/>
        <v>190424</v>
      </c>
      <c r="E44" s="22">
        <f t="shared" si="5"/>
        <v>2.458612</v>
      </c>
      <c r="F44" s="9">
        <v>0</v>
      </c>
      <c r="G44" s="14">
        <f t="shared" si="1"/>
        <v>100.07267818364032</v>
      </c>
      <c r="H44" s="24">
        <f t="shared" si="6"/>
        <v>-54.468163596794739</v>
      </c>
      <c r="I44" s="20">
        <f t="shared" si="2"/>
        <v>2662.9231407510306</v>
      </c>
      <c r="J44" s="17">
        <f t="shared" si="7"/>
        <v>0.26629231407510306</v>
      </c>
    </row>
    <row r="45" spans="1:10" ht="12" customHeight="1" x14ac:dyDescent="0.3">
      <c r="A45" s="1">
        <f t="shared" si="3"/>
        <v>43580</v>
      </c>
      <c r="B45" s="20">
        <v>3804.347826086957</v>
      </c>
      <c r="C45" s="20">
        <f t="shared" si="4"/>
        <v>2785.326086956522</v>
      </c>
      <c r="D45" s="21" t="str">
        <f t="shared" si="0"/>
        <v>190425</v>
      </c>
      <c r="E45" s="22">
        <f t="shared" si="5"/>
        <v>2.458612</v>
      </c>
      <c r="F45" s="9">
        <v>0</v>
      </c>
      <c r="G45" s="14">
        <f t="shared" si="1"/>
        <v>100.07255267075267</v>
      </c>
      <c r="H45" s="24">
        <f t="shared" si="6"/>
        <v>-55.723292473288666</v>
      </c>
      <c r="I45" s="20">
        <f t="shared" si="2"/>
        <v>2729.6027944832331</v>
      </c>
      <c r="J45" s="17">
        <f t="shared" si="7"/>
        <v>0.2729602794483233</v>
      </c>
    </row>
    <row r="46" spans="1:10" ht="12" customHeight="1" x14ac:dyDescent="0.3">
      <c r="A46" s="1">
        <f t="shared" si="3"/>
        <v>43581</v>
      </c>
      <c r="B46" s="20">
        <v>3872.282608695652</v>
      </c>
      <c r="C46" s="20">
        <f t="shared" si="4"/>
        <v>2853.260869565217</v>
      </c>
      <c r="D46" s="21" t="str">
        <f t="shared" si="0"/>
        <v>190426</v>
      </c>
      <c r="E46" s="22">
        <f t="shared" si="5"/>
        <v>2.458612</v>
      </c>
      <c r="F46" s="9">
        <v>0</v>
      </c>
      <c r="G46" s="14">
        <f t="shared" si="1"/>
        <v>100.07242762073894</v>
      </c>
      <c r="H46" s="24">
        <f t="shared" si="6"/>
        <v>-56.973792610648388</v>
      </c>
      <c r="I46" s="20">
        <f t="shared" si="2"/>
        <v>2796.2870769545689</v>
      </c>
      <c r="J46" s="17">
        <f t="shared" si="7"/>
        <v>0.27962870769545689</v>
      </c>
    </row>
    <row r="47" spans="1:10" ht="12" customHeight="1" x14ac:dyDescent="0.3">
      <c r="A47" s="1">
        <f t="shared" si="3"/>
        <v>43584</v>
      </c>
      <c r="B47" s="20">
        <v>4076.0869565217395</v>
      </c>
      <c r="C47" s="20">
        <f t="shared" si="4"/>
        <v>3057.0652173913045</v>
      </c>
      <c r="D47" s="21" t="str">
        <f t="shared" si="0"/>
        <v>190429</v>
      </c>
      <c r="E47" s="22">
        <f t="shared" si="5"/>
        <v>2.458612</v>
      </c>
      <c r="F47" s="9">
        <v>0</v>
      </c>
      <c r="G47" s="14">
        <f t="shared" si="1"/>
        <v>100.07205524825564</v>
      </c>
      <c r="H47" s="24">
        <f t="shared" si="6"/>
        <v>-60.697517443628612</v>
      </c>
      <c r="I47" s="20">
        <f t="shared" si="2"/>
        <v>2996.3676999476756</v>
      </c>
      <c r="J47" s="17">
        <f t="shared" si="7"/>
        <v>0.29963676999476757</v>
      </c>
    </row>
    <row r="48" spans="1:10" ht="12" customHeight="1" x14ac:dyDescent="0.3">
      <c r="A48" s="1">
        <f t="shared" si="3"/>
        <v>43585</v>
      </c>
      <c r="B48" s="20">
        <v>4144.021739130435</v>
      </c>
      <c r="C48" s="20">
        <f t="shared" si="4"/>
        <v>3125</v>
      </c>
      <c r="D48" s="21" t="str">
        <f t="shared" si="0"/>
        <v>190430</v>
      </c>
      <c r="E48" s="22">
        <f t="shared" si="5"/>
        <v>2.458612</v>
      </c>
      <c r="F48" s="9">
        <v>0</v>
      </c>
      <c r="G48" s="14">
        <f t="shared" si="1"/>
        <v>100.07193205005194</v>
      </c>
      <c r="H48" s="24">
        <f t="shared" si="6"/>
        <v>-61.929499480584127</v>
      </c>
      <c r="I48" s="20">
        <f t="shared" si="2"/>
        <v>3063.0705005194159</v>
      </c>
      <c r="J48" s="17">
        <f t="shared" si="7"/>
        <v>0.30630705005194159</v>
      </c>
    </row>
    <row r="49" spans="1:10" ht="12" customHeight="1" x14ac:dyDescent="0.3">
      <c r="A49" s="1">
        <f t="shared" si="3"/>
        <v>43586</v>
      </c>
      <c r="B49" s="20">
        <v>4211.95652173913</v>
      </c>
      <c r="C49" s="20">
        <f t="shared" si="4"/>
        <v>3192.9347826086951</v>
      </c>
      <c r="D49" s="21" t="str">
        <f t="shared" si="0"/>
        <v>190501</v>
      </c>
      <c r="E49" s="22">
        <f t="shared" si="5"/>
        <v>2.458612</v>
      </c>
      <c r="F49" s="9">
        <v>0</v>
      </c>
      <c r="G49" s="14">
        <f t="shared" si="1"/>
        <v>100.0718093148793</v>
      </c>
      <c r="H49" s="24">
        <f t="shared" si="6"/>
        <v>-63.156851206969122</v>
      </c>
      <c r="I49" s="20">
        <f t="shared" si="2"/>
        <v>3129.7779314017262</v>
      </c>
      <c r="J49" s="17">
        <f t="shared" si="7"/>
        <v>0.3129777931401726</v>
      </c>
    </row>
    <row r="50" spans="1:10" ht="12" customHeight="1" x14ac:dyDescent="0.3">
      <c r="A50" s="1">
        <f t="shared" si="3"/>
        <v>43587</v>
      </c>
      <c r="B50" s="20">
        <v>4279.8913043478269</v>
      </c>
      <c r="C50" s="20">
        <f t="shared" si="4"/>
        <v>3260.8695652173919</v>
      </c>
      <c r="D50" s="21" t="str">
        <f t="shared" si="0"/>
        <v>190502</v>
      </c>
      <c r="E50" s="22">
        <f t="shared" si="5"/>
        <v>2.458612</v>
      </c>
      <c r="F50" s="9">
        <v>0</v>
      </c>
      <c r="G50" s="14">
        <f t="shared" si="1"/>
        <v>100.07168704276916</v>
      </c>
      <c r="H50" s="24">
        <f t="shared" si="6"/>
        <v>-64.379572308439492</v>
      </c>
      <c r="I50" s="20">
        <f t="shared" si="2"/>
        <v>3196.4899929089524</v>
      </c>
      <c r="J50" s="17">
        <f t="shared" si="7"/>
        <v>0.31964899929089524</v>
      </c>
    </row>
    <row r="51" spans="1:10" ht="12" customHeight="1" x14ac:dyDescent="0.3">
      <c r="A51" s="1">
        <f t="shared" si="3"/>
        <v>43588</v>
      </c>
      <c r="B51" s="20">
        <v>4347.826086956522</v>
      </c>
      <c r="C51" s="20">
        <f t="shared" si="4"/>
        <v>3328.804347826087</v>
      </c>
      <c r="D51" s="21" t="str">
        <f t="shared" si="0"/>
        <v>190503</v>
      </c>
      <c r="E51" s="22">
        <f t="shared" si="5"/>
        <v>2.458612</v>
      </c>
      <c r="F51" s="9">
        <v>0</v>
      </c>
      <c r="G51" s="14">
        <f t="shared" si="1"/>
        <v>100.07156523375293</v>
      </c>
      <c r="H51" s="24">
        <f t="shared" si="6"/>
        <v>-65.59766247065113</v>
      </c>
      <c r="I51" s="20">
        <f t="shared" si="2"/>
        <v>3263.2066853554361</v>
      </c>
      <c r="J51" s="17">
        <f t="shared" si="7"/>
        <v>0.32632066853554365</v>
      </c>
    </row>
    <row r="52" spans="1:10" ht="12" customHeight="1" x14ac:dyDescent="0.3">
      <c r="A52" s="1">
        <f t="shared" si="3"/>
        <v>43591</v>
      </c>
      <c r="B52" s="20">
        <v>4551.630434782609</v>
      </c>
      <c r="C52" s="20">
        <f t="shared" si="4"/>
        <v>3532.608695652174</v>
      </c>
      <c r="D52" s="21" t="str">
        <f t="shared" si="0"/>
        <v>190506</v>
      </c>
      <c r="E52" s="22">
        <f t="shared" si="5"/>
        <v>2.458612</v>
      </c>
      <c r="F52" s="9">
        <v>0</v>
      </c>
      <c r="G52" s="14">
        <f t="shared" si="1"/>
        <v>100.07120258558226</v>
      </c>
      <c r="H52" s="24">
        <f t="shared" si="6"/>
        <v>-69.224144177439939</v>
      </c>
      <c r="I52" s="20">
        <f t="shared" si="2"/>
        <v>3463.3845514747341</v>
      </c>
      <c r="J52" s="17">
        <f t="shared" si="7"/>
        <v>0.34633845514747341</v>
      </c>
    </row>
    <row r="53" spans="1:10" ht="12" customHeight="1" x14ac:dyDescent="0.3">
      <c r="A53" s="1">
        <f t="shared" si="3"/>
        <v>43592</v>
      </c>
      <c r="B53" s="20">
        <v>4619.565217391304</v>
      </c>
      <c r="C53" s="20">
        <f t="shared" si="4"/>
        <v>3600.5434782608691</v>
      </c>
      <c r="D53" s="21" t="str">
        <f t="shared" si="0"/>
        <v>190507</v>
      </c>
      <c r="E53" s="22">
        <f t="shared" si="5"/>
        <v>2.458612</v>
      </c>
      <c r="F53" s="9">
        <v>0</v>
      </c>
      <c r="G53" s="14">
        <f t="shared" si="1"/>
        <v>100.07108262925614</v>
      </c>
      <c r="H53" s="24">
        <f t="shared" si="6"/>
        <v>-70.423707438607153</v>
      </c>
      <c r="I53" s="20">
        <f t="shared" si="2"/>
        <v>3530.1197708222617</v>
      </c>
      <c r="J53" s="17">
        <f t="shared" si="7"/>
        <v>0.3530119770822262</v>
      </c>
    </row>
    <row r="54" spans="1:10" ht="12" customHeight="1" x14ac:dyDescent="0.3">
      <c r="A54" s="1">
        <f t="shared" si="3"/>
        <v>43593</v>
      </c>
      <c r="B54" s="20">
        <v>4687.5</v>
      </c>
      <c r="C54" s="20">
        <f t="shared" si="4"/>
        <v>3668.478260869565</v>
      </c>
      <c r="D54" s="21" t="str">
        <f t="shared" si="0"/>
        <v>190508</v>
      </c>
      <c r="E54" s="22">
        <f t="shared" si="5"/>
        <v>2.458612</v>
      </c>
      <c r="F54" s="9">
        <v>0</v>
      </c>
      <c r="G54" s="14">
        <f t="shared" si="1"/>
        <v>100.07096313618115</v>
      </c>
      <c r="H54" s="24">
        <f t="shared" si="6"/>
        <v>-71.618638188510886</v>
      </c>
      <c r="I54" s="20">
        <f t="shared" si="2"/>
        <v>3596.8596226810541</v>
      </c>
      <c r="J54" s="17">
        <f t="shared" si="7"/>
        <v>0.35968596226810545</v>
      </c>
    </row>
    <row r="55" spans="1:10" ht="12" customHeight="1" x14ac:dyDescent="0.3">
      <c r="A55" s="1">
        <f t="shared" si="3"/>
        <v>43594</v>
      </c>
      <c r="B55" s="20">
        <v>4755.434782608696</v>
      </c>
      <c r="C55" s="20">
        <f t="shared" si="4"/>
        <v>3736.413043478261</v>
      </c>
      <c r="D55" s="21" t="str">
        <f t="shared" si="0"/>
        <v>190509</v>
      </c>
      <c r="E55" s="22">
        <f t="shared" si="5"/>
        <v>2.458612</v>
      </c>
      <c r="F55" s="9">
        <v>0</v>
      </c>
      <c r="G55" s="14">
        <f t="shared" si="1"/>
        <v>100.07084410638875</v>
      </c>
      <c r="H55" s="24">
        <f t="shared" si="6"/>
        <v>-72.808936112522815</v>
      </c>
      <c r="I55" s="20">
        <f t="shared" si="2"/>
        <v>3663.6041073657379</v>
      </c>
      <c r="J55" s="17">
        <f t="shared" si="7"/>
        <v>0.36636041073657377</v>
      </c>
    </row>
    <row r="56" spans="1:10" ht="12" customHeight="1" x14ac:dyDescent="0.3">
      <c r="A56" s="1">
        <f t="shared" si="3"/>
        <v>43595</v>
      </c>
      <c r="B56" s="20">
        <v>4823.369565217391</v>
      </c>
      <c r="C56" s="20">
        <f t="shared" si="4"/>
        <v>3804.347826086956</v>
      </c>
      <c r="D56" s="21" t="str">
        <f t="shared" si="0"/>
        <v>190510</v>
      </c>
      <c r="E56" s="22">
        <f t="shared" si="5"/>
        <v>2.458612</v>
      </c>
      <c r="F56" s="9">
        <v>0</v>
      </c>
      <c r="G56" s="14">
        <f t="shared" si="1"/>
        <v>100.07072553991037</v>
      </c>
      <c r="H56" s="24">
        <f t="shared" si="6"/>
        <v>-73.994600896298834</v>
      </c>
      <c r="I56" s="20">
        <f t="shared" si="2"/>
        <v>3730.3532251906572</v>
      </c>
      <c r="J56" s="17">
        <f t="shared" si="7"/>
        <v>0.37303532251906574</v>
      </c>
    </row>
    <row r="57" spans="1:10" ht="12" customHeight="1" x14ac:dyDescent="0.3">
      <c r="A57" s="1">
        <f t="shared" si="3"/>
        <v>43598</v>
      </c>
      <c r="B57" s="20">
        <v>5027.1739130434789</v>
      </c>
      <c r="C57" s="20">
        <f t="shared" si="4"/>
        <v>4008.152173913044</v>
      </c>
      <c r="D57" s="21" t="str">
        <f t="shared" si="0"/>
        <v>190513</v>
      </c>
      <c r="E57" s="22">
        <f t="shared" si="5"/>
        <v>2.458612</v>
      </c>
      <c r="F57" s="9">
        <v>0</v>
      </c>
      <c r="G57" s="14">
        <f t="shared" si="1"/>
        <v>100.07037262067385</v>
      </c>
      <c r="H57" s="24">
        <f t="shared" si="6"/>
        <v>-77.523793261491392</v>
      </c>
      <c r="I57" s="20">
        <f t="shared" si="2"/>
        <v>3930.6283806515526</v>
      </c>
      <c r="J57" s="17">
        <f t="shared" si="7"/>
        <v>0.39306283806515524</v>
      </c>
    </row>
    <row r="58" spans="1:10" ht="12" customHeight="1" x14ac:dyDescent="0.3">
      <c r="A58" s="1">
        <f t="shared" si="3"/>
        <v>43599</v>
      </c>
      <c r="B58" s="20">
        <v>5095.108695652174</v>
      </c>
      <c r="C58" s="20">
        <f t="shared" si="4"/>
        <v>4076.086956521739</v>
      </c>
      <c r="D58" s="21" t="str">
        <f t="shared" si="0"/>
        <v>190514</v>
      </c>
      <c r="E58" s="22">
        <f t="shared" si="5"/>
        <v>2.458612</v>
      </c>
      <c r="F58" s="9">
        <v>0</v>
      </c>
      <c r="G58" s="14">
        <f t="shared" si="1"/>
        <v>100.07025590776611</v>
      </c>
      <c r="H58" s="24">
        <f t="shared" si="6"/>
        <v>-78.690922338893188</v>
      </c>
      <c r="I58" s="20">
        <f t="shared" si="2"/>
        <v>3997.3960341828461</v>
      </c>
      <c r="J58" s="17">
        <f t="shared" si="7"/>
        <v>0.39973960341828463</v>
      </c>
    </row>
    <row r="59" spans="1:10" ht="12" customHeight="1" x14ac:dyDescent="0.3">
      <c r="A59" s="1">
        <f t="shared" si="3"/>
        <v>43600</v>
      </c>
      <c r="B59" s="20">
        <v>5163.0434782608691</v>
      </c>
      <c r="C59" s="20">
        <f t="shared" si="4"/>
        <v>4144.0217391304341</v>
      </c>
      <c r="D59" s="21" t="str">
        <f t="shared" si="0"/>
        <v>190515</v>
      </c>
      <c r="E59" s="22">
        <f t="shared" si="5"/>
        <v>2.458612</v>
      </c>
      <c r="F59" s="9">
        <v>0</v>
      </c>
      <c r="G59" s="14">
        <f t="shared" si="1"/>
        <v>100.07013965832961</v>
      </c>
      <c r="H59" s="24">
        <f t="shared" si="6"/>
        <v>-79.853416703912217</v>
      </c>
      <c r="I59" s="20">
        <f t="shared" si="2"/>
        <v>4064.1683224265216</v>
      </c>
      <c r="J59" s="17">
        <f t="shared" si="7"/>
        <v>0.40641683224265213</v>
      </c>
    </row>
    <row r="60" spans="1:10" ht="12" customHeight="1" x14ac:dyDescent="0.3">
      <c r="A60" s="1">
        <f t="shared" si="3"/>
        <v>43601</v>
      </c>
      <c r="B60" s="20">
        <v>5230.978260869565</v>
      </c>
      <c r="C60" s="20">
        <f t="shared" si="4"/>
        <v>4211.95652173913</v>
      </c>
      <c r="D60" s="21" t="str">
        <f t="shared" si="0"/>
        <v>190516</v>
      </c>
      <c r="E60" s="22">
        <f t="shared" si="5"/>
        <v>2.458612</v>
      </c>
      <c r="F60" s="9">
        <v>0</v>
      </c>
      <c r="G60" s="14">
        <f t="shared" si="1"/>
        <v>100.07002387239589</v>
      </c>
      <c r="H60" s="24">
        <f t="shared" si="6"/>
        <v>-81.011276041067504</v>
      </c>
      <c r="I60" s="20">
        <f t="shared" si="2"/>
        <v>4130.9452456980625</v>
      </c>
      <c r="J60" s="17">
        <f t="shared" si="7"/>
        <v>0.41309452456980622</v>
      </c>
    </row>
    <row r="61" spans="1:10" ht="12" customHeight="1" x14ac:dyDescent="0.3">
      <c r="A61" s="1">
        <f t="shared" si="3"/>
        <v>43602</v>
      </c>
      <c r="B61" s="20">
        <v>5298.9130434782601</v>
      </c>
      <c r="C61" s="20">
        <f t="shared" si="4"/>
        <v>4279.8913043478251</v>
      </c>
      <c r="D61" s="21" t="str">
        <f t="shared" si="0"/>
        <v>190517</v>
      </c>
      <c r="E61" s="22">
        <f t="shared" si="5"/>
        <v>2.458612</v>
      </c>
      <c r="F61" s="9">
        <v>0</v>
      </c>
      <c r="G61" s="14">
        <f t="shared" si="1"/>
        <v>100.06990854999638</v>
      </c>
      <c r="H61" s="24">
        <f t="shared" si="6"/>
        <v>-82.164500036157037</v>
      </c>
      <c r="I61" s="20">
        <f t="shared" si="2"/>
        <v>4197.7268043116683</v>
      </c>
      <c r="J61" s="17">
        <f t="shared" si="7"/>
        <v>0.41977268043116683</v>
      </c>
    </row>
    <row r="62" spans="1:10" ht="12" customHeight="1" x14ac:dyDescent="0.3">
      <c r="A62" s="1">
        <f t="shared" si="3"/>
        <v>43605</v>
      </c>
      <c r="B62" s="20">
        <v>5502.717391304348</v>
      </c>
      <c r="C62" s="20">
        <f t="shared" si="4"/>
        <v>4483.695652173913</v>
      </c>
      <c r="D62" s="21" t="str">
        <f t="shared" si="0"/>
        <v>190520</v>
      </c>
      <c r="E62" s="22">
        <f t="shared" si="5"/>
        <v>2.458612</v>
      </c>
      <c r="F62" s="9">
        <v>0</v>
      </c>
      <c r="G62" s="14">
        <f t="shared" si="1"/>
        <v>100.06956536431787</v>
      </c>
      <c r="H62" s="24">
        <f t="shared" si="6"/>
        <v>-85.596356821326935</v>
      </c>
      <c r="I62" s="20">
        <f t="shared" si="2"/>
        <v>4398.0992953525856</v>
      </c>
      <c r="J62" s="17">
        <f t="shared" si="7"/>
        <v>0.43980992953525855</v>
      </c>
    </row>
    <row r="63" spans="1:10" ht="12" customHeight="1" x14ac:dyDescent="0.3">
      <c r="A63" s="1">
        <f t="shared" si="3"/>
        <v>43606</v>
      </c>
      <c r="B63" s="20">
        <v>5570.652173913043</v>
      </c>
      <c r="C63" s="20">
        <f t="shared" si="4"/>
        <v>4551.6304347826081</v>
      </c>
      <c r="D63" s="21" t="str">
        <f t="shared" si="0"/>
        <v>190521</v>
      </c>
      <c r="E63" s="22">
        <f t="shared" si="5"/>
        <v>2.458612</v>
      </c>
      <c r="F63" s="9">
        <v>0</v>
      </c>
      <c r="G63" s="14">
        <f t="shared" si="1"/>
        <v>100.06945189636991</v>
      </c>
      <c r="H63" s="24">
        <f t="shared" si="6"/>
        <v>-86.73103630087553</v>
      </c>
      <c r="I63" s="20">
        <f t="shared" si="2"/>
        <v>4464.8993984817325</v>
      </c>
      <c r="J63" s="17">
        <f t="shared" si="7"/>
        <v>0.44648993984817326</v>
      </c>
    </row>
    <row r="64" spans="1:10" ht="12" customHeight="1" x14ac:dyDescent="0.3">
      <c r="A64" s="1">
        <f t="shared" si="3"/>
        <v>43607</v>
      </c>
      <c r="B64" s="20">
        <v>5638.5869565217399</v>
      </c>
      <c r="C64" s="20">
        <f t="shared" si="4"/>
        <v>4619.5652173913049</v>
      </c>
      <c r="D64" s="21" t="str">
        <f t="shared" si="0"/>
        <v>190522</v>
      </c>
      <c r="E64" s="22">
        <f t="shared" si="5"/>
        <v>2.458612</v>
      </c>
      <c r="F64" s="9">
        <v>0</v>
      </c>
      <c r="G64" s="14">
        <f t="shared" si="1"/>
        <v>100.06933889211354</v>
      </c>
      <c r="H64" s="24">
        <f t="shared" si="6"/>
        <v>-87.861078864648334</v>
      </c>
      <c r="I64" s="20">
        <f t="shared" si="2"/>
        <v>4531.7041385266566</v>
      </c>
      <c r="J64" s="17">
        <f t="shared" si="7"/>
        <v>0.45317041385266565</v>
      </c>
    </row>
    <row r="65" spans="1:10" ht="12" customHeight="1" x14ac:dyDescent="0.3">
      <c r="A65" s="1">
        <f t="shared" si="3"/>
        <v>43608</v>
      </c>
      <c r="B65" s="20">
        <v>5706.521739130435</v>
      </c>
      <c r="C65" s="20">
        <f t="shared" si="4"/>
        <v>4687.5</v>
      </c>
      <c r="D65" s="21" t="str">
        <f t="shared" si="0"/>
        <v>190523</v>
      </c>
      <c r="E65" s="22">
        <f t="shared" si="5"/>
        <v>2.458612</v>
      </c>
      <c r="F65" s="9">
        <v>0</v>
      </c>
      <c r="G65" s="14">
        <f t="shared" si="1"/>
        <v>100.06922635158018</v>
      </c>
      <c r="H65" s="24">
        <f t="shared" si="6"/>
        <v>-88.986484198159118</v>
      </c>
      <c r="I65" s="20">
        <f t="shared" si="2"/>
        <v>4598.5135158018411</v>
      </c>
      <c r="J65" s="17">
        <f t="shared" si="7"/>
        <v>0.45985135158018409</v>
      </c>
    </row>
    <row r="66" spans="1:10" ht="12" customHeight="1" x14ac:dyDescent="0.3">
      <c r="A66" s="1">
        <f t="shared" si="3"/>
        <v>43609</v>
      </c>
      <c r="B66" s="20">
        <v>5774.4565217391309</v>
      </c>
      <c r="C66" s="20">
        <f t="shared" si="4"/>
        <v>4755.434782608696</v>
      </c>
      <c r="D66" s="21" t="str">
        <f t="shared" si="0"/>
        <v>190524</v>
      </c>
      <c r="E66" s="22">
        <f t="shared" si="5"/>
        <v>2.458612</v>
      </c>
      <c r="F66" s="9">
        <v>0</v>
      </c>
      <c r="G66" s="14">
        <f t="shared" si="1"/>
        <v>100.06911427480136</v>
      </c>
      <c r="H66" s="24">
        <f t="shared" si="6"/>
        <v>-90.107251986353276</v>
      </c>
      <c r="I66" s="20">
        <f t="shared" si="2"/>
        <v>4665.3275306223422</v>
      </c>
      <c r="J66" s="17">
        <f t="shared" si="7"/>
        <v>0.46653275306223424</v>
      </c>
    </row>
    <row r="67" spans="1:10" ht="12" customHeight="1" x14ac:dyDescent="0.3">
      <c r="A67" s="1">
        <f t="shared" si="3"/>
        <v>43612</v>
      </c>
      <c r="B67" s="20">
        <v>5978.260869565217</v>
      </c>
      <c r="C67" s="20">
        <f t="shared" si="4"/>
        <v>4959.2391304347821</v>
      </c>
      <c r="D67" s="21" t="str">
        <f t="shared" si="0"/>
        <v>190527</v>
      </c>
      <c r="E67" s="22">
        <f t="shared" si="5"/>
        <v>2.458612</v>
      </c>
      <c r="F67" s="9">
        <v>0</v>
      </c>
      <c r="G67" s="14">
        <f t="shared" si="1"/>
        <v>100.06878082730677</v>
      </c>
      <c r="H67" s="24">
        <f t="shared" si="6"/>
        <v>-93.441726932326219</v>
      </c>
      <c r="I67" s="20">
        <f t="shared" si="2"/>
        <v>4865.7974035024563</v>
      </c>
      <c r="J67" s="17">
        <f t="shared" si="7"/>
        <v>0.48657974035024559</v>
      </c>
    </row>
    <row r="68" spans="1:10" ht="12" customHeight="1" x14ac:dyDescent="0.3">
      <c r="A68" s="1">
        <f t="shared" si="3"/>
        <v>43613</v>
      </c>
      <c r="B68" s="20">
        <v>6046.1956521739121</v>
      </c>
      <c r="C68" s="20">
        <f t="shared" si="4"/>
        <v>5027.1739130434771</v>
      </c>
      <c r="D68" s="21" t="str">
        <f t="shared" si="0"/>
        <v>190528</v>
      </c>
      <c r="E68" s="22">
        <f t="shared" si="5"/>
        <v>2.458612</v>
      </c>
      <c r="F68" s="9">
        <v>0</v>
      </c>
      <c r="G68" s="14">
        <f t="shared" si="1"/>
        <v>100.06867060586085</v>
      </c>
      <c r="H68" s="24">
        <f t="shared" si="6"/>
        <v>-94.54394139154941</v>
      </c>
      <c r="I68" s="20">
        <f t="shared" si="2"/>
        <v>4932.6299716519279</v>
      </c>
      <c r="J68" s="17">
        <f t="shared" si="7"/>
        <v>0.49326299716519284</v>
      </c>
    </row>
    <row r="69" spans="1:10" ht="12" customHeight="1" x14ac:dyDescent="0.3">
      <c r="A69" s="1">
        <f t="shared" si="3"/>
        <v>43614</v>
      </c>
      <c r="B69" s="20">
        <v>6114.130434782609</v>
      </c>
      <c r="C69" s="20">
        <f t="shared" si="4"/>
        <v>5095.108695652174</v>
      </c>
      <c r="D69" s="21" t="str">
        <f t="shared" si="0"/>
        <v>190529</v>
      </c>
      <c r="E69" s="22">
        <f t="shared" si="5"/>
        <v>2.458612</v>
      </c>
      <c r="F69" s="9">
        <v>0</v>
      </c>
      <c r="G69" s="14">
        <f t="shared" si="1"/>
        <v>100.06856084832687</v>
      </c>
      <c r="H69" s="24">
        <f t="shared" si="6"/>
        <v>-95.641516731319612</v>
      </c>
      <c r="I69" s="20">
        <f t="shared" si="2"/>
        <v>4999.4671789208542</v>
      </c>
      <c r="J69" s="17">
        <f t="shared" si="7"/>
        <v>0.49994671789208545</v>
      </c>
    </row>
    <row r="70" spans="1:10" ht="12" customHeight="1" x14ac:dyDescent="0.3">
      <c r="A70" s="1">
        <f t="shared" si="3"/>
        <v>43615</v>
      </c>
      <c r="B70" s="20">
        <v>6182.065217391304</v>
      </c>
      <c r="C70" s="20">
        <f t="shared" si="4"/>
        <v>5163.0434782608691</v>
      </c>
      <c r="D70" s="21" t="str">
        <f t="shared" si="0"/>
        <v>190530</v>
      </c>
      <c r="E70" s="22">
        <f t="shared" si="5"/>
        <v>2.458612</v>
      </c>
      <c r="F70" s="9">
        <v>0</v>
      </c>
      <c r="G70" s="14">
        <f t="shared" si="1"/>
        <v>100.06845155473631</v>
      </c>
      <c r="H70" s="24">
        <f t="shared" si="6"/>
        <v>-96.734452636866294</v>
      </c>
      <c r="I70" s="20">
        <f t="shared" si="2"/>
        <v>5066.309025624003</v>
      </c>
      <c r="J70" s="17">
        <f t="shared" si="7"/>
        <v>0.50663090256240029</v>
      </c>
    </row>
    <row r="71" spans="1:10" ht="12" customHeight="1" x14ac:dyDescent="0.3">
      <c r="A71" s="1">
        <f t="shared" si="3"/>
        <v>43616</v>
      </c>
      <c r="B71" s="20">
        <v>6250</v>
      </c>
      <c r="C71" s="20">
        <f t="shared" si="4"/>
        <v>5230.978260869565</v>
      </c>
      <c r="D71" s="21" t="str">
        <f t="shared" si="0"/>
        <v>190531</v>
      </c>
      <c r="E71" s="22">
        <f t="shared" si="5"/>
        <v>2.458612</v>
      </c>
      <c r="F71" s="9">
        <v>0</v>
      </c>
      <c r="G71" s="14">
        <f t="shared" si="1"/>
        <v>100.06834272512067</v>
      </c>
      <c r="H71" s="24">
        <f t="shared" si="6"/>
        <v>-97.822748793277029</v>
      </c>
      <c r="I71" s="20">
        <f t="shared" si="2"/>
        <v>5133.1555120762878</v>
      </c>
      <c r="J71" s="17">
        <f t="shared" si="7"/>
        <v>0.51331555120762884</v>
      </c>
    </row>
    <row r="72" spans="1:10" ht="12" customHeight="1" x14ac:dyDescent="0.3">
      <c r="A72" s="1">
        <f t="shared" si="3"/>
        <v>43619</v>
      </c>
      <c r="B72" s="20">
        <v>6453.8043478260861</v>
      </c>
      <c r="C72" s="20">
        <f t="shared" si="4"/>
        <v>5434.7826086956511</v>
      </c>
      <c r="D72" s="21" t="str">
        <f t="shared" si="0"/>
        <v>190603</v>
      </c>
      <c r="E72" s="22">
        <f t="shared" si="5"/>
        <v>2.458612</v>
      </c>
      <c r="F72" s="9">
        <v>0</v>
      </c>
      <c r="G72" s="14">
        <f t="shared" si="1"/>
        <v>100.06801902043823</v>
      </c>
      <c r="H72" s="24">
        <f t="shared" si="6"/>
        <v>-101.05979561771507</v>
      </c>
      <c r="I72" s="20">
        <f t="shared" si="2"/>
        <v>5333.7228130779358</v>
      </c>
      <c r="J72" s="17">
        <f t="shared" si="7"/>
        <v>0.53337228130779357</v>
      </c>
    </row>
    <row r="73" spans="1:10" ht="12" customHeight="1" x14ac:dyDescent="0.3">
      <c r="A73" s="1">
        <f t="shared" si="3"/>
        <v>43620</v>
      </c>
      <c r="B73" s="20">
        <v>6521.739130434783</v>
      </c>
      <c r="C73" s="20">
        <f t="shared" si="4"/>
        <v>5502.717391304348</v>
      </c>
      <c r="D73" s="21" t="str">
        <f t="shared" si="0"/>
        <v>190604</v>
      </c>
      <c r="E73" s="22">
        <f t="shared" si="5"/>
        <v>2.458612</v>
      </c>
      <c r="F73" s="9">
        <v>0</v>
      </c>
      <c r="G73" s="14">
        <f t="shared" si="1"/>
        <v>100.06791204703728</v>
      </c>
      <c r="H73" s="24">
        <f t="shared" si="6"/>
        <v>-102.12952962717736</v>
      </c>
      <c r="I73" s="20">
        <f t="shared" si="2"/>
        <v>5400.5878616771706</v>
      </c>
      <c r="J73" s="17">
        <f t="shared" si="7"/>
        <v>0.54005878616771708</v>
      </c>
    </row>
    <row r="74" spans="1:10" ht="12" customHeight="1" x14ac:dyDescent="0.3">
      <c r="A74" s="1">
        <f t="shared" si="3"/>
        <v>43621</v>
      </c>
      <c r="B74" s="20">
        <v>6589.6739130434789</v>
      </c>
      <c r="C74" s="20">
        <f t="shared" si="4"/>
        <v>5570.652173913044</v>
      </c>
      <c r="D74" s="21" t="str">
        <f t="shared" si="0"/>
        <v>190605</v>
      </c>
      <c r="E74" s="22">
        <f t="shared" si="5"/>
        <v>2.458612</v>
      </c>
      <c r="F74" s="9">
        <v>0</v>
      </c>
      <c r="G74" s="14">
        <f t="shared" si="1"/>
        <v>100.06780553776871</v>
      </c>
      <c r="H74" s="24">
        <f t="shared" si="6"/>
        <v>-103.19462231294095</v>
      </c>
      <c r="I74" s="20">
        <f t="shared" si="2"/>
        <v>5467.4575516001032</v>
      </c>
      <c r="J74" s="17">
        <f t="shared" si="7"/>
        <v>0.54674575516001034</v>
      </c>
    </row>
    <row r="75" spans="1:10" ht="12" customHeight="1" x14ac:dyDescent="0.3">
      <c r="A75" s="1">
        <f t="shared" si="3"/>
        <v>43622</v>
      </c>
      <c r="B75" s="20">
        <v>6657.608695652174</v>
      </c>
      <c r="C75" s="20">
        <f t="shared" si="4"/>
        <v>5638.586956521739</v>
      </c>
      <c r="D75" s="21" t="str">
        <f t="shared" si="0"/>
        <v>190606</v>
      </c>
      <c r="E75" s="22">
        <f t="shared" si="5"/>
        <v>2.458612</v>
      </c>
      <c r="F75" s="9">
        <v>0</v>
      </c>
      <c r="G75" s="14">
        <f t="shared" si="1"/>
        <v>100.06769949266409</v>
      </c>
      <c r="H75" s="24">
        <f t="shared" si="6"/>
        <v>-104.25507335909857</v>
      </c>
      <c r="I75" s="20">
        <f t="shared" si="2"/>
        <v>5534.3318831626402</v>
      </c>
      <c r="J75" s="17">
        <f t="shared" si="7"/>
        <v>0.55343318831626398</v>
      </c>
    </row>
    <row r="76" spans="1:10" ht="12" customHeight="1" x14ac:dyDescent="0.3">
      <c r="A76" s="1">
        <f t="shared" si="3"/>
        <v>43623</v>
      </c>
      <c r="B76" s="20">
        <v>6725.5434782608691</v>
      </c>
      <c r="C76" s="20">
        <f t="shared" si="4"/>
        <v>5706.5217391304341</v>
      </c>
      <c r="D76" s="21" t="str">
        <f t="shared" si="0"/>
        <v>190607</v>
      </c>
      <c r="E76" s="22">
        <f t="shared" si="5"/>
        <v>2.458612</v>
      </c>
      <c r="F76" s="9">
        <v>0</v>
      </c>
      <c r="G76" s="14">
        <f t="shared" si="1"/>
        <v>100.0675939117549</v>
      </c>
      <c r="H76" s="24">
        <f t="shared" si="6"/>
        <v>-105.31088245102183</v>
      </c>
      <c r="I76" s="20">
        <f t="shared" si="2"/>
        <v>5601.2108566794122</v>
      </c>
      <c r="J76" s="17">
        <f t="shared" si="7"/>
        <v>0.56012108566794117</v>
      </c>
    </row>
    <row r="77" spans="1:10" ht="12" customHeight="1" x14ac:dyDescent="0.3">
      <c r="A77" s="1">
        <f t="shared" si="3"/>
        <v>43626</v>
      </c>
      <c r="B77" s="20">
        <v>6929.347826086957</v>
      </c>
      <c r="C77" s="20">
        <f t="shared" si="4"/>
        <v>5910.326086956522</v>
      </c>
      <c r="D77" s="21" t="str">
        <f t="shared" si="0"/>
        <v>190610</v>
      </c>
      <c r="E77" s="22">
        <f t="shared" si="5"/>
        <v>2.458612</v>
      </c>
      <c r="F77" s="9">
        <v>0</v>
      </c>
      <c r="G77" s="14">
        <f t="shared" si="1"/>
        <v>100.06727995451503</v>
      </c>
      <c r="H77" s="24">
        <f t="shared" si="6"/>
        <v>-108.4504548497023</v>
      </c>
      <c r="I77" s="20">
        <f t="shared" si="2"/>
        <v>5801.8756321068195</v>
      </c>
      <c r="J77" s="17">
        <f t="shared" si="7"/>
        <v>0.58018756321068199</v>
      </c>
    </row>
    <row r="78" spans="1:10" ht="12" customHeight="1" x14ac:dyDescent="0.3">
      <c r="A78" s="1">
        <f t="shared" si="3"/>
        <v>43627</v>
      </c>
      <c r="B78" s="20">
        <v>6997.2826086956529</v>
      </c>
      <c r="C78" s="20">
        <f t="shared" si="4"/>
        <v>5978.2608695652179</v>
      </c>
      <c r="D78" s="21" t="str">
        <f t="shared" si="0"/>
        <v>190611</v>
      </c>
      <c r="E78" s="22">
        <f t="shared" si="5"/>
        <v>2.458612</v>
      </c>
      <c r="F78" s="9">
        <v>0</v>
      </c>
      <c r="G78" s="14">
        <f t="shared" si="1"/>
        <v>100.06717623070267</v>
      </c>
      <c r="H78" s="24">
        <f t="shared" si="6"/>
        <v>-109.48769297328909</v>
      </c>
      <c r="I78" s="20">
        <f t="shared" si="2"/>
        <v>5868.7731765919289</v>
      </c>
      <c r="J78" s="17">
        <f t="shared" si="7"/>
        <v>0.58687731765919282</v>
      </c>
    </row>
    <row r="79" spans="1:10" ht="12" customHeight="1" x14ac:dyDescent="0.3">
      <c r="A79" s="1">
        <f t="shared" si="3"/>
        <v>43628</v>
      </c>
      <c r="B79" s="20">
        <v>7065.2173913043471</v>
      </c>
      <c r="C79" s="20">
        <f t="shared" si="4"/>
        <v>6046.1956521739121</v>
      </c>
      <c r="D79" s="21" t="str">
        <f t="shared" si="0"/>
        <v>190612</v>
      </c>
      <c r="E79" s="22">
        <f t="shared" si="5"/>
        <v>2.458612</v>
      </c>
      <c r="F79" s="9">
        <v>0</v>
      </c>
      <c r="G79" s="14">
        <f t="shared" si="1"/>
        <v>100.06707297124332</v>
      </c>
      <c r="H79" s="24">
        <f t="shared" si="6"/>
        <v>-110.52028756679989</v>
      </c>
      <c r="I79" s="20">
        <f t="shared" si="2"/>
        <v>5935.675364607112</v>
      </c>
      <c r="J79" s="17">
        <f t="shared" si="7"/>
        <v>0.59356753646071125</v>
      </c>
    </row>
    <row r="80" spans="1:10" ht="12" customHeight="1" x14ac:dyDescent="0.3">
      <c r="A80" s="1">
        <f t="shared" si="3"/>
        <v>43629</v>
      </c>
      <c r="B80" s="20">
        <v>7133.152173913043</v>
      </c>
      <c r="C80" s="20">
        <f t="shared" si="4"/>
        <v>6114.1304347826081</v>
      </c>
      <c r="D80" s="21" t="str">
        <f t="shared" si="0"/>
        <v>190613</v>
      </c>
      <c r="E80" s="22">
        <f t="shared" si="5"/>
        <v>2.458612</v>
      </c>
      <c r="F80" s="9">
        <v>0</v>
      </c>
      <c r="G80" s="14">
        <f t="shared" si="1"/>
        <v>100.06697017616852</v>
      </c>
      <c r="H80" s="24">
        <f t="shared" si="6"/>
        <v>-111.54823831475369</v>
      </c>
      <c r="I80" s="20">
        <f t="shared" si="2"/>
        <v>6002.5821964678544</v>
      </c>
      <c r="J80" s="17">
        <f t="shared" si="7"/>
        <v>0.60025821964678538</v>
      </c>
    </row>
    <row r="81" spans="1:10" ht="12" customHeight="1" x14ac:dyDescent="0.3">
      <c r="A81" s="1">
        <f t="shared" si="3"/>
        <v>43630</v>
      </c>
      <c r="B81" s="20">
        <v>7201.0869565217399</v>
      </c>
      <c r="C81" s="20">
        <f t="shared" si="4"/>
        <v>6182.0652173913049</v>
      </c>
      <c r="D81" s="21" t="str">
        <f t="shared" si="0"/>
        <v>190614</v>
      </c>
      <c r="E81" s="22">
        <f t="shared" si="5"/>
        <v>2.458612</v>
      </c>
      <c r="F81" s="9">
        <v>0</v>
      </c>
      <c r="G81" s="14">
        <f t="shared" si="1"/>
        <v>100.06686784550975</v>
      </c>
      <c r="H81" s="24">
        <f t="shared" si="6"/>
        <v>-112.57154490252218</v>
      </c>
      <c r="I81" s="20">
        <f t="shared" si="2"/>
        <v>6069.493672488783</v>
      </c>
      <c r="J81" s="17">
        <f t="shared" si="7"/>
        <v>0.60694936724887827</v>
      </c>
    </row>
    <row r="82" spans="1:10" ht="12" customHeight="1" x14ac:dyDescent="0.3">
      <c r="A82" s="1">
        <f t="shared" si="3"/>
        <v>43633</v>
      </c>
      <c r="B82" s="20">
        <v>7404.891304347826</v>
      </c>
      <c r="C82" s="20">
        <f t="shared" si="4"/>
        <v>6385.869565217391</v>
      </c>
      <c r="D82" s="21" t="str">
        <f t="shared" si="0"/>
        <v>190617</v>
      </c>
      <c r="E82" s="22">
        <f t="shared" si="5"/>
        <v>2.458612</v>
      </c>
      <c r="F82" s="9">
        <v>0</v>
      </c>
      <c r="G82" s="14">
        <f t="shared" si="1"/>
        <v>100.06656364034501</v>
      </c>
      <c r="H82" s="24">
        <f t="shared" si="6"/>
        <v>-115.61359654990611</v>
      </c>
      <c r="I82" s="20">
        <f t="shared" si="2"/>
        <v>6270.2559686674849</v>
      </c>
      <c r="J82" s="17">
        <f t="shared" si="7"/>
        <v>0.62702559686674841</v>
      </c>
    </row>
    <row r="83" spans="1:10" ht="12" customHeight="1" x14ac:dyDescent="0.3">
      <c r="A83" s="1">
        <f t="shared" si="3"/>
        <v>43634</v>
      </c>
      <c r="B83" s="20">
        <v>7472.8260869565211</v>
      </c>
      <c r="C83" s="20">
        <f t="shared" si="4"/>
        <v>6453.8043478260861</v>
      </c>
      <c r="D83" s="21" t="str">
        <f t="shared" si="0"/>
        <v>190618</v>
      </c>
      <c r="E83" s="22">
        <f t="shared" si="5"/>
        <v>2.458612</v>
      </c>
      <c r="F83" s="9">
        <v>0</v>
      </c>
      <c r="G83" s="14">
        <f t="shared" si="1"/>
        <v>100.0664631676657</v>
      </c>
      <c r="H83" s="24">
        <f t="shared" si="6"/>
        <v>-116.6183233429763</v>
      </c>
      <c r="I83" s="20">
        <f t="shared" si="2"/>
        <v>6337.1860244831096</v>
      </c>
      <c r="J83" s="17">
        <f t="shared" si="7"/>
        <v>0.63371860244831102</v>
      </c>
    </row>
    <row r="84" spans="1:10" ht="12" customHeight="1" x14ac:dyDescent="0.3">
      <c r="A84" s="1">
        <f t="shared" si="3"/>
        <v>43635</v>
      </c>
      <c r="B84" s="20">
        <v>7540.760869565217</v>
      </c>
      <c r="C84" s="20">
        <f t="shared" si="4"/>
        <v>6521.7391304347821</v>
      </c>
      <c r="D84" s="21" t="str">
        <f t="shared" si="0"/>
        <v>190619</v>
      </c>
      <c r="E84" s="22">
        <f t="shared" si="5"/>
        <v>2.458612</v>
      </c>
      <c r="F84" s="9">
        <v>0</v>
      </c>
      <c r="G84" s="14">
        <f t="shared" si="1"/>
        <v>100.06636315956008</v>
      </c>
      <c r="H84" s="24">
        <f t="shared" si="6"/>
        <v>-117.61840439916683</v>
      </c>
      <c r="I84" s="20">
        <f t="shared" si="2"/>
        <v>6404.120726035615</v>
      </c>
      <c r="J84" s="17">
        <f t="shared" si="7"/>
        <v>0.64041207260356159</v>
      </c>
    </row>
    <row r="85" spans="1:10" ht="12" customHeight="1" x14ac:dyDescent="0.3">
      <c r="A85" s="1">
        <f t="shared" si="3"/>
        <v>43636</v>
      </c>
      <c r="B85" s="20">
        <v>7608.6956521739139</v>
      </c>
      <c r="C85" s="20">
        <f t="shared" si="4"/>
        <v>6589.6739130434789</v>
      </c>
      <c r="D85" s="21" t="str">
        <f t="shared" si="0"/>
        <v>190620</v>
      </c>
      <c r="E85" s="22">
        <f t="shared" si="5"/>
        <v>2.458612</v>
      </c>
      <c r="F85" s="9">
        <v>0</v>
      </c>
      <c r="G85" s="14">
        <f t="shared" si="1"/>
        <v>100.0662636160597</v>
      </c>
      <c r="H85" s="24">
        <f t="shared" si="6"/>
        <v>-118.61383940299675</v>
      </c>
      <c r="I85" s="20">
        <f t="shared" si="2"/>
        <v>6471.0600736404822</v>
      </c>
      <c r="J85" s="17">
        <f t="shared" si="7"/>
        <v>0.64710600736404822</v>
      </c>
    </row>
    <row r="86" spans="1:10" ht="12" customHeight="1" x14ac:dyDescent="0.3">
      <c r="A86" s="1">
        <f t="shared" si="3"/>
        <v>43637</v>
      </c>
      <c r="B86" s="20">
        <v>7676.6304347826072</v>
      </c>
      <c r="C86" s="20">
        <f t="shared" si="4"/>
        <v>6657.6086956521722</v>
      </c>
      <c r="D86" s="21" t="str">
        <f t="shared" si="0"/>
        <v>190621</v>
      </c>
      <c r="E86" s="22">
        <f t="shared" si="5"/>
        <v>2.458612</v>
      </c>
      <c r="F86" s="9">
        <v>0</v>
      </c>
      <c r="G86" s="14">
        <f t="shared" si="1"/>
        <v>100.06616453719609</v>
      </c>
      <c r="H86" s="24">
        <f t="shared" si="6"/>
        <v>-119.60462803912721</v>
      </c>
      <c r="I86" s="20">
        <f t="shared" si="2"/>
        <v>6538.0040676130448</v>
      </c>
      <c r="J86" s="17">
        <f t="shared" si="7"/>
        <v>0.65380040676130446</v>
      </c>
    </row>
    <row r="87" spans="1:10" ht="12" customHeight="1" x14ac:dyDescent="0.3">
      <c r="A87" s="1">
        <f t="shared" si="3"/>
        <v>43640</v>
      </c>
      <c r="B87" s="20">
        <v>7880.434782608696</v>
      </c>
      <c r="C87" s="20">
        <f t="shared" si="4"/>
        <v>6861.413043478261</v>
      </c>
      <c r="D87" s="21" t="str">
        <f t="shared" si="0"/>
        <v>190624</v>
      </c>
      <c r="E87" s="22">
        <f t="shared" si="5"/>
        <v>2.458612</v>
      </c>
      <c r="F87" s="9">
        <v>0</v>
      </c>
      <c r="G87" s="14">
        <f t="shared" si="1"/>
        <v>100.06587008874125</v>
      </c>
      <c r="H87" s="24">
        <f t="shared" si="6"/>
        <v>-122.54911258750668</v>
      </c>
      <c r="I87" s="20">
        <f t="shared" si="2"/>
        <v>6738.8639308907541</v>
      </c>
      <c r="J87" s="17">
        <f t="shared" si="7"/>
        <v>0.67388639308907539</v>
      </c>
    </row>
    <row r="88" spans="1:10" ht="12" customHeight="1" x14ac:dyDescent="0.3">
      <c r="A88" s="1">
        <f t="shared" si="3"/>
        <v>43641</v>
      </c>
      <c r="B88" s="20">
        <v>7948.3695652173928</v>
      </c>
      <c r="C88" s="20">
        <f t="shared" si="4"/>
        <v>6929.3478260869579</v>
      </c>
      <c r="D88" s="21" t="str">
        <f t="shared" si="0"/>
        <v>190625</v>
      </c>
      <c r="E88" s="22">
        <f t="shared" si="5"/>
        <v>2.458612</v>
      </c>
      <c r="F88" s="9">
        <v>0</v>
      </c>
      <c r="G88" s="14">
        <f t="shared" si="1"/>
        <v>100.06577286874011</v>
      </c>
      <c r="H88" s="24">
        <f t="shared" si="6"/>
        <v>-123.5213125988821</v>
      </c>
      <c r="I88" s="20">
        <f t="shared" si="2"/>
        <v>6805.8265134880758</v>
      </c>
      <c r="J88" s="17">
        <f t="shared" si="7"/>
        <v>0.68058265134880758</v>
      </c>
    </row>
    <row r="89" spans="1:10" ht="12" customHeight="1" x14ac:dyDescent="0.3">
      <c r="A89" s="1">
        <f t="shared" si="3"/>
        <v>43642</v>
      </c>
      <c r="B89" s="20">
        <v>8016.3043478260861</v>
      </c>
      <c r="C89" s="20">
        <f t="shared" si="4"/>
        <v>6997.2826086956511</v>
      </c>
      <c r="D89" s="21" t="str">
        <f t="shared" si="0"/>
        <v>190626</v>
      </c>
      <c r="E89" s="22">
        <f t="shared" si="5"/>
        <v>2.458612</v>
      </c>
      <c r="F89" s="9">
        <v>0</v>
      </c>
      <c r="G89" s="14">
        <f t="shared" si="1"/>
        <v>100.06567611353347</v>
      </c>
      <c r="H89" s="24">
        <f t="shared" si="6"/>
        <v>-124.4888646652953</v>
      </c>
      <c r="I89" s="20">
        <f t="shared" si="2"/>
        <v>6872.7937440303558</v>
      </c>
      <c r="J89" s="17">
        <f t="shared" si="7"/>
        <v>0.68727937440303555</v>
      </c>
    </row>
    <row r="90" spans="1:10" ht="12" customHeight="1" x14ac:dyDescent="0.3">
      <c r="A90" s="1">
        <f t="shared" si="3"/>
        <v>43643</v>
      </c>
      <c r="B90" s="20">
        <v>8084.239130434783</v>
      </c>
      <c r="C90" s="20">
        <f t="shared" si="4"/>
        <v>7065.217391304348</v>
      </c>
      <c r="D90" s="21" t="str">
        <f t="shared" si="0"/>
        <v>190627</v>
      </c>
      <c r="E90" s="22">
        <f t="shared" si="5"/>
        <v>2.458612</v>
      </c>
      <c r="F90" s="9">
        <v>0</v>
      </c>
      <c r="G90" s="14">
        <f t="shared" si="1"/>
        <v>100.06557982315286</v>
      </c>
      <c r="H90" s="24">
        <f t="shared" si="6"/>
        <v>-125.45176847140738</v>
      </c>
      <c r="I90" s="20">
        <f t="shared" si="2"/>
        <v>6939.7656228329406</v>
      </c>
      <c r="J90" s="17">
        <f t="shared" si="7"/>
        <v>0.69397656228329407</v>
      </c>
    </row>
    <row r="91" spans="1:10" ht="12" customHeight="1" x14ac:dyDescent="0.3">
      <c r="A91" s="1">
        <f t="shared" si="3"/>
        <v>43644</v>
      </c>
      <c r="B91" s="20">
        <v>8152.1739130434789</v>
      </c>
      <c r="C91" s="20">
        <f t="shared" si="4"/>
        <v>7133.152173913044</v>
      </c>
      <c r="D91" s="21" t="str">
        <f t="shared" si="0"/>
        <v>190628</v>
      </c>
      <c r="E91" s="22">
        <f t="shared" si="5"/>
        <v>2.458612</v>
      </c>
      <c r="F91" s="9">
        <v>0</v>
      </c>
      <c r="G91" s="14">
        <f t="shared" si="1"/>
        <v>100.06548399762985</v>
      </c>
      <c r="H91" s="24">
        <f t="shared" si="6"/>
        <v>-126.41002370145316</v>
      </c>
      <c r="I91" s="20">
        <f t="shared" si="2"/>
        <v>7006.7421502115903</v>
      </c>
      <c r="J91" s="17">
        <f t="shared" si="7"/>
        <v>0.70067421502115901</v>
      </c>
    </row>
    <row r="92" spans="1:10" ht="12" customHeight="1" x14ac:dyDescent="0.3">
      <c r="A92" s="1">
        <f t="shared" si="3"/>
        <v>43647</v>
      </c>
      <c r="B92" s="20">
        <v>8355.9782608695659</v>
      </c>
      <c r="C92" s="20">
        <f t="shared" si="4"/>
        <v>7336.9565217391309</v>
      </c>
      <c r="D92" s="21" t="str">
        <f t="shared" si="0"/>
        <v>190701</v>
      </c>
      <c r="E92" s="22">
        <f t="shared" si="5"/>
        <v>2.458612</v>
      </c>
      <c r="F92" s="9">
        <v>0</v>
      </c>
      <c r="G92" s="14">
        <f t="shared" si="1"/>
        <v>100.0651993105219</v>
      </c>
      <c r="H92" s="24">
        <f t="shared" si="6"/>
        <v>-129.25689478095137</v>
      </c>
      <c r="I92" s="20">
        <f t="shared" si="2"/>
        <v>7207.6996269581796</v>
      </c>
      <c r="J92" s="17">
        <f t="shared" si="7"/>
        <v>0.72076996269581795</v>
      </c>
    </row>
    <row r="93" spans="1:10" ht="12" customHeight="1" x14ac:dyDescent="0.3">
      <c r="A93" s="1">
        <f t="shared" si="3"/>
        <v>43648</v>
      </c>
      <c r="B93" s="20">
        <v>8423.9130434782601</v>
      </c>
      <c r="C93" s="20">
        <f t="shared" si="4"/>
        <v>7404.8913043478251</v>
      </c>
      <c r="D93" s="21" t="str">
        <f t="shared" si="0"/>
        <v>190702</v>
      </c>
      <c r="E93" s="22">
        <f t="shared" si="5"/>
        <v>2.458612</v>
      </c>
      <c r="F93" s="9">
        <v>0</v>
      </c>
      <c r="G93" s="14">
        <f t="shared" si="1"/>
        <v>100.06510534474484</v>
      </c>
      <c r="H93" s="24">
        <f t="shared" si="6"/>
        <v>-130.19655255163798</v>
      </c>
      <c r="I93" s="20">
        <f t="shared" si="2"/>
        <v>7274.6947517961871</v>
      </c>
      <c r="J93" s="17">
        <f t="shared" si="7"/>
        <v>0.72746947517961869</v>
      </c>
    </row>
    <row r="94" spans="1:10" ht="12" customHeight="1" x14ac:dyDescent="0.3">
      <c r="A94" s="1">
        <f t="shared" si="3"/>
        <v>43649</v>
      </c>
      <c r="B94" s="20">
        <v>8491.847826086956</v>
      </c>
      <c r="C94" s="20">
        <f t="shared" si="4"/>
        <v>7472.8260869565211</v>
      </c>
      <c r="D94" s="21" t="str">
        <f t="shared" si="0"/>
        <v>190703</v>
      </c>
      <c r="E94" s="22">
        <f t="shared" si="5"/>
        <v>2.458612</v>
      </c>
      <c r="F94" s="9">
        <v>0</v>
      </c>
      <c r="G94" s="14">
        <f t="shared" si="1"/>
        <v>100.06501184398314</v>
      </c>
      <c r="H94" s="24">
        <f t="shared" si="6"/>
        <v>-131.13156016856919</v>
      </c>
      <c r="I94" s="20">
        <f t="shared" si="2"/>
        <v>7341.6945267879519</v>
      </c>
      <c r="J94" s="17">
        <f t="shared" si="7"/>
        <v>0.73416945267879519</v>
      </c>
    </row>
    <row r="95" spans="1:10" ht="12" customHeight="1" x14ac:dyDescent="0.3">
      <c r="A95" s="1">
        <f t="shared" si="3"/>
        <v>43650</v>
      </c>
      <c r="B95" s="20">
        <v>8559.7826086956538</v>
      </c>
      <c r="C95" s="20">
        <f t="shared" si="4"/>
        <v>7540.7608695652189</v>
      </c>
      <c r="D95" s="21" t="str">
        <f t="shared" si="0"/>
        <v>190704</v>
      </c>
      <c r="E95" s="22">
        <f t="shared" si="5"/>
        <v>2.458612</v>
      </c>
      <c r="F95" s="9">
        <v>0</v>
      </c>
      <c r="G95" s="14">
        <f t="shared" si="1"/>
        <v>100.06491880826839</v>
      </c>
      <c r="H95" s="24">
        <f t="shared" si="6"/>
        <v>-132.06191731612194</v>
      </c>
      <c r="I95" s="20">
        <f t="shared" si="2"/>
        <v>7408.6989522490967</v>
      </c>
      <c r="J95" s="17">
        <f t="shared" si="7"/>
        <v>0.74086989522490965</v>
      </c>
    </row>
    <row r="96" spans="1:10" ht="12" customHeight="1" x14ac:dyDescent="0.3">
      <c r="A96" s="1">
        <f t="shared" si="3"/>
        <v>43651</v>
      </c>
      <c r="B96" s="20">
        <v>8627.7173913043462</v>
      </c>
      <c r="C96" s="20">
        <f t="shared" si="4"/>
        <v>7608.6956521739112</v>
      </c>
      <c r="D96" s="21" t="str">
        <f t="shared" si="0"/>
        <v>190705</v>
      </c>
      <c r="E96" s="22">
        <f t="shared" si="5"/>
        <v>2.458612</v>
      </c>
      <c r="F96" s="9">
        <v>0</v>
      </c>
      <c r="G96" s="14">
        <f t="shared" si="1"/>
        <v>100.06482623763216</v>
      </c>
      <c r="H96" s="24">
        <f t="shared" si="6"/>
        <v>-132.9876236783889</v>
      </c>
      <c r="I96" s="20">
        <f t="shared" si="2"/>
        <v>7475.7080284955227</v>
      </c>
      <c r="J96" s="17">
        <f t="shared" si="7"/>
        <v>0.74757080284955224</v>
      </c>
    </row>
    <row r="97" spans="1:10" ht="12" customHeight="1" x14ac:dyDescent="0.3">
      <c r="A97" s="1">
        <f t="shared" si="3"/>
        <v>43654</v>
      </c>
      <c r="B97" s="20">
        <v>8831.5217391304341</v>
      </c>
      <c r="C97" s="20">
        <f t="shared" si="4"/>
        <v>7812.4999999999991</v>
      </c>
      <c r="D97" s="21" t="str">
        <f t="shared" si="0"/>
        <v>190708</v>
      </c>
      <c r="E97" s="22">
        <f t="shared" si="5"/>
        <v>2.458612</v>
      </c>
      <c r="F97" s="9">
        <v>0</v>
      </c>
      <c r="G97" s="14">
        <f t="shared" si="1"/>
        <v>100.06455131651032</v>
      </c>
      <c r="H97" s="24">
        <f t="shared" si="6"/>
        <v>-135.73683489681798</v>
      </c>
      <c r="I97" s="20">
        <f t="shared" si="2"/>
        <v>7676.7631651031807</v>
      </c>
      <c r="J97" s="17">
        <f t="shared" si="7"/>
        <v>0.76767631651031809</v>
      </c>
    </row>
    <row r="98" spans="1:10" ht="12" customHeight="1" x14ac:dyDescent="0.3">
      <c r="A98" s="1">
        <f t="shared" si="3"/>
        <v>43655</v>
      </c>
      <c r="B98" s="20">
        <v>8899.45652173913</v>
      </c>
      <c r="C98" s="20">
        <f t="shared" si="4"/>
        <v>7880.4347826086951</v>
      </c>
      <c r="D98" s="21" t="str">
        <f t="shared" si="0"/>
        <v>190709</v>
      </c>
      <c r="E98" s="22">
        <f t="shared" si="5"/>
        <v>2.458612</v>
      </c>
      <c r="F98" s="9">
        <v>0</v>
      </c>
      <c r="G98" s="14">
        <f t="shared" si="1"/>
        <v>100.06446060650389</v>
      </c>
      <c r="H98" s="24">
        <f t="shared" si="6"/>
        <v>-136.64393496114258</v>
      </c>
      <c r="I98" s="20">
        <f t="shared" si="2"/>
        <v>7743.7908476475523</v>
      </c>
      <c r="J98" s="17">
        <f t="shared" si="7"/>
        <v>0.77437908476475525</v>
      </c>
    </row>
    <row r="99" spans="1:10" ht="12" customHeight="1" x14ac:dyDescent="0.3">
      <c r="A99" s="1">
        <f t="shared" si="3"/>
        <v>43656</v>
      </c>
      <c r="B99" s="20">
        <v>8967.391304347826</v>
      </c>
      <c r="C99" s="20">
        <f t="shared" si="4"/>
        <v>7948.369565217391</v>
      </c>
      <c r="D99" s="21" t="str">
        <f t="shared" si="0"/>
        <v>190710</v>
      </c>
      <c r="E99" s="22">
        <f t="shared" si="5"/>
        <v>2.458612</v>
      </c>
      <c r="F99" s="9">
        <v>0</v>
      </c>
      <c r="G99" s="14">
        <f t="shared" si="1"/>
        <v>100.06437036173385</v>
      </c>
      <c r="H99" s="24">
        <f t="shared" si="6"/>
        <v>-137.54638266149755</v>
      </c>
      <c r="I99" s="20">
        <f t="shared" si="2"/>
        <v>7810.8231825558933</v>
      </c>
      <c r="J99" s="17">
        <f t="shared" si="7"/>
        <v>0.78108231825558927</v>
      </c>
    </row>
    <row r="100" spans="1:10" ht="12" customHeight="1" x14ac:dyDescent="0.3">
      <c r="A100" s="1">
        <f t="shared" si="3"/>
        <v>43657</v>
      </c>
      <c r="B100" s="20">
        <v>9035.3260869565202</v>
      </c>
      <c r="C100" s="20">
        <f t="shared" si="4"/>
        <v>8016.3043478260852</v>
      </c>
      <c r="D100" s="21" t="str">
        <f t="shared" si="0"/>
        <v>190711</v>
      </c>
      <c r="E100" s="22">
        <f t="shared" si="5"/>
        <v>2.458612</v>
      </c>
      <c r="F100" s="9">
        <v>0</v>
      </c>
      <c r="G100" s="14">
        <f t="shared" si="1"/>
        <v>100.0642805822318</v>
      </c>
      <c r="H100" s="24">
        <f t="shared" si="6"/>
        <v>-138.44417768197559</v>
      </c>
      <c r="I100" s="20">
        <f t="shared" si="2"/>
        <v>7877.8601701441094</v>
      </c>
      <c r="J100" s="17">
        <f t="shared" si="7"/>
        <v>0.78778601701441098</v>
      </c>
    </row>
    <row r="101" spans="1:10" ht="12" customHeight="1" x14ac:dyDescent="0.3">
      <c r="A101" s="1">
        <f t="shared" si="3"/>
        <v>43658</v>
      </c>
      <c r="B101" s="20">
        <v>9103.2608695652179</v>
      </c>
      <c r="C101" s="20">
        <f t="shared" si="4"/>
        <v>8084.239130434783</v>
      </c>
      <c r="D101" s="21" t="str">
        <f t="shared" si="0"/>
        <v>190712</v>
      </c>
      <c r="E101" s="22">
        <f t="shared" si="5"/>
        <v>2.458612</v>
      </c>
      <c r="F101" s="9">
        <v>0</v>
      </c>
      <c r="G101" s="14">
        <f t="shared" si="1"/>
        <v>100.06419126802929</v>
      </c>
      <c r="H101" s="24">
        <f t="shared" si="6"/>
        <v>-139.33731970709573</v>
      </c>
      <c r="I101" s="20">
        <f t="shared" si="2"/>
        <v>7944.901810727687</v>
      </c>
      <c r="J101" s="17">
        <f t="shared" si="7"/>
        <v>0.7944901810727687</v>
      </c>
    </row>
    <row r="102" spans="1:10" ht="12" customHeight="1" x14ac:dyDescent="0.3">
      <c r="A102" s="1">
        <f t="shared" si="3"/>
        <v>43661</v>
      </c>
      <c r="B102" s="20">
        <v>9307.065217391304</v>
      </c>
      <c r="C102" s="20">
        <f t="shared" si="4"/>
        <v>8288.0434782608681</v>
      </c>
      <c r="D102" s="21" t="str">
        <f t="shared" si="0"/>
        <v>190715</v>
      </c>
      <c r="E102" s="22">
        <f t="shared" si="5"/>
        <v>2.458612</v>
      </c>
      <c r="F102" s="9">
        <v>0</v>
      </c>
      <c r="G102" s="14">
        <f t="shared" si="1"/>
        <v>100.06392611753496</v>
      </c>
      <c r="H102" s="24">
        <f t="shared" si="6"/>
        <v>-141.98882465038309</v>
      </c>
      <c r="I102" s="20">
        <f t="shared" si="2"/>
        <v>8146.0546536104848</v>
      </c>
      <c r="J102" s="17">
        <f t="shared" si="7"/>
        <v>0.8146054653610485</v>
      </c>
    </row>
    <row r="103" spans="1:10" ht="12" customHeight="1" x14ac:dyDescent="0.3">
      <c r="A103" s="1">
        <f t="shared" si="3"/>
        <v>43662</v>
      </c>
      <c r="B103" s="20">
        <v>9375</v>
      </c>
      <c r="C103" s="20">
        <f t="shared" si="4"/>
        <v>8355.9782608695641</v>
      </c>
      <c r="D103" s="21" t="str">
        <f t="shared" si="0"/>
        <v>190716</v>
      </c>
      <c r="E103" s="22">
        <f t="shared" si="5"/>
        <v>2.458612</v>
      </c>
      <c r="F103" s="9">
        <v>0</v>
      </c>
      <c r="G103" s="14">
        <f t="shared" si="1"/>
        <v>100.06383866484653</v>
      </c>
      <c r="H103" s="24">
        <f t="shared" si="6"/>
        <v>-142.86335153471441</v>
      </c>
      <c r="I103" s="20">
        <f t="shared" si="2"/>
        <v>8213.1149093348504</v>
      </c>
      <c r="J103" s="17">
        <f t="shared" si="7"/>
        <v>0.8213114909334851</v>
      </c>
    </row>
    <row r="104" spans="1:10" ht="12" customHeight="1" x14ac:dyDescent="0.3">
      <c r="A104" s="1">
        <f t="shared" si="3"/>
        <v>43663</v>
      </c>
      <c r="B104" s="20">
        <v>9442.934782608696</v>
      </c>
      <c r="C104" s="20">
        <f t="shared" si="4"/>
        <v>8423.9130434782601</v>
      </c>
      <c r="D104" s="21" t="str">
        <f t="shared" si="0"/>
        <v>190717</v>
      </c>
      <c r="E104" s="22">
        <f t="shared" si="5"/>
        <v>2.458612</v>
      </c>
      <c r="F104" s="9">
        <v>0</v>
      </c>
      <c r="G104" s="14">
        <f t="shared" si="1"/>
        <v>100.06375167761563</v>
      </c>
      <c r="H104" s="24">
        <f t="shared" si="6"/>
        <v>-143.733223843725</v>
      </c>
      <c r="I104" s="20">
        <f t="shared" si="2"/>
        <v>8280.1798196345353</v>
      </c>
      <c r="J104" s="17">
        <f t="shared" si="7"/>
        <v>0.82801798196345355</v>
      </c>
    </row>
    <row r="105" spans="1:10" ht="12" customHeight="1" x14ac:dyDescent="0.3">
      <c r="A105" s="1">
        <f t="shared" si="3"/>
        <v>43664</v>
      </c>
      <c r="B105" s="20">
        <v>9510.8695652173919</v>
      </c>
      <c r="C105" s="20">
        <f t="shared" si="4"/>
        <v>8491.847826086956</v>
      </c>
      <c r="D105" s="21" t="str">
        <f t="shared" si="0"/>
        <v>190718</v>
      </c>
      <c r="E105" s="22">
        <f t="shared" si="5"/>
        <v>2.458612</v>
      </c>
      <c r="F105" s="9">
        <v>0</v>
      </c>
      <c r="G105" s="14">
        <f t="shared" si="1"/>
        <v>100.06366515587376</v>
      </c>
      <c r="H105" s="24">
        <f t="shared" si="6"/>
        <v>-144.59844126236021</v>
      </c>
      <c r="I105" s="20">
        <f t="shared" si="2"/>
        <v>8347.2493848245958</v>
      </c>
      <c r="J105" s="17">
        <f t="shared" si="7"/>
        <v>0.83472493848245954</v>
      </c>
    </row>
    <row r="106" spans="1:10" ht="12" customHeight="1" x14ac:dyDescent="0.3">
      <c r="A106" s="1">
        <f t="shared" si="3"/>
        <v>43665</v>
      </c>
      <c r="B106" s="20">
        <v>9578.8043478260861</v>
      </c>
      <c r="C106" s="20">
        <f t="shared" si="4"/>
        <v>8559.7826086956502</v>
      </c>
      <c r="D106" s="21" t="str">
        <f t="shared" si="0"/>
        <v>190719</v>
      </c>
      <c r="E106" s="22">
        <f t="shared" si="5"/>
        <v>2.458612</v>
      </c>
      <c r="F106" s="9">
        <v>0</v>
      </c>
      <c r="G106" s="14">
        <f t="shared" si="1"/>
        <v>100.06357909965261</v>
      </c>
      <c r="H106" s="24">
        <f t="shared" si="6"/>
        <v>-145.45900347386009</v>
      </c>
      <c r="I106" s="20">
        <f t="shared" si="2"/>
        <v>8414.3236052217908</v>
      </c>
      <c r="J106" s="17">
        <f t="shared" si="7"/>
        <v>0.84143236052217907</v>
      </c>
    </row>
    <row r="107" spans="1:10" ht="12" customHeight="1" x14ac:dyDescent="0.3">
      <c r="A107" s="1">
        <f t="shared" si="3"/>
        <v>43668</v>
      </c>
      <c r="B107" s="20">
        <v>9782.608695652174</v>
      </c>
      <c r="C107" s="20">
        <f t="shared" si="4"/>
        <v>8763.5869565217381</v>
      </c>
      <c r="D107" s="21" t="str">
        <f t="shared" si="0"/>
        <v>190722</v>
      </c>
      <c r="E107" s="22">
        <f t="shared" si="5"/>
        <v>2.458612</v>
      </c>
      <c r="F107" s="9">
        <v>0</v>
      </c>
      <c r="G107" s="14">
        <f t="shared" si="1"/>
        <v>100.06332372442941</v>
      </c>
      <c r="H107" s="24">
        <f t="shared" si="6"/>
        <v>-148.01275570590633</v>
      </c>
      <c r="I107" s="20">
        <f t="shared" si="2"/>
        <v>8615.5742008158322</v>
      </c>
      <c r="J107" s="17">
        <f t="shared" si="7"/>
        <v>0.8615574200815832</v>
      </c>
    </row>
    <row r="108" spans="1:10" ht="12" customHeight="1" x14ac:dyDescent="0.3">
      <c r="A108" s="1">
        <f t="shared" si="3"/>
        <v>43669</v>
      </c>
      <c r="B108" s="20">
        <v>9850.54347826087</v>
      </c>
      <c r="C108" s="20">
        <f t="shared" si="4"/>
        <v>8831.5217391304341</v>
      </c>
      <c r="D108" s="21" t="str">
        <f t="shared" si="0"/>
        <v>190723</v>
      </c>
      <c r="E108" s="22">
        <f t="shared" si="5"/>
        <v>2.458612</v>
      </c>
      <c r="F108" s="9">
        <v>0</v>
      </c>
      <c r="G108" s="14">
        <f t="shared" si="1"/>
        <v>100.06323953060705</v>
      </c>
      <c r="H108" s="24">
        <f t="shared" si="6"/>
        <v>-148.85469392950768</v>
      </c>
      <c r="I108" s="20">
        <f t="shared" si="2"/>
        <v>8682.6670452009257</v>
      </c>
      <c r="J108" s="17">
        <f t="shared" si="7"/>
        <v>0.86826670452009258</v>
      </c>
    </row>
    <row r="109" spans="1:10" ht="12" customHeight="1" x14ac:dyDescent="0.3">
      <c r="A109" s="1">
        <f t="shared" si="3"/>
        <v>43670</v>
      </c>
      <c r="B109" s="20">
        <v>9918.4782608695659</v>
      </c>
      <c r="C109" s="20">
        <f t="shared" si="4"/>
        <v>8899.45652173913</v>
      </c>
      <c r="D109" s="21" t="str">
        <f t="shared" si="0"/>
        <v>190724</v>
      </c>
      <c r="E109" s="22">
        <f t="shared" si="5"/>
        <v>2.458612</v>
      </c>
      <c r="F109" s="9">
        <v>0</v>
      </c>
      <c r="G109" s="14">
        <f t="shared" si="1"/>
        <v>100.06315580246344</v>
      </c>
      <c r="H109" s="24">
        <f t="shared" si="6"/>
        <v>-149.69197536558454</v>
      </c>
      <c r="I109" s="20">
        <f t="shared" si="2"/>
        <v>8749.7645463735462</v>
      </c>
      <c r="J109" s="17">
        <f t="shared" si="7"/>
        <v>0.87497645463735452</v>
      </c>
    </row>
    <row r="110" spans="1:10" ht="12" customHeight="1" x14ac:dyDescent="0.3">
      <c r="A110" s="1">
        <f t="shared" si="3"/>
        <v>43671</v>
      </c>
      <c r="B110" s="20">
        <v>9986.4130434782601</v>
      </c>
      <c r="C110" s="20">
        <f t="shared" si="4"/>
        <v>8967.3913043478242</v>
      </c>
      <c r="D110" s="21" t="str">
        <f t="shared" si="0"/>
        <v>190725</v>
      </c>
      <c r="E110" s="22">
        <f t="shared" si="5"/>
        <v>2.458612</v>
      </c>
      <c r="F110" s="9">
        <v>0</v>
      </c>
      <c r="G110" s="14">
        <f t="shared" si="1"/>
        <v>100.06307254003013</v>
      </c>
      <c r="H110" s="24">
        <f t="shared" si="6"/>
        <v>-150.52459969865595</v>
      </c>
      <c r="I110" s="20">
        <f t="shared" si="2"/>
        <v>8816.8667046491682</v>
      </c>
      <c r="J110" s="17">
        <f t="shared" si="7"/>
        <v>0.88168667046491689</v>
      </c>
    </row>
    <row r="111" spans="1:10" ht="12" customHeight="1" x14ac:dyDescent="0.3">
      <c r="A111" s="1">
        <f t="shared" si="3"/>
        <v>43672</v>
      </c>
      <c r="B111" s="20">
        <v>10054.347826086958</v>
      </c>
      <c r="C111" s="20">
        <f t="shared" si="4"/>
        <v>9035.326086956522</v>
      </c>
      <c r="D111" s="21" t="str">
        <f t="shared" si="0"/>
        <v>190726</v>
      </c>
      <c r="E111" s="22">
        <f t="shared" si="5"/>
        <v>2.458612</v>
      </c>
      <c r="F111" s="9">
        <v>0</v>
      </c>
      <c r="G111" s="14">
        <f t="shared" si="1"/>
        <v>100.06298974333875</v>
      </c>
      <c r="H111" s="24">
        <f t="shared" si="6"/>
        <v>-151.35256661253038</v>
      </c>
      <c r="I111" s="20">
        <f t="shared" si="2"/>
        <v>8883.9735203439923</v>
      </c>
      <c r="J111" s="17">
        <f t="shared" si="7"/>
        <v>0.88839735203439918</v>
      </c>
    </row>
    <row r="112" spans="1:10" ht="12" customHeight="1" x14ac:dyDescent="0.3">
      <c r="A112" s="1">
        <f t="shared" si="3"/>
        <v>43675</v>
      </c>
      <c r="B112" s="20">
        <v>10258.152173913042</v>
      </c>
      <c r="C112" s="20">
        <f t="shared" si="4"/>
        <v>9239.1304347826062</v>
      </c>
      <c r="D112" s="21" t="str">
        <f t="shared" si="0"/>
        <v>190729</v>
      </c>
      <c r="E112" s="22">
        <f t="shared" si="5"/>
        <v>2.458612</v>
      </c>
      <c r="F112" s="9">
        <v>0</v>
      </c>
      <c r="G112" s="14">
        <f t="shared" si="1"/>
        <v>100.06274414803244</v>
      </c>
      <c r="H112" s="24">
        <f t="shared" si="6"/>
        <v>-153.80851967563558</v>
      </c>
      <c r="I112" s="20">
        <f t="shared" si="2"/>
        <v>9085.3219151069716</v>
      </c>
      <c r="J112" s="17">
        <f t="shared" si="7"/>
        <v>0.9085321915106972</v>
      </c>
    </row>
    <row r="113" spans="1:10" ht="12" customHeight="1" x14ac:dyDescent="0.3">
      <c r="A113" s="1">
        <f t="shared" si="3"/>
        <v>43676</v>
      </c>
      <c r="B113" s="20">
        <v>10326.086956521738</v>
      </c>
      <c r="C113" s="20">
        <f t="shared" si="4"/>
        <v>9307.0652173913022</v>
      </c>
      <c r="D113" s="21" t="str">
        <f t="shared" si="0"/>
        <v>190730</v>
      </c>
      <c r="E113" s="22">
        <f t="shared" si="5"/>
        <v>2.458612</v>
      </c>
      <c r="F113" s="9">
        <v>0</v>
      </c>
      <c r="G113" s="14">
        <f t="shared" si="1"/>
        <v>100.06266321462498</v>
      </c>
      <c r="H113" s="24">
        <f t="shared" si="6"/>
        <v>-154.61785375023851</v>
      </c>
      <c r="I113" s="20">
        <f t="shared" si="2"/>
        <v>9152.4473636410639</v>
      </c>
      <c r="J113" s="17">
        <f t="shared" si="7"/>
        <v>0.91524473636410641</v>
      </c>
    </row>
    <row r="114" spans="1:10" ht="12" customHeight="1" x14ac:dyDescent="0.3">
      <c r="A114" s="1">
        <f t="shared" si="3"/>
        <v>43677</v>
      </c>
      <c r="B114" s="20">
        <v>10394.021739130434</v>
      </c>
      <c r="C114" s="20">
        <f t="shared" si="4"/>
        <v>9374.9999999999982</v>
      </c>
      <c r="D114" s="21" t="str">
        <f t="shared" si="0"/>
        <v>190731</v>
      </c>
      <c r="E114" s="22">
        <f t="shared" si="5"/>
        <v>2.458612</v>
      </c>
      <c r="F114" s="9">
        <v>0</v>
      </c>
      <c r="G114" s="14">
        <f t="shared" si="1"/>
        <v>100.06258274711756</v>
      </c>
      <c r="H114" s="24">
        <f t="shared" si="6"/>
        <v>-155.42252882440266</v>
      </c>
      <c r="I114" s="20">
        <f t="shared" si="2"/>
        <v>9219.5774711755948</v>
      </c>
      <c r="J114" s="17">
        <f t="shared" si="7"/>
        <v>0.92195774711755951</v>
      </c>
    </row>
    <row r="115" spans="1:10" ht="12" customHeight="1" x14ac:dyDescent="0.3">
      <c r="A115" s="1">
        <f t="shared" si="3"/>
        <v>43678</v>
      </c>
      <c r="B115" s="20">
        <v>10461.95652173913</v>
      </c>
      <c r="C115" s="20">
        <f t="shared" si="4"/>
        <v>9442.9347826086941</v>
      </c>
      <c r="D115" s="21" t="str">
        <f t="shared" si="0"/>
        <v>190801</v>
      </c>
      <c r="E115" s="22">
        <f t="shared" si="5"/>
        <v>2.458612</v>
      </c>
      <c r="F115" s="9">
        <v>0</v>
      </c>
      <c r="G115" s="14">
        <f t="shared" si="1"/>
        <v>100.06250274554181</v>
      </c>
      <c r="H115" s="24">
        <f t="shared" si="6"/>
        <v>-156.22254458193652</v>
      </c>
      <c r="I115" s="20">
        <f t="shared" si="2"/>
        <v>9286.7122380267574</v>
      </c>
      <c r="J115" s="17">
        <f t="shared" si="7"/>
        <v>0.92867122380267575</v>
      </c>
    </row>
    <row r="116" spans="1:10" ht="12" customHeight="1" x14ac:dyDescent="0.3">
      <c r="A116" s="1">
        <f t="shared" si="3"/>
        <v>43679</v>
      </c>
      <c r="B116" s="20">
        <v>10529.891304347824</v>
      </c>
      <c r="C116" s="20">
        <f t="shared" si="4"/>
        <v>9510.8695652173883</v>
      </c>
      <c r="D116" s="21" t="str">
        <f t="shared" si="0"/>
        <v>190802</v>
      </c>
      <c r="E116" s="22">
        <f t="shared" si="5"/>
        <v>2.458612</v>
      </c>
      <c r="F116" s="9">
        <v>0</v>
      </c>
      <c r="G116" s="14">
        <f t="shared" si="1"/>
        <v>100.06242320992934</v>
      </c>
      <c r="H116" s="24">
        <f t="shared" si="6"/>
        <v>-157.01790070664856</v>
      </c>
      <c r="I116" s="20">
        <f t="shared" si="2"/>
        <v>9353.8516645107393</v>
      </c>
      <c r="J116" s="17">
        <f t="shared" si="7"/>
        <v>0.93538516645107395</v>
      </c>
    </row>
    <row r="117" spans="1:10" ht="12" customHeight="1" x14ac:dyDescent="0.3">
      <c r="A117" s="1">
        <f t="shared" si="3"/>
        <v>43682</v>
      </c>
      <c r="B117" s="20">
        <v>10733.695652173914</v>
      </c>
      <c r="C117" s="20">
        <f t="shared" si="4"/>
        <v>9714.673913043478</v>
      </c>
      <c r="D117" s="21" t="str">
        <f t="shared" si="0"/>
        <v>190805</v>
      </c>
      <c r="E117" s="22">
        <f t="shared" si="5"/>
        <v>2.458612</v>
      </c>
      <c r="F117" s="9">
        <v>0</v>
      </c>
      <c r="G117" s="14">
        <f t="shared" si="1"/>
        <v>100.06218739918793</v>
      </c>
      <c r="H117" s="24">
        <f t="shared" si="6"/>
        <v>-159.37600812065966</v>
      </c>
      <c r="I117" s="20">
        <f t="shared" si="2"/>
        <v>9555.2979049228179</v>
      </c>
      <c r="J117" s="17">
        <f t="shared" si="7"/>
        <v>0.95552979049228182</v>
      </c>
    </row>
    <row r="118" spans="1:10" ht="12" customHeight="1" x14ac:dyDescent="0.3">
      <c r="A118" s="1">
        <f t="shared" si="3"/>
        <v>43683</v>
      </c>
      <c r="B118" s="20">
        <v>10801.630434782608</v>
      </c>
      <c r="C118" s="20">
        <f t="shared" si="4"/>
        <v>9782.6086956521722</v>
      </c>
      <c r="D118" s="21" t="str">
        <f t="shared" si="0"/>
        <v>190806</v>
      </c>
      <c r="E118" s="22">
        <f t="shared" si="5"/>
        <v>2.458612</v>
      </c>
      <c r="F118" s="9">
        <v>0</v>
      </c>
      <c r="G118" s="14">
        <f t="shared" si="1"/>
        <v>100.06210972774494</v>
      </c>
      <c r="H118" s="24">
        <f t="shared" si="6"/>
        <v>-160.15272255060609</v>
      </c>
      <c r="I118" s="20">
        <f t="shared" si="2"/>
        <v>9622.4559731015652</v>
      </c>
      <c r="J118" s="17">
        <f t="shared" si="7"/>
        <v>0.96224559731015646</v>
      </c>
    </row>
    <row r="119" spans="1:10" ht="12" customHeight="1" x14ac:dyDescent="0.3">
      <c r="A119" s="1">
        <f t="shared" si="3"/>
        <v>43684</v>
      </c>
      <c r="B119" s="20">
        <v>10869.565217391304</v>
      </c>
      <c r="C119" s="20">
        <f t="shared" si="4"/>
        <v>9850.5434782608681</v>
      </c>
      <c r="D119" s="21" t="str">
        <f t="shared" si="0"/>
        <v>190807</v>
      </c>
      <c r="E119" s="22">
        <f t="shared" si="5"/>
        <v>2.458612</v>
      </c>
      <c r="F119" s="9">
        <v>0</v>
      </c>
      <c r="G119" s="14">
        <f t="shared" si="1"/>
        <v>100.06203252242339</v>
      </c>
      <c r="H119" s="24">
        <f t="shared" si="6"/>
        <v>-160.92477576606257</v>
      </c>
      <c r="I119" s="20">
        <f t="shared" si="2"/>
        <v>9689.6187024948049</v>
      </c>
      <c r="J119" s="17">
        <f t="shared" si="7"/>
        <v>0.96896187024948044</v>
      </c>
    </row>
    <row r="120" spans="1:10" ht="12" customHeight="1" x14ac:dyDescent="0.3">
      <c r="A120" s="1">
        <f t="shared" si="3"/>
        <v>43685</v>
      </c>
      <c r="B120" s="20">
        <v>10937.5</v>
      </c>
      <c r="C120" s="20">
        <f t="shared" si="4"/>
        <v>9918.4782608695641</v>
      </c>
      <c r="D120" s="21" t="str">
        <f t="shared" si="0"/>
        <v>190808</v>
      </c>
      <c r="E120" s="22">
        <f t="shared" si="5"/>
        <v>2.458612</v>
      </c>
      <c r="F120" s="9">
        <v>0</v>
      </c>
      <c r="G120" s="14">
        <f t="shared" si="1"/>
        <v>100.06195578325494</v>
      </c>
      <c r="H120" s="24">
        <f t="shared" si="6"/>
        <v>-161.69216745055337</v>
      </c>
      <c r="I120" s="20">
        <f t="shared" si="2"/>
        <v>9756.7860934190103</v>
      </c>
      <c r="J120" s="17">
        <f t="shared" si="7"/>
        <v>0.97567860934190098</v>
      </c>
    </row>
    <row r="121" spans="1:10" ht="12" customHeight="1" x14ac:dyDescent="0.3">
      <c r="A121" s="1">
        <f t="shared" si="3"/>
        <v>43686</v>
      </c>
      <c r="B121" s="20">
        <v>11005.434782608696</v>
      </c>
      <c r="C121" s="20">
        <f t="shared" si="4"/>
        <v>9986.4130434782601</v>
      </c>
      <c r="D121" s="21" t="str">
        <f t="shared" si="0"/>
        <v>190809</v>
      </c>
      <c r="E121" s="22">
        <f t="shared" si="5"/>
        <v>2.458612</v>
      </c>
      <c r="F121" s="9">
        <v>0</v>
      </c>
      <c r="G121" s="14">
        <f t="shared" si="1"/>
        <v>100.06187951027123</v>
      </c>
      <c r="H121" s="24">
        <f t="shared" si="6"/>
        <v>-162.45489728774487</v>
      </c>
      <c r="I121" s="20">
        <f t="shared" si="2"/>
        <v>9823.9581461905145</v>
      </c>
      <c r="J121" s="17">
        <f t="shared" si="7"/>
        <v>0.98239581461905157</v>
      </c>
    </row>
    <row r="122" spans="1:10" ht="12" customHeight="1" x14ac:dyDescent="0.3">
      <c r="A122" s="1">
        <f t="shared" si="3"/>
        <v>43689</v>
      </c>
      <c r="B122" s="20">
        <v>11209.239130434782</v>
      </c>
      <c r="C122" s="20">
        <f t="shared" si="4"/>
        <v>10190.217391304346</v>
      </c>
      <c r="D122" s="21" t="str">
        <f t="shared" si="0"/>
        <v>190812</v>
      </c>
      <c r="E122" s="22">
        <f t="shared" si="5"/>
        <v>2.458612</v>
      </c>
      <c r="F122" s="9">
        <v>0</v>
      </c>
      <c r="G122" s="14">
        <f t="shared" si="1"/>
        <v>100.06165348874501</v>
      </c>
      <c r="H122" s="24">
        <f t="shared" si="6"/>
        <v>-164.71511254991353</v>
      </c>
      <c r="I122" s="20">
        <f t="shared" si="2"/>
        <v>10025.502278754433</v>
      </c>
      <c r="J122" s="17">
        <f t="shared" si="7"/>
        <v>1.0025502278754432</v>
      </c>
    </row>
    <row r="123" spans="1:10" ht="12" customHeight="1" x14ac:dyDescent="0.3">
      <c r="A123" s="1">
        <f t="shared" si="3"/>
        <v>43690</v>
      </c>
      <c r="B123" s="20">
        <v>11277.17391304348</v>
      </c>
      <c r="C123" s="20">
        <f t="shared" si="4"/>
        <v>10258.152173913044</v>
      </c>
      <c r="D123" s="21" t="str">
        <f t="shared" si="0"/>
        <v>190813</v>
      </c>
      <c r="E123" s="22">
        <f t="shared" si="5"/>
        <v>2.458612</v>
      </c>
      <c r="F123" s="9">
        <v>0</v>
      </c>
      <c r="G123" s="14">
        <f t="shared" si="1"/>
        <v>100.06157908081674</v>
      </c>
      <c r="H123" s="24">
        <f t="shared" si="6"/>
        <v>-165.45919183258206</v>
      </c>
      <c r="I123" s="20">
        <f t="shared" si="2"/>
        <v>10092.692982080462</v>
      </c>
      <c r="J123" s="17">
        <f t="shared" si="7"/>
        <v>1.0092692982080462</v>
      </c>
    </row>
    <row r="124" spans="1:10" ht="12" customHeight="1" x14ac:dyDescent="0.3">
      <c r="A124" s="1">
        <f t="shared" si="3"/>
        <v>43691</v>
      </c>
      <c r="B124" s="20">
        <v>11345.108695652176</v>
      </c>
      <c r="C124" s="20">
        <f t="shared" si="4"/>
        <v>10326.08695652174</v>
      </c>
      <c r="D124" s="21" t="str">
        <f t="shared" si="0"/>
        <v>190814</v>
      </c>
      <c r="E124" s="22">
        <f t="shared" si="5"/>
        <v>2.458612</v>
      </c>
      <c r="F124" s="9">
        <v>0</v>
      </c>
      <c r="G124" s="14">
        <f t="shared" si="1"/>
        <v>100.06150513923144</v>
      </c>
      <c r="H124" s="24">
        <f t="shared" si="6"/>
        <v>-166.1986076855726</v>
      </c>
      <c r="I124" s="20">
        <f t="shared" si="2"/>
        <v>10159.888348836168</v>
      </c>
      <c r="J124" s="17">
        <f t="shared" si="7"/>
        <v>1.0159888348836168</v>
      </c>
    </row>
    <row r="125" spans="1:10" ht="12" customHeight="1" x14ac:dyDescent="0.3">
      <c r="A125" s="1">
        <f t="shared" si="3"/>
        <v>43692</v>
      </c>
      <c r="B125" s="20">
        <v>11413.04347826087</v>
      </c>
      <c r="C125" s="20">
        <f t="shared" si="4"/>
        <v>10394.021739130434</v>
      </c>
      <c r="D125" s="21" t="str">
        <f t="shared" si="0"/>
        <v>190815</v>
      </c>
      <c r="E125" s="22">
        <f t="shared" si="5"/>
        <v>2.458612</v>
      </c>
      <c r="F125" s="9">
        <v>0</v>
      </c>
      <c r="G125" s="14">
        <f t="shared" si="1"/>
        <v>100.06143166402082</v>
      </c>
      <c r="H125" s="24">
        <f t="shared" si="6"/>
        <v>-166.93335979184099</v>
      </c>
      <c r="I125" s="20">
        <f t="shared" si="2"/>
        <v>10227.088379338593</v>
      </c>
      <c r="J125" s="17">
        <f t="shared" si="7"/>
        <v>1.0227088379338591</v>
      </c>
    </row>
    <row r="126" spans="1:10" ht="12" customHeight="1" x14ac:dyDescent="0.3">
      <c r="A126" s="1">
        <f t="shared" si="3"/>
        <v>43693</v>
      </c>
      <c r="B126" s="20">
        <v>11480.978260869566</v>
      </c>
      <c r="C126" s="20">
        <f t="shared" si="4"/>
        <v>10461.95652173913</v>
      </c>
      <c r="D126" s="21" t="str">
        <f t="shared" si="0"/>
        <v>190816</v>
      </c>
      <c r="E126" s="22">
        <f t="shared" si="5"/>
        <v>2.458612</v>
      </c>
      <c r="F126" s="9">
        <v>0</v>
      </c>
      <c r="G126" s="14">
        <f t="shared" si="1"/>
        <v>100.06135865521645</v>
      </c>
      <c r="H126" s="24">
        <f t="shared" si="6"/>
        <v>-167.66344783547993</v>
      </c>
      <c r="I126" s="20">
        <f t="shared" si="2"/>
        <v>10294.293073903649</v>
      </c>
      <c r="J126" s="17">
        <f t="shared" si="7"/>
        <v>1.0294293073903651</v>
      </c>
    </row>
    <row r="127" spans="1:10" ht="12" customHeight="1" x14ac:dyDescent="0.3">
      <c r="A127" s="1">
        <f t="shared" si="3"/>
        <v>43696</v>
      </c>
      <c r="B127" s="20">
        <v>11684.782608695652</v>
      </c>
      <c r="C127" s="20">
        <f t="shared" si="4"/>
        <v>10665.760869565216</v>
      </c>
      <c r="D127" s="21" t="str">
        <f t="shared" si="0"/>
        <v>190819</v>
      </c>
      <c r="E127" s="22">
        <f t="shared" si="5"/>
        <v>2.458612</v>
      </c>
      <c r="F127" s="9">
        <v>0</v>
      </c>
      <c r="G127" s="14">
        <f t="shared" si="1"/>
        <v>100.06114242755784</v>
      </c>
      <c r="H127" s="24">
        <f t="shared" si="6"/>
        <v>-169.82572442159949</v>
      </c>
      <c r="I127" s="20">
        <f t="shared" si="2"/>
        <v>10495.935145143616</v>
      </c>
      <c r="J127" s="17">
        <f t="shared" si="7"/>
        <v>1.0495935145143616</v>
      </c>
    </row>
    <row r="128" spans="1:10" ht="12" customHeight="1" x14ac:dyDescent="0.3">
      <c r="A128" s="1">
        <f t="shared" si="3"/>
        <v>43697</v>
      </c>
      <c r="B128" s="20">
        <v>11752.717391304348</v>
      </c>
      <c r="C128" s="20">
        <f t="shared" si="4"/>
        <v>10733.695652173912</v>
      </c>
      <c r="D128" s="21" t="str">
        <f t="shared" si="0"/>
        <v>190820</v>
      </c>
      <c r="E128" s="22">
        <f t="shared" si="5"/>
        <v>2.458612</v>
      </c>
      <c r="F128" s="9">
        <v>0</v>
      </c>
      <c r="G128" s="14">
        <f t="shared" si="1"/>
        <v>100.06107128469534</v>
      </c>
      <c r="H128" s="24">
        <f t="shared" si="6"/>
        <v>-170.5371530465527</v>
      </c>
      <c r="I128" s="20">
        <f t="shared" si="2"/>
        <v>10563.158499127359</v>
      </c>
      <c r="J128" s="17">
        <f t="shared" si="7"/>
        <v>1.0563158499127359</v>
      </c>
    </row>
    <row r="129" spans="1:11" ht="12" customHeight="1" x14ac:dyDescent="0.3">
      <c r="A129" s="1">
        <f t="shared" si="3"/>
        <v>43698</v>
      </c>
      <c r="B129" s="20">
        <v>11820.652173913042</v>
      </c>
      <c r="C129" s="20">
        <f t="shared" si="4"/>
        <v>10801.630434782606</v>
      </c>
      <c r="D129" s="21" t="str">
        <f t="shared" si="0"/>
        <v>190821</v>
      </c>
      <c r="E129" s="22">
        <f t="shared" si="5"/>
        <v>2.458612</v>
      </c>
      <c r="F129" s="9">
        <v>0</v>
      </c>
      <c r="G129" s="14">
        <f t="shared" si="1"/>
        <v>100.06100060839744</v>
      </c>
      <c r="H129" s="24">
        <f t="shared" si="6"/>
        <v>-171.24391602564515</v>
      </c>
      <c r="I129" s="20">
        <f t="shared" si="2"/>
        <v>10630.386518756961</v>
      </c>
      <c r="J129" s="17">
        <f t="shared" si="7"/>
        <v>1.0630386518756962</v>
      </c>
      <c r="K129" s="13"/>
    </row>
    <row r="130" spans="1:11" ht="12" customHeight="1" x14ac:dyDescent="0.3">
      <c r="A130" s="1">
        <f t="shared" si="3"/>
        <v>43699</v>
      </c>
      <c r="B130" s="20">
        <v>11888.586956521738</v>
      </c>
      <c r="C130" s="20">
        <f t="shared" si="4"/>
        <v>10869.565217391302</v>
      </c>
      <c r="D130" s="21" t="str">
        <f t="shared" si="0"/>
        <v>190822</v>
      </c>
      <c r="E130" s="22">
        <f t="shared" si="5"/>
        <v>2.458612</v>
      </c>
      <c r="F130" s="9">
        <v>0</v>
      </c>
      <c r="G130" s="14">
        <f t="shared" si="1"/>
        <v>100.06093039869582</v>
      </c>
      <c r="H130" s="24">
        <f t="shared" si="6"/>
        <v>-171.94601304183266</v>
      </c>
      <c r="I130" s="20">
        <f t="shared" si="2"/>
        <v>10697.61920434947</v>
      </c>
      <c r="J130" s="17">
        <f t="shared" si="7"/>
        <v>1.0697619204349469</v>
      </c>
    </row>
    <row r="131" spans="1:11" ht="12" customHeight="1" x14ac:dyDescent="0.3">
      <c r="A131" s="1">
        <f t="shared" si="3"/>
        <v>43700</v>
      </c>
      <c r="B131" s="20">
        <v>11956.521739130434</v>
      </c>
      <c r="C131" s="20">
        <f t="shared" si="4"/>
        <v>10937.499999999998</v>
      </c>
      <c r="D131" s="21" t="str">
        <f t="shared" si="0"/>
        <v>190823</v>
      </c>
      <c r="E131" s="22">
        <f t="shared" si="5"/>
        <v>2.458612</v>
      </c>
      <c r="F131" s="9">
        <v>0</v>
      </c>
      <c r="G131" s="14">
        <f t="shared" si="1"/>
        <v>100.06086065562218</v>
      </c>
      <c r="H131" s="24">
        <f t="shared" si="6"/>
        <v>-172.6434437782132</v>
      </c>
      <c r="I131" s="20">
        <f t="shared" si="2"/>
        <v>10764.856556221785</v>
      </c>
      <c r="J131" s="17">
        <f t="shared" si="7"/>
        <v>1.0764856556221785</v>
      </c>
    </row>
    <row r="132" spans="1:11" ht="12" customHeight="1" x14ac:dyDescent="0.3">
      <c r="A132" s="1">
        <f t="shared" si="3"/>
        <v>43703</v>
      </c>
      <c r="B132" s="20">
        <v>12160.32608695652</v>
      </c>
      <c r="C132" s="20">
        <f t="shared" si="4"/>
        <v>11141.304347826084</v>
      </c>
      <c r="D132" s="21" t="str">
        <f t="shared" si="0"/>
        <v>190826</v>
      </c>
      <c r="E132" s="22">
        <f t="shared" si="5"/>
        <v>2.458612</v>
      </c>
      <c r="F132" s="9">
        <v>0</v>
      </c>
      <c r="G132" s="14">
        <f t="shared" si="1"/>
        <v>100.06065422648584</v>
      </c>
      <c r="H132" s="24">
        <f t="shared" si="6"/>
        <v>-174.70773514162374</v>
      </c>
      <c r="I132" s="20">
        <f t="shared" si="2"/>
        <v>10966.596612684461</v>
      </c>
      <c r="J132" s="17">
        <f t="shared" si="7"/>
        <v>1.0966596612684461</v>
      </c>
    </row>
    <row r="133" spans="1:11" ht="12" customHeight="1" x14ac:dyDescent="0.3">
      <c r="A133" s="1">
        <f t="shared" si="3"/>
        <v>43704</v>
      </c>
      <c r="B133" s="20">
        <v>12228.260869565218</v>
      </c>
      <c r="C133" s="20">
        <f t="shared" si="4"/>
        <v>11209.239130434782</v>
      </c>
      <c r="D133" s="21" t="str">
        <f t="shared" si="0"/>
        <v>190827</v>
      </c>
      <c r="E133" s="22">
        <f t="shared" si="5"/>
        <v>2.458612</v>
      </c>
      <c r="F133" s="9">
        <v>0</v>
      </c>
      <c r="G133" s="14">
        <f t="shared" si="1"/>
        <v>100.06058635024083</v>
      </c>
      <c r="H133" s="24">
        <f t="shared" si="6"/>
        <v>-175.38649759174518</v>
      </c>
      <c r="I133" s="20">
        <f t="shared" si="2"/>
        <v>11033.852632843036</v>
      </c>
      <c r="J133" s="17">
        <f t="shared" si="7"/>
        <v>1.1033852632843038</v>
      </c>
    </row>
    <row r="134" spans="1:11" ht="12" customHeight="1" x14ac:dyDescent="0.3">
      <c r="A134" s="1">
        <f t="shared" si="3"/>
        <v>43705</v>
      </c>
      <c r="B134" s="20">
        <v>12296.195652173914</v>
      </c>
      <c r="C134" s="20">
        <f t="shared" si="4"/>
        <v>11277.173913043478</v>
      </c>
      <c r="D134" s="21" t="str">
        <f t="shared" si="0"/>
        <v>190828</v>
      </c>
      <c r="E134" s="22">
        <f t="shared" si="5"/>
        <v>2.458612</v>
      </c>
      <c r="F134" s="9">
        <v>0</v>
      </c>
      <c r="G134" s="14">
        <f t="shared" si="1"/>
        <v>100.0605189407822</v>
      </c>
      <c r="H134" s="24">
        <f t="shared" si="6"/>
        <v>-176.06059217797562</v>
      </c>
      <c r="I134" s="20">
        <f t="shared" si="2"/>
        <v>11101.113320865503</v>
      </c>
      <c r="J134" s="17">
        <f t="shared" si="7"/>
        <v>1.1101113320865503</v>
      </c>
    </row>
    <row r="135" spans="1:11" ht="12" customHeight="1" x14ac:dyDescent="0.3">
      <c r="A135" s="1">
        <f t="shared" si="3"/>
        <v>43706</v>
      </c>
      <c r="B135" s="20">
        <v>12364.130434782608</v>
      </c>
      <c r="C135" s="20">
        <f t="shared" si="4"/>
        <v>11345.108695652172</v>
      </c>
      <c r="D135" s="21" t="str">
        <f t="shared" si="0"/>
        <v>190829</v>
      </c>
      <c r="E135" s="22">
        <f t="shared" si="5"/>
        <v>2.458612</v>
      </c>
      <c r="F135" s="9">
        <v>0</v>
      </c>
      <c r="G135" s="14">
        <f t="shared" si="1"/>
        <v>100.06045199814162</v>
      </c>
      <c r="H135" s="24">
        <f t="shared" si="6"/>
        <v>-176.73001858383941</v>
      </c>
      <c r="I135" s="20">
        <f t="shared" si="2"/>
        <v>11168.378677068333</v>
      </c>
      <c r="J135" s="17">
        <f t="shared" si="7"/>
        <v>1.1168378677068334</v>
      </c>
    </row>
    <row r="136" spans="1:11" ht="12" customHeight="1" x14ac:dyDescent="0.3">
      <c r="A136" s="1">
        <f t="shared" si="3"/>
        <v>43707</v>
      </c>
      <c r="B136" s="20">
        <v>12432.065217391304</v>
      </c>
      <c r="C136" s="20">
        <f t="shared" si="4"/>
        <v>11413.043478260868</v>
      </c>
      <c r="D136" s="21" t="str">
        <f t="shared" si="0"/>
        <v>190830</v>
      </c>
      <c r="E136" s="22">
        <f t="shared" si="5"/>
        <v>2.458612</v>
      </c>
      <c r="F136" s="9">
        <v>0</v>
      </c>
      <c r="G136" s="14">
        <f t="shared" si="1"/>
        <v>100.06038552235076</v>
      </c>
      <c r="H136" s="24">
        <f t="shared" si="6"/>
        <v>-177.3947764924344</v>
      </c>
      <c r="I136" s="20">
        <f t="shared" si="2"/>
        <v>11235.648701768434</v>
      </c>
      <c r="J136" s="17">
        <f t="shared" si="7"/>
        <v>1.1235648701768435</v>
      </c>
    </row>
    <row r="137" spans="1:11" ht="12" customHeight="1" x14ac:dyDescent="0.3">
      <c r="A137" s="1">
        <f t="shared" si="3"/>
        <v>43710</v>
      </c>
      <c r="B137" s="20">
        <v>137.36263736263737</v>
      </c>
      <c r="C137" s="20">
        <f t="shared" si="4"/>
        <v>11618.340898232202</v>
      </c>
      <c r="D137" s="21" t="str">
        <f t="shared" si="0"/>
        <v>190902</v>
      </c>
      <c r="E137" s="22">
        <f t="shared" si="5"/>
        <v>2.458612</v>
      </c>
      <c r="F137" s="9">
        <v>0</v>
      </c>
      <c r="G137" s="14">
        <f t="shared" si="1"/>
        <v>100.06028229059568</v>
      </c>
      <c r="H137" s="24">
        <f t="shared" si="6"/>
        <v>-178.4270940432009</v>
      </c>
      <c r="I137" s="20">
        <f t="shared" si="2"/>
        <v>11439.913804189</v>
      </c>
      <c r="J137" s="17">
        <f t="shared" si="7"/>
        <v>1.1439913804188999</v>
      </c>
    </row>
    <row r="138" spans="1:11" ht="12" customHeight="1" x14ac:dyDescent="0.3">
      <c r="A138" s="1">
        <f t="shared" si="3"/>
        <v>43711</v>
      </c>
      <c r="B138" s="20">
        <v>206.04395604395603</v>
      </c>
      <c r="C138" s="20">
        <f t="shared" si="4"/>
        <v>11687.02221691352</v>
      </c>
      <c r="D138" s="21" t="str">
        <f t="shared" si="0"/>
        <v>190903</v>
      </c>
      <c r="E138" s="22">
        <f t="shared" si="5"/>
        <v>2.458612</v>
      </c>
      <c r="F138" s="9">
        <v>0</v>
      </c>
      <c r="G138" s="14">
        <f t="shared" si="1"/>
        <v>100.06013095239184</v>
      </c>
      <c r="H138" s="24">
        <f t="shared" si="6"/>
        <v>-179.94047608155483</v>
      </c>
      <c r="I138" s="20">
        <f t="shared" si="2"/>
        <v>11507.081740831965</v>
      </c>
      <c r="J138" s="17">
        <f t="shared" si="7"/>
        <v>1.1507081740831966</v>
      </c>
    </row>
    <row r="139" spans="1:11" ht="12" customHeight="1" x14ac:dyDescent="0.3">
      <c r="A139" s="1">
        <f t="shared" si="3"/>
        <v>43712</v>
      </c>
      <c r="B139" s="20">
        <v>274.72527472527474</v>
      </c>
      <c r="C139" s="20">
        <f t="shared" si="4"/>
        <v>11755.703535594837</v>
      </c>
      <c r="D139" s="21" t="str">
        <f t="shared" si="0"/>
        <v>190904</v>
      </c>
      <c r="E139" s="22">
        <f t="shared" si="5"/>
        <v>2.458612</v>
      </c>
      <c r="F139" s="9">
        <v>0</v>
      </c>
      <c r="G139" s="14">
        <f t="shared" si="1"/>
        <v>100.05998007530893</v>
      </c>
      <c r="H139" s="24">
        <f t="shared" si="6"/>
        <v>-181.44924691071651</v>
      </c>
      <c r="I139" s="20">
        <f t="shared" si="2"/>
        <v>11574.25428868412</v>
      </c>
      <c r="J139" s="17">
        <f t="shared" si="7"/>
        <v>1.157425428868412</v>
      </c>
    </row>
    <row r="140" spans="1:11" ht="12" customHeight="1" x14ac:dyDescent="0.3">
      <c r="A140" s="1">
        <f t="shared" si="3"/>
        <v>43713</v>
      </c>
      <c r="B140" s="20">
        <v>343.40659340659346</v>
      </c>
      <c r="C140" s="20">
        <f t="shared" si="4"/>
        <v>11824.384854276155</v>
      </c>
      <c r="D140" s="21" t="str">
        <f t="shared" si="0"/>
        <v>190905</v>
      </c>
      <c r="E140" s="22">
        <f t="shared" si="5"/>
        <v>2.458612</v>
      </c>
      <c r="F140" s="9">
        <v>0</v>
      </c>
      <c r="G140" s="14">
        <f t="shared" si="1"/>
        <v>100.05982965937821</v>
      </c>
      <c r="H140" s="24">
        <f t="shared" si="6"/>
        <v>-182.95340621790498</v>
      </c>
      <c r="I140" s="20">
        <f t="shared" si="2"/>
        <v>11641.431448058251</v>
      </c>
      <c r="J140" s="17">
        <f t="shared" si="7"/>
        <v>1.164143144805825</v>
      </c>
    </row>
    <row r="141" spans="1:11" ht="12" customHeight="1" x14ac:dyDescent="0.3">
      <c r="A141" s="1">
        <f t="shared" si="3"/>
        <v>43714</v>
      </c>
      <c r="B141" s="20">
        <v>412.08791208791206</v>
      </c>
      <c r="C141" s="20">
        <f t="shared" si="4"/>
        <v>11893.066172957473</v>
      </c>
      <c r="D141" s="21" t="str">
        <f t="shared" si="0"/>
        <v>190906</v>
      </c>
      <c r="E141" s="22">
        <f t="shared" si="5"/>
        <v>2.458612</v>
      </c>
      <c r="F141" s="9">
        <v>0</v>
      </c>
      <c r="G141" s="14">
        <f t="shared" si="1"/>
        <v>100.05967970463099</v>
      </c>
      <c r="H141" s="24">
        <f t="shared" si="6"/>
        <v>-184.45295369005521</v>
      </c>
      <c r="I141" s="20">
        <f t="shared" si="2"/>
        <v>11708.613219267418</v>
      </c>
      <c r="J141" s="17">
        <f t="shared" si="7"/>
        <v>1.1708613219267419</v>
      </c>
    </row>
    <row r="142" spans="1:11" ht="12" customHeight="1" x14ac:dyDescent="0.3">
      <c r="A142" s="1">
        <f t="shared" si="3"/>
        <v>43717</v>
      </c>
      <c r="B142" s="20">
        <v>618.13186813186815</v>
      </c>
      <c r="C142" s="20">
        <f t="shared" si="4"/>
        <v>12099.110129001429</v>
      </c>
      <c r="D142" s="21" t="str">
        <f t="shared" si="0"/>
        <v>190909</v>
      </c>
      <c r="E142" s="22">
        <f t="shared" si="5"/>
        <v>2.458612</v>
      </c>
      <c r="F142" s="9">
        <v>0</v>
      </c>
      <c r="G142" s="14">
        <f t="shared" si="1"/>
        <v>100.05923260780352</v>
      </c>
      <c r="H142" s="24">
        <f t="shared" si="6"/>
        <v>-188.92392196477201</v>
      </c>
      <c r="I142" s="20">
        <f t="shared" si="2"/>
        <v>11910.186207036657</v>
      </c>
      <c r="J142" s="17">
        <f t="shared" si="7"/>
        <v>1.1910186207036657</v>
      </c>
    </row>
    <row r="143" spans="1:11" ht="12" customHeight="1" x14ac:dyDescent="0.3">
      <c r="A143" s="1">
        <f t="shared" si="3"/>
        <v>43718</v>
      </c>
      <c r="B143" s="20">
        <v>686.81318681318692</v>
      </c>
      <c r="C143" s="20">
        <f t="shared" si="4"/>
        <v>12167.791447682746</v>
      </c>
      <c r="D143" s="21" t="str">
        <f t="shared" si="0"/>
        <v>190910</v>
      </c>
      <c r="E143" s="22">
        <f t="shared" si="5"/>
        <v>2.458612</v>
      </c>
      <c r="F143" s="9">
        <v>0</v>
      </c>
      <c r="G143" s="14">
        <f t="shared" si="1"/>
        <v>100.05908449810342</v>
      </c>
      <c r="H143" s="24">
        <f t="shared" si="6"/>
        <v>-190.40501896583351</v>
      </c>
      <c r="I143" s="20">
        <f t="shared" si="2"/>
        <v>11977.386428716913</v>
      </c>
      <c r="J143" s="17">
        <f t="shared" si="7"/>
        <v>1.1977386428716912</v>
      </c>
    </row>
    <row r="144" spans="1:11" ht="12" customHeight="1" x14ac:dyDescent="0.3">
      <c r="A144" s="1">
        <f t="shared" si="3"/>
        <v>43719</v>
      </c>
      <c r="B144" s="20">
        <v>755.49450549450546</v>
      </c>
      <c r="C144" s="20">
        <f t="shared" si="4"/>
        <v>12236.472766364064</v>
      </c>
      <c r="D144" s="21" t="str">
        <f t="shared" si="0"/>
        <v>190911</v>
      </c>
      <c r="E144" s="22">
        <f t="shared" si="5"/>
        <v>2.458612</v>
      </c>
      <c r="F144" s="9">
        <v>0</v>
      </c>
      <c r="G144" s="14">
        <f t="shared" si="1"/>
        <v>100.0589368497434</v>
      </c>
      <c r="H144" s="24">
        <f t="shared" si="6"/>
        <v>-191.88150256596259</v>
      </c>
      <c r="I144" s="20">
        <f t="shared" si="2"/>
        <v>12044.591263798102</v>
      </c>
      <c r="J144" s="17">
        <f t="shared" si="7"/>
        <v>1.2044591263798101</v>
      </c>
    </row>
    <row r="145" spans="1:10" ht="12" customHeight="1" x14ac:dyDescent="0.3">
      <c r="A145" s="1">
        <f t="shared" si="3"/>
        <v>43720</v>
      </c>
      <c r="B145" s="20">
        <v>824.17582417582412</v>
      </c>
      <c r="C145" s="20">
        <f t="shared" si="4"/>
        <v>12305.154085045382</v>
      </c>
      <c r="D145" s="21" t="str">
        <f t="shared" si="0"/>
        <v>190912</v>
      </c>
      <c r="E145" s="22">
        <f t="shared" si="5"/>
        <v>2.458612</v>
      </c>
      <c r="F145" s="9">
        <v>0</v>
      </c>
      <c r="G145" s="14">
        <f t="shared" si="1"/>
        <v>100.05878966275476</v>
      </c>
      <c r="H145" s="24">
        <f t="shared" si="6"/>
        <v>-193.35337245237838</v>
      </c>
      <c r="I145" s="20">
        <f t="shared" si="2"/>
        <v>12111.800712593003</v>
      </c>
      <c r="J145" s="17">
        <f t="shared" si="7"/>
        <v>1.2111800712593002</v>
      </c>
    </row>
    <row r="146" spans="1:10" ht="12" customHeight="1" x14ac:dyDescent="0.3">
      <c r="A146" s="1">
        <f t="shared" si="3"/>
        <v>43721</v>
      </c>
      <c r="B146" s="20">
        <v>892.85714285714278</v>
      </c>
      <c r="C146" s="20">
        <f t="shared" si="4"/>
        <v>12373.8354037267</v>
      </c>
      <c r="D146" s="21" t="str">
        <f t="shared" si="0"/>
        <v>190913</v>
      </c>
      <c r="E146" s="22">
        <f t="shared" si="5"/>
        <v>2.458612</v>
      </c>
      <c r="F146" s="9">
        <v>0</v>
      </c>
      <c r="G146" s="14">
        <f t="shared" si="1"/>
        <v>100.0586429371688</v>
      </c>
      <c r="H146" s="24">
        <f t="shared" si="6"/>
        <v>-194.82062831201577</v>
      </c>
      <c r="I146" s="20">
        <f t="shared" si="2"/>
        <v>12179.014775414684</v>
      </c>
      <c r="J146" s="17">
        <f t="shared" si="7"/>
        <v>1.2179014775414685</v>
      </c>
    </row>
    <row r="147" spans="1:10" ht="12" customHeight="1" x14ac:dyDescent="0.3">
      <c r="A147" s="1">
        <f t="shared" si="3"/>
        <v>43724</v>
      </c>
      <c r="B147" s="20">
        <v>1098.901098901099</v>
      </c>
      <c r="C147" s="20">
        <f t="shared" si="4"/>
        <v>12579.879359770655</v>
      </c>
      <c r="D147" s="21" t="str">
        <f t="shared" si="0"/>
        <v>190916</v>
      </c>
      <c r="E147" s="22">
        <f t="shared" si="5"/>
        <v>2.458612</v>
      </c>
      <c r="F147" s="9">
        <v>0</v>
      </c>
      <c r="G147" s="14">
        <f t="shared" si="1"/>
        <v>100.05820552914027</v>
      </c>
      <c r="H147" s="24">
        <f t="shared" si="6"/>
        <v>-199.19470859733224</v>
      </c>
      <c r="I147" s="20">
        <f t="shared" si="2"/>
        <v>12380.684651173324</v>
      </c>
      <c r="J147" s="17">
        <f t="shared" si="7"/>
        <v>1.2380684651173324</v>
      </c>
    </row>
    <row r="148" spans="1:10" ht="12" customHeight="1" x14ac:dyDescent="0.3">
      <c r="A148" s="1">
        <f t="shared" si="3"/>
        <v>43725</v>
      </c>
      <c r="B148" s="20">
        <v>1167.5824175824175</v>
      </c>
      <c r="C148" s="20">
        <f t="shared" si="4"/>
        <v>12648.560678451973</v>
      </c>
      <c r="D148" s="21" t="str">
        <f t="shared" si="0"/>
        <v>190917</v>
      </c>
      <c r="E148" s="22">
        <f t="shared" si="5"/>
        <v>2.458612</v>
      </c>
      <c r="F148" s="9">
        <v>0</v>
      </c>
      <c r="G148" s="14">
        <f t="shared" si="1"/>
        <v>100.05806064947831</v>
      </c>
      <c r="H148" s="24">
        <f t="shared" si="6"/>
        <v>-200.64350521693086</v>
      </c>
      <c r="I148" s="20">
        <f t="shared" si="2"/>
        <v>12447.917173235042</v>
      </c>
      <c r="J148" s="17">
        <f t="shared" si="7"/>
        <v>1.2447917173235041</v>
      </c>
    </row>
    <row r="149" spans="1:10" ht="12" customHeight="1" x14ac:dyDescent="0.3">
      <c r="A149" s="1">
        <f t="shared" si="3"/>
        <v>43726</v>
      </c>
      <c r="B149" s="20">
        <v>1236.2637362637363</v>
      </c>
      <c r="C149" s="20">
        <f t="shared" si="4"/>
        <v>12717.241997133293</v>
      </c>
      <c r="D149" s="21" t="str">
        <f t="shared" si="0"/>
        <v>190918</v>
      </c>
      <c r="E149" s="22">
        <f t="shared" si="5"/>
        <v>2.458612</v>
      </c>
      <c r="F149" s="9">
        <v>0</v>
      </c>
      <c r="G149" s="14">
        <f t="shared" si="1"/>
        <v>100.05791623137564</v>
      </c>
      <c r="H149" s="24">
        <f t="shared" si="6"/>
        <v>-202.08768624357276</v>
      </c>
      <c r="I149" s="20">
        <f t="shared" si="2"/>
        <v>12515.15431088972</v>
      </c>
      <c r="J149" s="17">
        <f t="shared" si="7"/>
        <v>1.251515431088972</v>
      </c>
    </row>
    <row r="150" spans="1:10" ht="12" customHeight="1" x14ac:dyDescent="0.3">
      <c r="A150" s="1">
        <f t="shared" si="3"/>
        <v>43727</v>
      </c>
      <c r="B150" s="20">
        <v>1304.9450549450551</v>
      </c>
      <c r="C150" s="20">
        <f t="shared" si="4"/>
        <v>12785.923315814613</v>
      </c>
      <c r="D150" s="21" t="str">
        <f t="shared" si="0"/>
        <v>190919</v>
      </c>
      <c r="E150" s="22">
        <f t="shared" si="5"/>
        <v>2.458612</v>
      </c>
      <c r="F150" s="9">
        <v>0</v>
      </c>
      <c r="G150" s="14">
        <f t="shared" si="1"/>
        <v>100.05777227486364</v>
      </c>
      <c r="H150" s="24">
        <f t="shared" si="6"/>
        <v>-203.52725136362437</v>
      </c>
      <c r="I150" s="20">
        <f t="shared" si="2"/>
        <v>12582.396064450988</v>
      </c>
      <c r="J150" s="17">
        <f t="shared" si="7"/>
        <v>1.2582396064450987</v>
      </c>
    </row>
    <row r="151" spans="1:10" ht="12" customHeight="1" x14ac:dyDescent="0.3">
      <c r="A151" s="1">
        <f t="shared" si="3"/>
        <v>43728</v>
      </c>
      <c r="B151" s="20">
        <v>1373.6263736263738</v>
      </c>
      <c r="C151" s="20">
        <f t="shared" si="4"/>
        <v>12854.604634495932</v>
      </c>
      <c r="D151" s="21" t="str">
        <f t="shared" si="0"/>
        <v>190920</v>
      </c>
      <c r="E151" s="22">
        <f t="shared" si="5"/>
        <v>2.458612</v>
      </c>
      <c r="F151" s="9">
        <v>0</v>
      </c>
      <c r="G151" s="14">
        <f t="shared" si="1"/>
        <v>100.05762877997361</v>
      </c>
      <c r="H151" s="24">
        <f t="shared" si="6"/>
        <v>-204.96220026387849</v>
      </c>
      <c r="I151" s="20">
        <f t="shared" si="2"/>
        <v>12649.642434232053</v>
      </c>
      <c r="J151" s="17">
        <f t="shared" si="7"/>
        <v>1.2649642434232053</v>
      </c>
    </row>
    <row r="152" spans="1:10" ht="12" customHeight="1" x14ac:dyDescent="0.3">
      <c r="A152" s="1">
        <f t="shared" si="3"/>
        <v>43731</v>
      </c>
      <c r="B152" s="20">
        <v>1579.6703296703295</v>
      </c>
      <c r="C152" s="20">
        <f t="shared" si="4"/>
        <v>13060.648590539888</v>
      </c>
      <c r="D152" s="21" t="str">
        <f t="shared" si="0"/>
        <v>190923</v>
      </c>
      <c r="E152" s="22">
        <f t="shared" si="5"/>
        <v>2.458612</v>
      </c>
      <c r="F152" s="9">
        <v>0</v>
      </c>
      <c r="G152" s="14">
        <f t="shared" si="1"/>
        <v>100.05720106534876</v>
      </c>
      <c r="H152" s="24">
        <f t="shared" si="6"/>
        <v>-209.23934651236209</v>
      </c>
      <c r="I152" s="20">
        <f t="shared" si="2"/>
        <v>12851.409244027525</v>
      </c>
      <c r="J152" s="17">
        <f t="shared" si="7"/>
        <v>1.2851409244027525</v>
      </c>
    </row>
    <row r="153" spans="1:10" ht="12" customHeight="1" x14ac:dyDescent="0.3">
      <c r="A153" s="1">
        <f t="shared" si="3"/>
        <v>43732</v>
      </c>
      <c r="B153" s="20">
        <v>1648.3516483516482</v>
      </c>
      <c r="C153" s="20">
        <f t="shared" si="4"/>
        <v>13129.329909221207</v>
      </c>
      <c r="D153" s="21" t="str">
        <f t="shared" si="0"/>
        <v>190924</v>
      </c>
      <c r="E153" s="22">
        <f t="shared" si="5"/>
        <v>2.458612</v>
      </c>
      <c r="F153" s="9">
        <v>0</v>
      </c>
      <c r="G153" s="14">
        <f t="shared" si="1"/>
        <v>100.05705941726004</v>
      </c>
      <c r="H153" s="24">
        <f t="shared" si="6"/>
        <v>-210.65582739964842</v>
      </c>
      <c r="I153" s="20">
        <f t="shared" si="2"/>
        <v>12918.674081821559</v>
      </c>
      <c r="J153" s="17">
        <f t="shared" si="7"/>
        <v>1.2918674081821557</v>
      </c>
    </row>
    <row r="154" spans="1:10" ht="12" customHeight="1" x14ac:dyDescent="0.3">
      <c r="A154" s="1">
        <f t="shared" si="3"/>
        <v>43733</v>
      </c>
      <c r="B154" s="20">
        <v>1717.0329670329672</v>
      </c>
      <c r="C154" s="20">
        <f t="shared" si="4"/>
        <v>13198.011227902527</v>
      </c>
      <c r="D154" s="21" t="str">
        <f t="shared" si="0"/>
        <v>190925</v>
      </c>
      <c r="E154" s="22">
        <f t="shared" si="5"/>
        <v>2.458612</v>
      </c>
      <c r="F154" s="9">
        <v>0</v>
      </c>
      <c r="G154" s="14">
        <f t="shared" si="1"/>
        <v>100.05691823094998</v>
      </c>
      <c r="H154" s="24">
        <f t="shared" si="6"/>
        <v>-212.06769050024832</v>
      </c>
      <c r="I154" s="20">
        <f t="shared" si="2"/>
        <v>12985.94353740228</v>
      </c>
      <c r="J154" s="17">
        <f t="shared" si="7"/>
        <v>1.298594353740228</v>
      </c>
    </row>
    <row r="155" spans="1:10" ht="12" customHeight="1" x14ac:dyDescent="0.3">
      <c r="A155" s="1">
        <f t="shared" si="3"/>
        <v>43734</v>
      </c>
      <c r="B155" s="20">
        <v>1785.7142857142856</v>
      </c>
      <c r="C155" s="20">
        <f t="shared" si="4"/>
        <v>13266.692546583845</v>
      </c>
      <c r="D155" s="21" t="str">
        <f t="shared" si="0"/>
        <v>190926</v>
      </c>
      <c r="E155" s="22">
        <f t="shared" si="5"/>
        <v>2.458612</v>
      </c>
      <c r="F155" s="9">
        <v>0</v>
      </c>
      <c r="G155" s="14">
        <f t="shared" si="1"/>
        <v>100.05677750644995</v>
      </c>
      <c r="H155" s="24">
        <f t="shared" si="6"/>
        <v>-213.47493550052829</v>
      </c>
      <c r="I155" s="20">
        <f t="shared" si="2"/>
        <v>13053.217611083317</v>
      </c>
      <c r="J155" s="17">
        <f t="shared" si="7"/>
        <v>1.3053217611083316</v>
      </c>
    </row>
    <row r="156" spans="1:10" ht="12" customHeight="1" x14ac:dyDescent="0.3">
      <c r="A156" s="1">
        <f t="shared" si="3"/>
        <v>43735</v>
      </c>
      <c r="B156" s="20">
        <v>1854.3956043956046</v>
      </c>
      <c r="C156" s="20">
        <f t="shared" si="4"/>
        <v>13335.373865265165</v>
      </c>
      <c r="D156" s="21" t="str">
        <f t="shared" si="0"/>
        <v>190927</v>
      </c>
      <c r="E156" s="22">
        <f t="shared" si="5"/>
        <v>2.458612</v>
      </c>
      <c r="F156" s="9">
        <v>0</v>
      </c>
      <c r="G156" s="14">
        <f t="shared" si="1"/>
        <v>100.05663724379129</v>
      </c>
      <c r="H156" s="24">
        <f t="shared" si="6"/>
        <v>-214.87756208713904</v>
      </c>
      <c r="I156" s="20">
        <f t="shared" si="2"/>
        <v>13120.496303178026</v>
      </c>
      <c r="J156" s="17">
        <f t="shared" si="7"/>
        <v>1.3120496303178026</v>
      </c>
    </row>
    <row r="157" spans="1:10" ht="12" customHeight="1" x14ac:dyDescent="0.3">
      <c r="A157" s="1">
        <f t="shared" si="3"/>
        <v>43738</v>
      </c>
      <c r="B157" s="20">
        <v>2060.4395604395604</v>
      </c>
      <c r="C157" s="20">
        <f t="shared" si="4"/>
        <v>13541.41782130912</v>
      </c>
      <c r="D157" s="21" t="str">
        <f t="shared" si="0"/>
        <v>190930</v>
      </c>
      <c r="E157" s="22">
        <f t="shared" si="5"/>
        <v>2.458612</v>
      </c>
      <c r="F157" s="9">
        <v>0</v>
      </c>
      <c r="G157" s="14">
        <f t="shared" si="1"/>
        <v>100.05621922717705</v>
      </c>
      <c r="H157" s="24">
        <f t="shared" si="6"/>
        <v>-219.05772822947256</v>
      </c>
      <c r="I157" s="20">
        <f t="shared" si="2"/>
        <v>13322.360093079647</v>
      </c>
      <c r="J157" s="17">
        <f t="shared" si="7"/>
        <v>1.3322360093079648</v>
      </c>
    </row>
    <row r="158" spans="1:10" ht="12" customHeight="1" x14ac:dyDescent="0.3">
      <c r="A158" s="1">
        <f t="shared" si="3"/>
        <v>43739</v>
      </c>
      <c r="B158" s="20">
        <v>2129.1208791208792</v>
      </c>
      <c r="C158" s="20">
        <f t="shared" si="4"/>
        <v>13610.099139990438</v>
      </c>
      <c r="D158" s="21" t="str">
        <f t="shared" si="0"/>
        <v>191001</v>
      </c>
      <c r="E158" s="22">
        <f t="shared" si="5"/>
        <v>2.458612</v>
      </c>
      <c r="F158" s="9">
        <v>0</v>
      </c>
      <c r="G158" s="14">
        <f t="shared" si="1"/>
        <v>100.05608081219741</v>
      </c>
      <c r="H158" s="24">
        <f t="shared" si="6"/>
        <v>-220.44187802592319</v>
      </c>
      <c r="I158" s="20">
        <f t="shared" si="2"/>
        <v>13389.657261964514</v>
      </c>
      <c r="J158" s="17">
        <f t="shared" si="7"/>
        <v>1.3389657261964514</v>
      </c>
    </row>
    <row r="159" spans="1:10" ht="12" customHeight="1" x14ac:dyDescent="0.3">
      <c r="A159" s="1">
        <f t="shared" si="3"/>
        <v>43740</v>
      </c>
      <c r="B159" s="20">
        <v>2197.802197802198</v>
      </c>
      <c r="C159" s="20">
        <f t="shared" si="4"/>
        <v>13678.780458671758</v>
      </c>
      <c r="D159" s="21" t="str">
        <f t="shared" si="0"/>
        <v>191002</v>
      </c>
      <c r="E159" s="22">
        <f t="shared" si="5"/>
        <v>2.458612</v>
      </c>
      <c r="F159" s="9">
        <v>0</v>
      </c>
      <c r="G159" s="14">
        <f t="shared" si="1"/>
        <v>100.05594285921586</v>
      </c>
      <c r="H159" s="24">
        <f t="shared" si="6"/>
        <v>-221.82140784138937</v>
      </c>
      <c r="I159" s="20">
        <f t="shared" si="2"/>
        <v>13456.959050830368</v>
      </c>
      <c r="J159" s="17">
        <f t="shared" si="7"/>
        <v>1.3456959050830368</v>
      </c>
    </row>
    <row r="160" spans="1:10" ht="12" customHeight="1" x14ac:dyDescent="0.3">
      <c r="A160" s="1">
        <f t="shared" si="3"/>
        <v>43741</v>
      </c>
      <c r="B160" s="20">
        <v>2266.4835164835163</v>
      </c>
      <c r="C160" s="20">
        <f t="shared" si="4"/>
        <v>13747.461777353075</v>
      </c>
      <c r="D160" s="21" t="str">
        <f t="shared" si="0"/>
        <v>191003</v>
      </c>
      <c r="E160" s="22">
        <f t="shared" si="5"/>
        <v>2.458612</v>
      </c>
      <c r="F160" s="9">
        <v>0</v>
      </c>
      <c r="G160" s="14">
        <f t="shared" si="1"/>
        <v>100.05580536826386</v>
      </c>
      <c r="H160" s="24">
        <f t="shared" si="6"/>
        <v>-223.1963173613849</v>
      </c>
      <c r="I160" s="20">
        <f t="shared" si="2"/>
        <v>13524.26545999169</v>
      </c>
      <c r="J160" s="17">
        <f t="shared" si="7"/>
        <v>1.3524265459991689</v>
      </c>
    </row>
    <row r="161" spans="1:10" ht="12" customHeight="1" x14ac:dyDescent="0.3">
      <c r="A161" s="1">
        <f t="shared" si="3"/>
        <v>43742</v>
      </c>
      <c r="B161" s="20">
        <v>2335.164835164835</v>
      </c>
      <c r="C161" s="20">
        <f t="shared" si="4"/>
        <v>13816.143096034393</v>
      </c>
      <c r="D161" s="21" t="str">
        <f t="shared" si="0"/>
        <v>191004</v>
      </c>
      <c r="E161" s="22">
        <f t="shared" si="5"/>
        <v>2.458612</v>
      </c>
      <c r="F161" s="9">
        <v>0</v>
      </c>
      <c r="G161" s="14">
        <f t="shared" si="1"/>
        <v>100.05566833937272</v>
      </c>
      <c r="H161" s="24">
        <f t="shared" si="6"/>
        <v>-224.56660627284467</v>
      </c>
      <c r="I161" s="20">
        <f t="shared" si="2"/>
        <v>13591.576489761548</v>
      </c>
      <c r="J161" s="17">
        <f t="shared" si="7"/>
        <v>1.3591576489761548</v>
      </c>
    </row>
    <row r="162" spans="1:10" ht="12" customHeight="1" x14ac:dyDescent="0.3">
      <c r="A162" s="1">
        <f t="shared" si="3"/>
        <v>43745</v>
      </c>
      <c r="B162" s="20">
        <v>2541.2087912087909</v>
      </c>
      <c r="C162" s="20">
        <f t="shared" si="4"/>
        <v>14022.187052078349</v>
      </c>
      <c r="D162" s="21" t="str">
        <f t="shared" si="0"/>
        <v>191007</v>
      </c>
      <c r="E162" s="22">
        <f t="shared" si="5"/>
        <v>2.458612</v>
      </c>
      <c r="F162" s="9">
        <v>0</v>
      </c>
      <c r="G162" s="14">
        <f t="shared" si="1"/>
        <v>100.05526002537815</v>
      </c>
      <c r="H162" s="24">
        <f t="shared" si="6"/>
        <v>-228.64974621853659</v>
      </c>
      <c r="I162" s="20">
        <f t="shared" si="2"/>
        <v>13793.537305859812</v>
      </c>
      <c r="J162" s="17">
        <f t="shared" si="7"/>
        <v>1.3793537305859813</v>
      </c>
    </row>
    <row r="163" spans="1:10" ht="12" customHeight="1" x14ac:dyDescent="0.3">
      <c r="A163" s="1">
        <f t="shared" si="3"/>
        <v>43746</v>
      </c>
      <c r="B163" s="20">
        <v>2609.8901098901101</v>
      </c>
      <c r="C163" s="20">
        <f t="shared" si="4"/>
        <v>14090.868370759668</v>
      </c>
      <c r="D163" s="21" t="str">
        <f t="shared" si="0"/>
        <v>191008</v>
      </c>
      <c r="E163" s="22">
        <f t="shared" si="5"/>
        <v>2.458612</v>
      </c>
      <c r="F163" s="9">
        <v>0</v>
      </c>
      <c r="G163" s="14">
        <f t="shared" si="1"/>
        <v>100.05512484504415</v>
      </c>
      <c r="H163" s="24">
        <f t="shared" si="6"/>
        <v>-230.00154955852281</v>
      </c>
      <c r="I163" s="20">
        <f t="shared" si="2"/>
        <v>13860.866821201145</v>
      </c>
      <c r="J163" s="17">
        <f t="shared" si="7"/>
        <v>1.3860866821201145</v>
      </c>
    </row>
    <row r="164" spans="1:10" ht="12" customHeight="1" x14ac:dyDescent="0.3">
      <c r="A164" s="1">
        <f t="shared" si="3"/>
        <v>43747</v>
      </c>
      <c r="B164" s="20">
        <v>2678.5714285714284</v>
      </c>
      <c r="C164" s="20">
        <f t="shared" si="4"/>
        <v>14159.549689440986</v>
      </c>
      <c r="D164" s="21" t="str">
        <f t="shared" si="0"/>
        <v>191009</v>
      </c>
      <c r="E164" s="22">
        <f t="shared" si="5"/>
        <v>2.458612</v>
      </c>
      <c r="F164" s="9">
        <v>0</v>
      </c>
      <c r="G164" s="14">
        <f t="shared" si="1"/>
        <v>100.05499012692786</v>
      </c>
      <c r="H164" s="24">
        <f t="shared" si="6"/>
        <v>-231.34873072137907</v>
      </c>
      <c r="I164" s="20">
        <f t="shared" si="2"/>
        <v>13928.200958719608</v>
      </c>
      <c r="J164" s="17">
        <f t="shared" si="7"/>
        <v>1.392820095871961</v>
      </c>
    </row>
    <row r="165" spans="1:10" ht="12" customHeight="1" x14ac:dyDescent="0.3">
      <c r="A165" s="1">
        <f t="shared" si="3"/>
        <v>43748</v>
      </c>
      <c r="B165" s="20">
        <v>2747.2527472527477</v>
      </c>
      <c r="C165" s="20">
        <f t="shared" si="4"/>
        <v>14228.231008122306</v>
      </c>
      <c r="D165" s="21" t="str">
        <f t="shared" si="0"/>
        <v>191010</v>
      </c>
      <c r="E165" s="22">
        <f t="shared" si="5"/>
        <v>2.458612</v>
      </c>
      <c r="F165" s="9">
        <v>0</v>
      </c>
      <c r="G165" s="14">
        <f t="shared" si="1"/>
        <v>100.05485587106065</v>
      </c>
      <c r="H165" s="24">
        <f t="shared" si="6"/>
        <v>-232.69128939347181</v>
      </c>
      <c r="I165" s="20">
        <f t="shared" si="2"/>
        <v>13995.539718728834</v>
      </c>
      <c r="J165" s="17">
        <f t="shared" si="7"/>
        <v>1.3995539718728836</v>
      </c>
    </row>
    <row r="166" spans="1:10" ht="12" customHeight="1" x14ac:dyDescent="0.3">
      <c r="A166" s="1">
        <f t="shared" si="3"/>
        <v>43749</v>
      </c>
      <c r="B166" s="20">
        <v>2815.9340659340655</v>
      </c>
      <c r="C166" s="20">
        <f t="shared" si="4"/>
        <v>14296.912326803624</v>
      </c>
      <c r="D166" s="21" t="str">
        <f t="shared" si="0"/>
        <v>191011</v>
      </c>
      <c r="E166" s="22">
        <f t="shared" si="5"/>
        <v>2.458612</v>
      </c>
      <c r="F166" s="9">
        <v>0</v>
      </c>
      <c r="G166" s="14">
        <f t="shared" si="1"/>
        <v>100.0547220774739</v>
      </c>
      <c r="H166" s="24">
        <f t="shared" si="6"/>
        <v>-234.02922526102543</v>
      </c>
      <c r="I166" s="20">
        <f t="shared" si="2"/>
        <v>14062.883101542599</v>
      </c>
      <c r="J166" s="17">
        <f t="shared" si="7"/>
        <v>1.4062883101542598</v>
      </c>
    </row>
    <row r="167" spans="1:10" ht="12" customHeight="1" x14ac:dyDescent="0.3">
      <c r="A167" s="1">
        <f t="shared" si="3"/>
        <v>43752</v>
      </c>
      <c r="B167" s="20">
        <v>3021.9780219780218</v>
      </c>
      <c r="C167" s="20">
        <f t="shared" si="4"/>
        <v>14502.956282847579</v>
      </c>
      <c r="D167" s="21" t="str">
        <f t="shared" si="0"/>
        <v>191014</v>
      </c>
      <c r="E167" s="22">
        <f t="shared" si="5"/>
        <v>2.458612</v>
      </c>
      <c r="F167" s="9">
        <v>0</v>
      </c>
      <c r="G167" s="14">
        <f t="shared" si="1"/>
        <v>100.0543234707103</v>
      </c>
      <c r="H167" s="24">
        <f t="shared" si="6"/>
        <v>-238.01529289698919</v>
      </c>
      <c r="I167" s="20">
        <f t="shared" si="2"/>
        <v>14264.94098995059</v>
      </c>
      <c r="J167" s="17">
        <f t="shared" si="7"/>
        <v>1.426494098995059</v>
      </c>
    </row>
    <row r="168" spans="1:10" ht="12" customHeight="1" x14ac:dyDescent="0.3">
      <c r="A168" s="1">
        <f t="shared" si="3"/>
        <v>43753</v>
      </c>
      <c r="B168" s="20">
        <v>3090.6593406593411</v>
      </c>
      <c r="C168" s="20">
        <f t="shared" si="4"/>
        <v>14571.637601528899</v>
      </c>
      <c r="D168" s="21" t="str">
        <f t="shared" si="0"/>
        <v>191015</v>
      </c>
      <c r="E168" s="22">
        <f t="shared" si="5"/>
        <v>2.458612</v>
      </c>
      <c r="F168" s="9">
        <v>0</v>
      </c>
      <c r="G168" s="14">
        <f t="shared" si="1"/>
        <v>100.05419152655924</v>
      </c>
      <c r="H168" s="24">
        <f t="shared" si="6"/>
        <v>-239.33473440763464</v>
      </c>
      <c r="I168" s="20">
        <f t="shared" si="2"/>
        <v>14332.302867121263</v>
      </c>
      <c r="J168" s="17">
        <f t="shared" si="7"/>
        <v>1.4332302867121263</v>
      </c>
    </row>
    <row r="169" spans="1:10" ht="12" customHeight="1" x14ac:dyDescent="0.3">
      <c r="A169" s="1">
        <f t="shared" si="3"/>
        <v>43754</v>
      </c>
      <c r="B169" s="20">
        <v>3159.3406593406589</v>
      </c>
      <c r="C169" s="20">
        <f t="shared" si="4"/>
        <v>14640.318920210217</v>
      </c>
      <c r="D169" s="21" t="str">
        <f t="shared" si="0"/>
        <v>191016</v>
      </c>
      <c r="E169" s="22">
        <f t="shared" si="5"/>
        <v>2.458612</v>
      </c>
      <c r="F169" s="9">
        <v>0</v>
      </c>
      <c r="G169" s="14">
        <f t="shared" si="1"/>
        <v>100.05406004484558</v>
      </c>
      <c r="H169" s="24">
        <f t="shared" si="6"/>
        <v>-240.64955154415202</v>
      </c>
      <c r="I169" s="20">
        <f t="shared" si="2"/>
        <v>14399.669368666066</v>
      </c>
      <c r="J169" s="17">
        <f t="shared" si="7"/>
        <v>1.4399669368666066</v>
      </c>
    </row>
    <row r="170" spans="1:10" ht="12" customHeight="1" x14ac:dyDescent="0.3">
      <c r="A170" s="1">
        <f t="shared" si="3"/>
        <v>43755</v>
      </c>
      <c r="B170" s="20">
        <v>3228.0219780219782</v>
      </c>
      <c r="C170" s="20">
        <f t="shared" si="4"/>
        <v>14709.000238891536</v>
      </c>
      <c r="D170" s="21" t="str">
        <f t="shared" si="0"/>
        <v>191017</v>
      </c>
      <c r="E170" s="22">
        <f t="shared" si="5"/>
        <v>2.458612</v>
      </c>
      <c r="F170" s="9">
        <v>0</v>
      </c>
      <c r="G170" s="14">
        <f t="shared" si="1"/>
        <v>100.0539290256007</v>
      </c>
      <c r="H170" s="24">
        <f t="shared" si="6"/>
        <v>-241.95974399304984</v>
      </c>
      <c r="I170" s="20">
        <f t="shared" si="2"/>
        <v>14467.040494898487</v>
      </c>
      <c r="J170" s="17">
        <f t="shared" si="7"/>
        <v>1.4467040494898487</v>
      </c>
    </row>
    <row r="171" spans="1:10" ht="12" customHeight="1" x14ac:dyDescent="0.3">
      <c r="A171" s="1">
        <f t="shared" si="3"/>
        <v>43756</v>
      </c>
      <c r="B171" s="20">
        <v>3296.7032967032965</v>
      </c>
      <c r="C171" s="20">
        <f t="shared" si="4"/>
        <v>14777.681557572854</v>
      </c>
      <c r="D171" s="21" t="str">
        <f t="shared" si="0"/>
        <v>191018</v>
      </c>
      <c r="E171" s="22">
        <f t="shared" si="5"/>
        <v>2.458612</v>
      </c>
      <c r="F171" s="9">
        <v>0</v>
      </c>
      <c r="G171" s="14">
        <f t="shared" si="1"/>
        <v>100.05379846885597</v>
      </c>
      <c r="H171" s="24">
        <f t="shared" si="6"/>
        <v>-243.26531144026831</v>
      </c>
      <c r="I171" s="20">
        <f t="shared" si="2"/>
        <v>14534.416246132587</v>
      </c>
      <c r="J171" s="17">
        <f t="shared" si="7"/>
        <v>1.4534416246132587</v>
      </c>
    </row>
    <row r="172" spans="1:10" ht="12" customHeight="1" x14ac:dyDescent="0.3">
      <c r="A172" s="1">
        <f t="shared" si="3"/>
        <v>43759</v>
      </c>
      <c r="B172" s="20">
        <v>3502.7472527472523</v>
      </c>
      <c r="C172" s="20">
        <f t="shared" si="4"/>
        <v>14983.72551361681</v>
      </c>
      <c r="D172" s="21" t="str">
        <f t="shared" si="0"/>
        <v>191021</v>
      </c>
      <c r="E172" s="22">
        <f t="shared" si="5"/>
        <v>2.458612</v>
      </c>
      <c r="F172" s="9">
        <v>0</v>
      </c>
      <c r="G172" s="14">
        <f t="shared" si="1"/>
        <v>100.05340957393679</v>
      </c>
      <c r="H172" s="24">
        <f t="shared" si="6"/>
        <v>-247.15426063210089</v>
      </c>
      <c r="I172" s="20">
        <f t="shared" si="2"/>
        <v>14736.571252984708</v>
      </c>
      <c r="J172" s="17">
        <f t="shared" si="7"/>
        <v>1.4736571252984709</v>
      </c>
    </row>
    <row r="173" spans="1:10" ht="12" customHeight="1" x14ac:dyDescent="0.3">
      <c r="A173" s="1">
        <f t="shared" si="3"/>
        <v>43760</v>
      </c>
      <c r="B173" s="20">
        <v>3571.4285714285711</v>
      </c>
      <c r="C173" s="20">
        <f t="shared" si="4"/>
        <v>15052.406832298129</v>
      </c>
      <c r="D173" s="21" t="str">
        <f t="shared" si="0"/>
        <v>191022</v>
      </c>
      <c r="E173" s="22">
        <f t="shared" si="5"/>
        <v>2.458612</v>
      </c>
      <c r="F173" s="9">
        <v>0</v>
      </c>
      <c r="G173" s="14">
        <f t="shared" si="1"/>
        <v>100.05328086750674</v>
      </c>
      <c r="H173" s="24">
        <f t="shared" si="6"/>
        <v>-248.44132493257123</v>
      </c>
      <c r="I173" s="20">
        <f t="shared" si="2"/>
        <v>14803.965507365558</v>
      </c>
      <c r="J173" s="17">
        <f t="shared" si="7"/>
        <v>1.4803965507365557</v>
      </c>
    </row>
    <row r="174" spans="1:10" ht="12" customHeight="1" x14ac:dyDescent="0.3">
      <c r="A174" s="1">
        <f t="shared" si="3"/>
        <v>43761</v>
      </c>
      <c r="B174" s="20">
        <v>3640.1098901098903</v>
      </c>
      <c r="C174" s="20">
        <f t="shared" si="4"/>
        <v>15121.088150979449</v>
      </c>
      <c r="D174" s="21" t="str">
        <f t="shared" si="0"/>
        <v>191023</v>
      </c>
      <c r="E174" s="22">
        <f t="shared" si="5"/>
        <v>2.458612</v>
      </c>
      <c r="F174" s="9">
        <v>0</v>
      </c>
      <c r="G174" s="14">
        <f t="shared" si="1"/>
        <v>100.05315262373384</v>
      </c>
      <c r="H174" s="24">
        <f t="shared" si="6"/>
        <v>-249.72376266163113</v>
      </c>
      <c r="I174" s="20">
        <f t="shared" si="2"/>
        <v>14871.364388317817</v>
      </c>
      <c r="J174" s="17">
        <f t="shared" si="7"/>
        <v>1.4871364388317816</v>
      </c>
    </row>
    <row r="175" spans="1:10" ht="12" customHeight="1" x14ac:dyDescent="0.3">
      <c r="A175" s="1">
        <f t="shared" si="3"/>
        <v>43762</v>
      </c>
      <c r="B175" s="20">
        <v>3708.7912087912091</v>
      </c>
      <c r="C175" s="20">
        <f t="shared" si="4"/>
        <v>15189.769469660769</v>
      </c>
      <c r="D175" s="21" t="str">
        <f t="shared" si="0"/>
        <v>191024</v>
      </c>
      <c r="E175" s="22">
        <f t="shared" si="5"/>
        <v>2.458612</v>
      </c>
      <c r="F175" s="9">
        <v>0</v>
      </c>
      <c r="G175" s="14">
        <f t="shared" si="1"/>
        <v>100.05302484264951</v>
      </c>
      <c r="H175" s="24">
        <f t="shared" si="6"/>
        <v>-251.00157350493646</v>
      </c>
      <c r="I175" s="20">
        <f t="shared" si="2"/>
        <v>14938.767896155832</v>
      </c>
      <c r="J175" s="17">
        <f t="shared" si="7"/>
        <v>1.4938767896155831</v>
      </c>
    </row>
    <row r="176" spans="1:10" ht="12" customHeight="1" x14ac:dyDescent="0.3">
      <c r="A176" s="1">
        <f t="shared" si="3"/>
        <v>43763</v>
      </c>
      <c r="B176" s="20">
        <v>3777.4725274725274</v>
      </c>
      <c r="C176" s="20">
        <f t="shared" si="4"/>
        <v>15258.450788342087</v>
      </c>
      <c r="D176" s="21" t="str">
        <f t="shared" si="0"/>
        <v>191025</v>
      </c>
      <c r="E176" s="22">
        <f t="shared" si="5"/>
        <v>2.458612</v>
      </c>
      <c r="F176" s="9">
        <v>0</v>
      </c>
      <c r="G176" s="14">
        <f t="shared" si="1"/>
        <v>100.05289752428517</v>
      </c>
      <c r="H176" s="24">
        <f t="shared" si="6"/>
        <v>-252.27475714828529</v>
      </c>
      <c r="I176" s="20">
        <f t="shared" si="2"/>
        <v>15006.176031193801</v>
      </c>
      <c r="J176" s="17">
        <f t="shared" si="7"/>
        <v>1.5006176031193803</v>
      </c>
    </row>
    <row r="177" spans="1:10" ht="12" customHeight="1" x14ac:dyDescent="0.3">
      <c r="A177" s="1">
        <f t="shared" si="3"/>
        <v>43766</v>
      </c>
      <c r="B177" s="20">
        <v>3983.5164835164828</v>
      </c>
      <c r="C177" s="20">
        <f t="shared" si="4"/>
        <v>15464.494744386042</v>
      </c>
      <c r="D177" s="21" t="str">
        <f t="shared" si="0"/>
        <v>191028</v>
      </c>
      <c r="E177" s="22">
        <f t="shared" si="5"/>
        <v>2.458612</v>
      </c>
      <c r="F177" s="9">
        <v>0</v>
      </c>
      <c r="G177" s="14">
        <f t="shared" si="1"/>
        <v>100.05251834582612</v>
      </c>
      <c r="H177" s="24">
        <f t="shared" si="6"/>
        <v>-256.06654173884635</v>
      </c>
      <c r="I177" s="20">
        <f t="shared" si="2"/>
        <v>15208.428202647196</v>
      </c>
      <c r="J177" s="17">
        <f t="shared" si="7"/>
        <v>1.5208428202647195</v>
      </c>
    </row>
    <row r="178" spans="1:10" ht="12" customHeight="1" x14ac:dyDescent="0.3">
      <c r="A178" s="1">
        <f t="shared" si="3"/>
        <v>43767</v>
      </c>
      <c r="B178" s="20">
        <v>4052.197802197802</v>
      </c>
      <c r="C178" s="20">
        <f t="shared" si="4"/>
        <v>15533.176063067362</v>
      </c>
      <c r="D178" s="21" t="str">
        <f t="shared" si="0"/>
        <v>191029</v>
      </c>
      <c r="E178" s="22">
        <f t="shared" si="5"/>
        <v>2.458612</v>
      </c>
      <c r="F178" s="9">
        <v>0</v>
      </c>
      <c r="G178" s="14">
        <f t="shared" si="1"/>
        <v>100.05239287865579</v>
      </c>
      <c r="H178" s="24">
        <f t="shared" si="6"/>
        <v>-257.32121344205439</v>
      </c>
      <c r="I178" s="20">
        <f t="shared" si="2"/>
        <v>15275.854849625308</v>
      </c>
      <c r="J178" s="17">
        <f t="shared" si="7"/>
        <v>1.5275854849625308</v>
      </c>
    </row>
    <row r="179" spans="1:10" ht="12" customHeight="1" x14ac:dyDescent="0.3">
      <c r="A179" s="1">
        <f t="shared" si="3"/>
        <v>43768</v>
      </c>
      <c r="B179" s="20">
        <v>4120.8791208791208</v>
      </c>
      <c r="C179" s="20">
        <f t="shared" si="4"/>
        <v>15601.857381748679</v>
      </c>
      <c r="D179" s="21" t="str">
        <f t="shared" si="0"/>
        <v>191030</v>
      </c>
      <c r="E179" s="22">
        <f t="shared" si="5"/>
        <v>2.458612</v>
      </c>
      <c r="F179" s="9">
        <v>0</v>
      </c>
      <c r="G179" s="14">
        <f t="shared" si="1"/>
        <v>100.05226787436254</v>
      </c>
      <c r="H179" s="24">
        <f t="shared" si="6"/>
        <v>-258.57125637458012</v>
      </c>
      <c r="I179" s="20">
        <f t="shared" si="2"/>
        <v>15343.286125374099</v>
      </c>
      <c r="J179" s="17">
        <f t="shared" si="7"/>
        <v>1.53432861253741</v>
      </c>
    </row>
    <row r="180" spans="1:10" ht="12" customHeight="1" x14ac:dyDescent="0.3">
      <c r="A180" s="1">
        <f t="shared" si="3"/>
        <v>43769</v>
      </c>
      <c r="B180" s="20">
        <v>4189.5604395604387</v>
      </c>
      <c r="C180" s="20">
        <f t="shared" si="4"/>
        <v>15670.538700429997</v>
      </c>
      <c r="D180" s="21" t="str">
        <f t="shared" si="0"/>
        <v>191031</v>
      </c>
      <c r="E180" s="22">
        <f t="shared" si="5"/>
        <v>2.458612</v>
      </c>
      <c r="F180" s="9">
        <v>0</v>
      </c>
      <c r="G180" s="14">
        <f t="shared" si="1"/>
        <v>100.05214333297775</v>
      </c>
      <c r="H180" s="24">
        <f t="shared" si="6"/>
        <v>-259.81667022250576</v>
      </c>
      <c r="I180" s="20">
        <f t="shared" si="2"/>
        <v>15410.722030207491</v>
      </c>
      <c r="J180" s="17">
        <f t="shared" si="7"/>
        <v>1.5410722030207491</v>
      </c>
    </row>
    <row r="181" spans="1:10" ht="12" customHeight="1" x14ac:dyDescent="0.3">
      <c r="A181" s="1">
        <f t="shared" si="3"/>
        <v>43770</v>
      </c>
      <c r="B181" s="20">
        <v>4258.2417582417584</v>
      </c>
      <c r="C181" s="20">
        <f t="shared" si="4"/>
        <v>15739.220019111317</v>
      </c>
      <c r="D181" s="21" t="str">
        <f t="shared" si="0"/>
        <v>191101</v>
      </c>
      <c r="E181" s="22">
        <f t="shared" si="5"/>
        <v>2.458612</v>
      </c>
      <c r="F181" s="9">
        <v>0</v>
      </c>
      <c r="G181" s="14">
        <f t="shared" si="1"/>
        <v>100.05201925453285</v>
      </c>
      <c r="H181" s="24">
        <f t="shared" si="6"/>
        <v>-261.05745467148722</v>
      </c>
      <c r="I181" s="20">
        <f t="shared" si="2"/>
        <v>15478.16256443983</v>
      </c>
      <c r="J181" s="17">
        <f t="shared" si="7"/>
        <v>1.547816256443983</v>
      </c>
    </row>
    <row r="182" spans="1:10" ht="12" customHeight="1" x14ac:dyDescent="0.3">
      <c r="A182" s="1">
        <f t="shared" si="3"/>
        <v>43773</v>
      </c>
      <c r="B182" s="20">
        <v>4464.2857142857147</v>
      </c>
      <c r="C182" s="20">
        <f t="shared" si="4"/>
        <v>15945.263975155274</v>
      </c>
      <c r="D182" s="21" t="str">
        <f t="shared" si="0"/>
        <v>191104</v>
      </c>
      <c r="E182" s="22">
        <f t="shared" si="5"/>
        <v>2.458612</v>
      </c>
      <c r="F182" s="9">
        <v>0</v>
      </c>
      <c r="G182" s="14">
        <f t="shared" si="1"/>
        <v>100.05164979715177</v>
      </c>
      <c r="H182" s="24">
        <f t="shared" si="6"/>
        <v>-264.75202848232016</v>
      </c>
      <c r="I182" s="20">
        <f t="shared" si="2"/>
        <v>15680.511946672954</v>
      </c>
      <c r="J182" s="17">
        <f t="shared" si="7"/>
        <v>1.5680511946672953</v>
      </c>
    </row>
    <row r="183" spans="1:10" ht="12" customHeight="1" x14ac:dyDescent="0.3">
      <c r="A183" s="1">
        <f t="shared" si="3"/>
        <v>43774</v>
      </c>
      <c r="B183" s="20">
        <v>4532.9670329670325</v>
      </c>
      <c r="C183" s="20">
        <f t="shared" si="4"/>
        <v>16013.945293836592</v>
      </c>
      <c r="D183" s="21" t="str">
        <f t="shared" si="0"/>
        <v>191105</v>
      </c>
      <c r="E183" s="22">
        <f t="shared" si="5"/>
        <v>2.458612</v>
      </c>
      <c r="F183" s="9">
        <v>0</v>
      </c>
      <c r="G183" s="14">
        <f t="shared" si="1"/>
        <v>100.05152757078069</v>
      </c>
      <c r="H183" s="24">
        <f t="shared" si="6"/>
        <v>-265.97429219307855</v>
      </c>
      <c r="I183" s="20">
        <f t="shared" si="2"/>
        <v>15747.971001643513</v>
      </c>
      <c r="J183" s="17">
        <f t="shared" si="7"/>
        <v>1.574797100164351</v>
      </c>
    </row>
    <row r="184" spans="1:10" ht="12" customHeight="1" x14ac:dyDescent="0.3">
      <c r="A184" s="1">
        <f t="shared" si="3"/>
        <v>43775</v>
      </c>
      <c r="B184" s="20">
        <v>4601.6483516483522</v>
      </c>
      <c r="C184" s="20">
        <f t="shared" si="4"/>
        <v>16082.626612517912</v>
      </c>
      <c r="D184" s="21" t="str">
        <f t="shared" si="0"/>
        <v>191106</v>
      </c>
      <c r="E184" s="22">
        <f t="shared" si="5"/>
        <v>2.458612</v>
      </c>
      <c r="F184" s="9">
        <v>0</v>
      </c>
      <c r="G184" s="14">
        <f t="shared" si="1"/>
        <v>100.05140580750668</v>
      </c>
      <c r="H184" s="24">
        <f t="shared" si="6"/>
        <v>-267.19192493317223</v>
      </c>
      <c r="I184" s="20">
        <f t="shared" si="2"/>
        <v>15815.43468758474</v>
      </c>
      <c r="J184" s="17">
        <f t="shared" si="7"/>
        <v>1.581543468758474</v>
      </c>
    </row>
    <row r="185" spans="1:10" ht="12" customHeight="1" x14ac:dyDescent="0.3">
      <c r="A185" s="1">
        <f t="shared" si="3"/>
        <v>43776</v>
      </c>
      <c r="B185" s="20">
        <v>4670.3296703296701</v>
      </c>
      <c r="C185" s="20">
        <f t="shared" si="4"/>
        <v>16151.30793119923</v>
      </c>
      <c r="D185" s="21" t="str">
        <f t="shared" si="0"/>
        <v>191107</v>
      </c>
      <c r="E185" s="22">
        <f t="shared" si="5"/>
        <v>2.458612</v>
      </c>
      <c r="F185" s="9">
        <v>0</v>
      </c>
      <c r="G185" s="14">
        <f t="shared" si="1"/>
        <v>100.05128450736112</v>
      </c>
      <c r="H185" s="24">
        <f t="shared" si="6"/>
        <v>-268.40492638882552</v>
      </c>
      <c r="I185" s="20">
        <f t="shared" si="2"/>
        <v>15882.903004810403</v>
      </c>
      <c r="J185" s="17">
        <f t="shared" si="7"/>
        <v>1.5882903004810403</v>
      </c>
    </row>
    <row r="186" spans="1:10" ht="12" customHeight="1" x14ac:dyDescent="0.3">
      <c r="A186" s="1">
        <f t="shared" si="3"/>
        <v>43777</v>
      </c>
      <c r="B186" s="20">
        <v>4739.0109890109889</v>
      </c>
      <c r="C186" s="20">
        <f t="shared" si="4"/>
        <v>16219.989249880549</v>
      </c>
      <c r="D186" s="21" t="str">
        <f t="shared" si="0"/>
        <v>191108</v>
      </c>
      <c r="E186" s="22">
        <f t="shared" si="5"/>
        <v>2.458612</v>
      </c>
      <c r="F186" s="9">
        <v>0</v>
      </c>
      <c r="G186" s="14">
        <f t="shared" si="1"/>
        <v>100.05116367037547</v>
      </c>
      <c r="H186" s="24">
        <f t="shared" si="6"/>
        <v>-269.61329624526797</v>
      </c>
      <c r="I186" s="20">
        <f t="shared" si="2"/>
        <v>15950.375953635281</v>
      </c>
      <c r="J186" s="17">
        <f t="shared" si="7"/>
        <v>1.5950375953635281</v>
      </c>
    </row>
    <row r="187" spans="1:10" ht="12" customHeight="1" x14ac:dyDescent="0.3">
      <c r="A187" s="1">
        <f t="shared" si="3"/>
        <v>43780</v>
      </c>
      <c r="B187" s="20">
        <v>4945.0549450549452</v>
      </c>
      <c r="C187" s="20">
        <f t="shared" si="4"/>
        <v>16426.033205924505</v>
      </c>
      <c r="D187" s="21" t="str">
        <f t="shared" si="0"/>
        <v>191111</v>
      </c>
      <c r="E187" s="22">
        <f t="shared" si="5"/>
        <v>2.458612</v>
      </c>
      <c r="F187" s="9">
        <v>0</v>
      </c>
      <c r="G187" s="14">
        <f t="shared" si="1"/>
        <v>100.05080393869243</v>
      </c>
      <c r="H187" s="24">
        <f t="shared" si="6"/>
        <v>-273.21061307574723</v>
      </c>
      <c r="I187" s="20">
        <f t="shared" si="2"/>
        <v>16152.822592848757</v>
      </c>
      <c r="J187" s="17">
        <f t="shared" si="7"/>
        <v>1.6152822592848757</v>
      </c>
    </row>
    <row r="188" spans="1:10" ht="12" customHeight="1" x14ac:dyDescent="0.3">
      <c r="A188" s="1">
        <f t="shared" si="3"/>
        <v>43781</v>
      </c>
      <c r="B188" s="20">
        <v>5013.7362637362639</v>
      </c>
      <c r="C188" s="20">
        <f t="shared" si="4"/>
        <v>16494.714524605824</v>
      </c>
      <c r="D188" s="21" t="str">
        <f t="shared" si="0"/>
        <v>191112</v>
      </c>
      <c r="E188" s="22">
        <f t="shared" si="5"/>
        <v>2.458612</v>
      </c>
      <c r="F188" s="9">
        <v>0</v>
      </c>
      <c r="G188" s="14">
        <f t="shared" si="1"/>
        <v>100.05068495466084</v>
      </c>
      <c r="H188" s="24">
        <f t="shared" si="6"/>
        <v>-274.40045339162111</v>
      </c>
      <c r="I188" s="20">
        <f t="shared" si="2"/>
        <v>16220.314071214203</v>
      </c>
      <c r="J188" s="17">
        <f t="shared" si="7"/>
        <v>1.6220314071214204</v>
      </c>
    </row>
    <row r="189" spans="1:10" ht="12" customHeight="1" x14ac:dyDescent="0.3">
      <c r="A189" s="1">
        <f t="shared" si="3"/>
        <v>43782</v>
      </c>
      <c r="B189" s="20">
        <v>5082.4175824175818</v>
      </c>
      <c r="C189" s="20">
        <f t="shared" si="4"/>
        <v>16563.395843287144</v>
      </c>
      <c r="D189" s="21" t="str">
        <f t="shared" si="0"/>
        <v>191113</v>
      </c>
      <c r="E189" s="22">
        <f t="shared" si="5"/>
        <v>2.458612</v>
      </c>
      <c r="F189" s="9">
        <v>0</v>
      </c>
      <c r="G189" s="14">
        <f t="shared" si="1"/>
        <v>100.05056643394639</v>
      </c>
      <c r="H189" s="24">
        <f t="shared" si="6"/>
        <v>-275.58566053613731</v>
      </c>
      <c r="I189" s="20">
        <f t="shared" si="2"/>
        <v>16287.810182751007</v>
      </c>
      <c r="J189" s="17">
        <f t="shared" si="7"/>
        <v>1.6287810182751008</v>
      </c>
    </row>
    <row r="190" spans="1:10" ht="12" customHeight="1" x14ac:dyDescent="0.3">
      <c r="A190" s="1">
        <f t="shared" si="3"/>
        <v>43783</v>
      </c>
      <c r="B190" s="20">
        <v>5151.0989010989006</v>
      </c>
      <c r="C190" s="20">
        <f t="shared" si="4"/>
        <v>16632.077161968464</v>
      </c>
      <c r="D190" s="21" t="str">
        <f t="shared" si="0"/>
        <v>191114</v>
      </c>
      <c r="E190" s="22">
        <f t="shared" si="5"/>
        <v>2.458612</v>
      </c>
      <c r="F190" s="9">
        <v>0</v>
      </c>
      <c r="G190" s="14">
        <f t="shared" si="1"/>
        <v>100.0504483765805</v>
      </c>
      <c r="H190" s="24">
        <f t="shared" si="6"/>
        <v>-276.76623419495172</v>
      </c>
      <c r="I190" s="20">
        <f t="shared" si="2"/>
        <v>16355.310927773513</v>
      </c>
      <c r="J190" s="17">
        <f t="shared" si="7"/>
        <v>1.6355310927773512</v>
      </c>
    </row>
    <row r="191" spans="1:10" ht="12" customHeight="1" x14ac:dyDescent="0.3">
      <c r="A191" s="1">
        <f t="shared" si="3"/>
        <v>43784</v>
      </c>
      <c r="B191" s="20">
        <v>5219.7802197802202</v>
      </c>
      <c r="C191" s="20">
        <f t="shared" si="4"/>
        <v>16700.758480649783</v>
      </c>
      <c r="D191" s="21" t="str">
        <f t="shared" si="0"/>
        <v>191115</v>
      </c>
      <c r="E191" s="22">
        <f t="shared" si="5"/>
        <v>2.458612</v>
      </c>
      <c r="F191" s="9">
        <v>0</v>
      </c>
      <c r="G191" s="14">
        <f t="shared" si="1"/>
        <v>100.05033078259467</v>
      </c>
      <c r="H191" s="24">
        <f t="shared" si="6"/>
        <v>-277.94217405329391</v>
      </c>
      <c r="I191" s="20">
        <f t="shared" si="2"/>
        <v>16422.816306596491</v>
      </c>
      <c r="J191" s="17">
        <f t="shared" si="7"/>
        <v>1.642281630659649</v>
      </c>
    </row>
    <row r="192" spans="1:10" ht="12" customHeight="1" x14ac:dyDescent="0.3">
      <c r="A192" s="1">
        <f t="shared" si="3"/>
        <v>43787</v>
      </c>
      <c r="B192" s="20">
        <v>5425.8241758241757</v>
      </c>
      <c r="C192" s="20">
        <f t="shared" si="4"/>
        <v>16906.802436693739</v>
      </c>
      <c r="D192" s="21" t="str">
        <f t="shared" si="0"/>
        <v>191118</v>
      </c>
      <c r="E192" s="22">
        <f t="shared" si="5"/>
        <v>2.458612</v>
      </c>
      <c r="F192" s="9">
        <v>0</v>
      </c>
      <c r="G192" s="14">
        <f t="shared" si="1"/>
        <v>100.04998078123187</v>
      </c>
      <c r="H192" s="24">
        <f t="shared" si="6"/>
        <v>-281.44218768133555</v>
      </c>
      <c r="I192" s="20">
        <f t="shared" si="2"/>
        <v>16625.360249012403</v>
      </c>
      <c r="J192" s="17">
        <f t="shared" si="7"/>
        <v>1.6625360249012404</v>
      </c>
    </row>
    <row r="193" spans="1:10" ht="12" customHeight="1" x14ac:dyDescent="0.3">
      <c r="A193" s="1">
        <f t="shared" si="3"/>
        <v>43788</v>
      </c>
      <c r="B193" s="20">
        <v>5494.5054945054953</v>
      </c>
      <c r="C193" s="20">
        <f t="shared" si="4"/>
        <v>16975.483755375059</v>
      </c>
      <c r="D193" s="21" t="str">
        <f t="shared" si="0"/>
        <v>191119</v>
      </c>
      <c r="E193" s="22">
        <f t="shared" si="5"/>
        <v>2.458612</v>
      </c>
      <c r="F193" s="9">
        <v>0</v>
      </c>
      <c r="G193" s="14">
        <f t="shared" si="1"/>
        <v>100.04986504108074</v>
      </c>
      <c r="H193" s="24">
        <f t="shared" si="6"/>
        <v>-282.5995891926425</v>
      </c>
      <c r="I193" s="20">
        <f t="shared" si="2"/>
        <v>16692.884166182415</v>
      </c>
      <c r="J193" s="17">
        <f t="shared" si="7"/>
        <v>1.6692884166182416</v>
      </c>
    </row>
    <row r="194" spans="1:10" ht="12" customHeight="1" x14ac:dyDescent="0.3">
      <c r="A194" s="1">
        <f t="shared" si="3"/>
        <v>43789</v>
      </c>
      <c r="B194" s="20">
        <v>5563.1868131868132</v>
      </c>
      <c r="C194" s="20">
        <f t="shared" si="4"/>
        <v>17044.165074056378</v>
      </c>
      <c r="D194" s="21" t="str">
        <f t="shared" si="0"/>
        <v>191120</v>
      </c>
      <c r="E194" s="22">
        <f t="shared" si="5"/>
        <v>2.458612</v>
      </c>
      <c r="F194" s="9">
        <v>0</v>
      </c>
      <c r="G194" s="14">
        <f t="shared" si="1"/>
        <v>100.04974976446692</v>
      </c>
      <c r="H194" s="24">
        <f t="shared" si="6"/>
        <v>-283.75235533076193</v>
      </c>
      <c r="I194" s="20">
        <f t="shared" si="2"/>
        <v>16760.412718725616</v>
      </c>
      <c r="J194" s="17">
        <f t="shared" si="7"/>
        <v>1.6760412718725617</v>
      </c>
    </row>
    <row r="195" spans="1:10" ht="12" customHeight="1" x14ac:dyDescent="0.3">
      <c r="A195" s="1">
        <f t="shared" si="3"/>
        <v>43790</v>
      </c>
      <c r="B195" s="20">
        <v>5631.8681318681311</v>
      </c>
      <c r="C195" s="20">
        <f t="shared" si="4"/>
        <v>17112.846392737694</v>
      </c>
      <c r="D195" s="21" t="str">
        <f t="shared" si="0"/>
        <v>191121</v>
      </c>
      <c r="E195" s="22">
        <f t="shared" si="5"/>
        <v>2.458612</v>
      </c>
      <c r="F195" s="9">
        <v>0</v>
      </c>
      <c r="G195" s="14">
        <f t="shared" si="1"/>
        <v>100.04963495142188</v>
      </c>
      <c r="H195" s="24">
        <f t="shared" si="6"/>
        <v>-284.90048578120764</v>
      </c>
      <c r="I195" s="20">
        <f t="shared" si="2"/>
        <v>16827.945906956487</v>
      </c>
      <c r="J195" s="17">
        <f t="shared" si="7"/>
        <v>1.6827945906956485</v>
      </c>
    </row>
    <row r="196" spans="1:10" ht="12" customHeight="1" x14ac:dyDescent="0.3">
      <c r="A196" s="1">
        <f t="shared" si="3"/>
        <v>43791</v>
      </c>
      <c r="B196" s="20">
        <v>5700.5494505494507</v>
      </c>
      <c r="C196" s="20">
        <f t="shared" si="4"/>
        <v>17181.527711419014</v>
      </c>
      <c r="D196" s="21" t="str">
        <f t="shared" si="0"/>
        <v>191122</v>
      </c>
      <c r="E196" s="22">
        <f t="shared" si="5"/>
        <v>2.458612</v>
      </c>
      <c r="F196" s="9">
        <v>0</v>
      </c>
      <c r="G196" s="14">
        <f t="shared" si="1"/>
        <v>100.04952060197711</v>
      </c>
      <c r="H196" s="24">
        <f t="shared" si="6"/>
        <v>-286.04398022892497</v>
      </c>
      <c r="I196" s="20">
        <f t="shared" si="2"/>
        <v>16895.483731190088</v>
      </c>
      <c r="J196" s="17">
        <f t="shared" si="7"/>
        <v>1.6895483731190086</v>
      </c>
    </row>
    <row r="197" spans="1:10" ht="12" customHeight="1" x14ac:dyDescent="0.3">
      <c r="A197" s="1">
        <f t="shared" si="3"/>
        <v>43794</v>
      </c>
      <c r="B197" s="20">
        <v>5906.5934065934071</v>
      </c>
      <c r="C197" s="20">
        <f t="shared" si="4"/>
        <v>17387.571667462969</v>
      </c>
      <c r="D197" s="21" t="str">
        <f t="shared" si="0"/>
        <v>191125</v>
      </c>
      <c r="E197" s="22">
        <f t="shared" si="5"/>
        <v>2.458612</v>
      </c>
      <c r="F197" s="9">
        <v>0</v>
      </c>
      <c r="G197" s="14">
        <f t="shared" si="1"/>
        <v>100.04918033555907</v>
      </c>
      <c r="H197" s="24">
        <f t="shared" si="6"/>
        <v>-289.44664440928136</v>
      </c>
      <c r="I197" s="20">
        <f t="shared" si="2"/>
        <v>17098.12502305369</v>
      </c>
      <c r="J197" s="17">
        <f t="shared" si="7"/>
        <v>1.709812502305369</v>
      </c>
    </row>
    <row r="198" spans="1:10" ht="12" customHeight="1" x14ac:dyDescent="0.3">
      <c r="A198" s="1">
        <f t="shared" si="3"/>
        <v>43795</v>
      </c>
      <c r="B198" s="20">
        <v>5975.2747252747249</v>
      </c>
      <c r="C198" s="20">
        <f t="shared" si="4"/>
        <v>17456.252986144289</v>
      </c>
      <c r="D198" s="21" t="str">
        <f t="shared" si="0"/>
        <v>191126</v>
      </c>
      <c r="E198" s="22">
        <f t="shared" si="5"/>
        <v>2.458612</v>
      </c>
      <c r="F198" s="9">
        <v>0</v>
      </c>
      <c r="G198" s="14">
        <f t="shared" si="1"/>
        <v>100.04906784083003</v>
      </c>
      <c r="H198" s="24">
        <f t="shared" si="6"/>
        <v>-290.57159169965985</v>
      </c>
      <c r="I198" s="20">
        <f t="shared" si="2"/>
        <v>17165.681394444629</v>
      </c>
      <c r="J198" s="17">
        <f t="shared" si="7"/>
        <v>1.7165681394444627</v>
      </c>
    </row>
    <row r="199" spans="1:10" ht="12" customHeight="1" x14ac:dyDescent="0.3">
      <c r="A199" s="1">
        <f t="shared" si="3"/>
        <v>43796</v>
      </c>
      <c r="B199" s="20">
        <v>6043.9560439560437</v>
      </c>
      <c r="C199" s="20">
        <f t="shared" si="4"/>
        <v>17524.934304825609</v>
      </c>
      <c r="D199" s="21" t="str">
        <f t="shared" si="0"/>
        <v>191127</v>
      </c>
      <c r="E199" s="22">
        <f t="shared" si="5"/>
        <v>2.458612</v>
      </c>
      <c r="F199" s="9">
        <v>0</v>
      </c>
      <c r="G199" s="14">
        <f t="shared" si="1"/>
        <v>100.04895580985865</v>
      </c>
      <c r="H199" s="24">
        <f t="shared" si="6"/>
        <v>-291.6919014134578</v>
      </c>
      <c r="I199" s="20">
        <f t="shared" si="2"/>
        <v>17233.24240341215</v>
      </c>
      <c r="J199" s="17">
        <f t="shared" si="7"/>
        <v>1.723324240341215</v>
      </c>
    </row>
    <row r="200" spans="1:10" ht="12" customHeight="1" x14ac:dyDescent="0.3">
      <c r="A200" s="1">
        <f t="shared" si="3"/>
        <v>43797</v>
      </c>
      <c r="B200" s="20">
        <v>6112.6373626373615</v>
      </c>
      <c r="C200" s="20">
        <f t="shared" si="4"/>
        <v>17593.615623506928</v>
      </c>
      <c r="D200" s="21" t="str">
        <f t="shared" si="0"/>
        <v>191128</v>
      </c>
      <c r="E200" s="22">
        <f t="shared" si="5"/>
        <v>2.458612</v>
      </c>
      <c r="F200" s="9">
        <v>0</v>
      </c>
      <c r="G200" s="14">
        <f t="shared" si="1"/>
        <v>100.04884424267637</v>
      </c>
      <c r="H200" s="24">
        <f t="shared" si="6"/>
        <v>-292.80757323633111</v>
      </c>
      <c r="I200" s="20">
        <f t="shared" si="2"/>
        <v>17300.808050270596</v>
      </c>
      <c r="J200" s="17">
        <f t="shared" si="7"/>
        <v>1.7300808050270597</v>
      </c>
    </row>
    <row r="201" spans="1:10" ht="12" customHeight="1" x14ac:dyDescent="0.3">
      <c r="A201" s="1">
        <f t="shared" si="3"/>
        <v>43798</v>
      </c>
      <c r="B201" s="20">
        <v>6181.3186813186821</v>
      </c>
      <c r="C201" s="20">
        <f t="shared" si="4"/>
        <v>17662.296942188248</v>
      </c>
      <c r="D201" s="21" t="str">
        <f t="shared" si="0"/>
        <v>191129</v>
      </c>
      <c r="E201" s="22">
        <f t="shared" si="5"/>
        <v>2.458612</v>
      </c>
      <c r="F201" s="9">
        <v>0</v>
      </c>
      <c r="G201" s="14">
        <f t="shared" si="1"/>
        <v>100.04873313931468</v>
      </c>
      <c r="H201" s="24">
        <f t="shared" si="6"/>
        <v>-293.91860685322513</v>
      </c>
      <c r="I201" s="20">
        <f t="shared" si="2"/>
        <v>17368.378335335023</v>
      </c>
      <c r="J201" s="17">
        <f t="shared" si="7"/>
        <v>1.7368378335335024</v>
      </c>
    </row>
    <row r="202" spans="1:10" ht="12" customHeight="1" x14ac:dyDescent="0.3">
      <c r="A202" s="1">
        <f t="shared" si="3"/>
        <v>43801</v>
      </c>
      <c r="B202" s="20">
        <v>6387.3626373626375</v>
      </c>
      <c r="C202" s="20">
        <f t="shared" si="4"/>
        <v>17868.340898232203</v>
      </c>
      <c r="D202" s="21" t="str">
        <f t="shared" si="0"/>
        <v>191202</v>
      </c>
      <c r="E202" s="22">
        <f t="shared" si="5"/>
        <v>2.458612</v>
      </c>
      <c r="F202" s="9">
        <v>0</v>
      </c>
      <c r="G202" s="14">
        <f t="shared" si="1"/>
        <v>100.04840261246802</v>
      </c>
      <c r="H202" s="24">
        <f t="shared" si="6"/>
        <v>-297.22387531975869</v>
      </c>
      <c r="I202" s="20">
        <f t="shared" si="2"/>
        <v>17571.117022912444</v>
      </c>
      <c r="J202" s="17">
        <f t="shared" si="7"/>
        <v>1.7571117022912444</v>
      </c>
    </row>
    <row r="203" spans="1:10" ht="12" customHeight="1" x14ac:dyDescent="0.3">
      <c r="A203" s="1">
        <f t="shared" si="3"/>
        <v>43802</v>
      </c>
      <c r="B203" s="20">
        <v>6456.0439560439563</v>
      </c>
      <c r="C203" s="20">
        <f t="shared" si="4"/>
        <v>17937.022216913523</v>
      </c>
      <c r="D203" s="21" t="str">
        <f t="shared" si="0"/>
        <v>191203</v>
      </c>
      <c r="E203" s="22">
        <f t="shared" si="5"/>
        <v>2.458612</v>
      </c>
      <c r="F203" s="9">
        <v>0</v>
      </c>
      <c r="G203" s="14">
        <f t="shared" si="1"/>
        <v>100.04829336470355</v>
      </c>
      <c r="H203" s="24">
        <f t="shared" si="6"/>
        <v>-298.31635296446279</v>
      </c>
      <c r="I203" s="20">
        <f t="shared" si="2"/>
        <v>17638.705863949061</v>
      </c>
      <c r="J203" s="17">
        <f t="shared" si="7"/>
        <v>1.763870586394906</v>
      </c>
    </row>
    <row r="204" spans="1:10" ht="12" customHeight="1" x14ac:dyDescent="0.3">
      <c r="A204" s="1">
        <f t="shared" si="3"/>
        <v>43803</v>
      </c>
      <c r="B204" s="20">
        <v>6524.7252747252751</v>
      </c>
      <c r="C204" s="20">
        <f t="shared" si="4"/>
        <v>18005.703535594843</v>
      </c>
      <c r="D204" s="21" t="str">
        <f t="shared" si="0"/>
        <v>191204</v>
      </c>
      <c r="E204" s="22">
        <f t="shared" si="5"/>
        <v>2.458612</v>
      </c>
      <c r="F204" s="9">
        <v>0</v>
      </c>
      <c r="G204" s="14">
        <f t="shared" si="1"/>
        <v>100.04818458091711</v>
      </c>
      <c r="H204" s="24">
        <f t="shared" si="6"/>
        <v>-299.40419082890912</v>
      </c>
      <c r="I204" s="20">
        <f t="shared" si="2"/>
        <v>17706.299344765932</v>
      </c>
      <c r="J204" s="17">
        <f t="shared" si="7"/>
        <v>1.7706299344765932</v>
      </c>
    </row>
    <row r="205" spans="1:10" ht="12" customHeight="1" x14ac:dyDescent="0.3">
      <c r="A205" s="1">
        <f t="shared" si="3"/>
        <v>43804</v>
      </c>
      <c r="B205" s="20">
        <v>6593.4065934065929</v>
      </c>
      <c r="C205" s="20">
        <f t="shared" si="4"/>
        <v>18074.384854276163</v>
      </c>
      <c r="D205" s="21" t="str">
        <f t="shared" si="0"/>
        <v>191205</v>
      </c>
      <c r="E205" s="22">
        <f t="shared" si="5"/>
        <v>2.458612</v>
      </c>
      <c r="F205" s="9">
        <v>0</v>
      </c>
      <c r="G205" s="14">
        <f t="shared" si="1"/>
        <v>100.04807626114021</v>
      </c>
      <c r="H205" s="24">
        <f t="shared" si="6"/>
        <v>-300.48738859790092</v>
      </c>
      <c r="I205" s="20">
        <f t="shared" si="2"/>
        <v>17773.897465678263</v>
      </c>
      <c r="J205" s="17">
        <f t="shared" si="7"/>
        <v>1.7773897465678263</v>
      </c>
    </row>
    <row r="206" spans="1:10" ht="12" customHeight="1" x14ac:dyDescent="0.3">
      <c r="A206" s="1">
        <f t="shared" si="3"/>
        <v>43805</v>
      </c>
      <c r="B206" s="20">
        <v>6662.0879120879117</v>
      </c>
      <c r="C206" s="20">
        <f t="shared" si="4"/>
        <v>18143.066172957482</v>
      </c>
      <c r="D206" s="21" t="str">
        <f t="shared" si="0"/>
        <v>191206</v>
      </c>
      <c r="E206" s="22">
        <f t="shared" si="5"/>
        <v>2.458612</v>
      </c>
      <c r="F206" s="9">
        <v>0</v>
      </c>
      <c r="G206" s="14">
        <f t="shared" si="1"/>
        <v>100.04796840540435</v>
      </c>
      <c r="H206" s="24">
        <f t="shared" si="6"/>
        <v>-301.56594595652564</v>
      </c>
      <c r="I206" s="20">
        <f t="shared" si="2"/>
        <v>17841.500227000957</v>
      </c>
      <c r="J206" s="17">
        <f t="shared" si="7"/>
        <v>1.7841500227000955</v>
      </c>
    </row>
    <row r="207" spans="1:10" ht="12" customHeight="1" x14ac:dyDescent="0.3">
      <c r="A207" s="1">
        <f t="shared" si="3"/>
        <v>43808</v>
      </c>
      <c r="B207" s="20">
        <v>6868.1318681318689</v>
      </c>
      <c r="C207" s="20">
        <f t="shared" si="4"/>
        <v>18349.110129001441</v>
      </c>
      <c r="D207" s="21" t="str">
        <f t="shared" si="0"/>
        <v>191209</v>
      </c>
      <c r="E207" s="22">
        <f t="shared" si="5"/>
        <v>2.458612</v>
      </c>
      <c r="F207" s="9">
        <v>0</v>
      </c>
      <c r="G207" s="14">
        <f t="shared" si="1"/>
        <v>100.04764762275791</v>
      </c>
      <c r="H207" s="24">
        <f t="shared" si="6"/>
        <v>-304.77377242092984</v>
      </c>
      <c r="I207" s="20">
        <f t="shared" si="2"/>
        <v>18044.336356580512</v>
      </c>
      <c r="J207" s="17">
        <f t="shared" si="7"/>
        <v>1.8044336356580513</v>
      </c>
    </row>
    <row r="208" spans="1:10" ht="12" customHeight="1" x14ac:dyDescent="0.25">
      <c r="A208" s="1">
        <f t="shared" si="3"/>
        <v>43809</v>
      </c>
      <c r="B208" s="20">
        <v>6936.8131868131868</v>
      </c>
      <c r="C208" s="20">
        <f t="shared" si="4"/>
        <v>18417.791447682757</v>
      </c>
      <c r="D208" s="21" t="str">
        <f t="shared" si="0"/>
        <v>191210</v>
      </c>
      <c r="E208" s="22">
        <f t="shared" si="5"/>
        <v>2.458612</v>
      </c>
      <c r="F208" s="2">
        <v>-2</v>
      </c>
      <c r="G208" s="14">
        <f t="shared" si="1"/>
        <v>100.04754162350115</v>
      </c>
      <c r="H208" s="24">
        <f t="shared" si="6"/>
        <v>-305.83376498853454</v>
      </c>
      <c r="I208" s="20">
        <f t="shared" si="2"/>
        <v>18111.957682694221</v>
      </c>
      <c r="J208" s="17">
        <f t="shared" si="7"/>
        <v>1.8111957682694222</v>
      </c>
    </row>
    <row r="209" spans="1:10" ht="12" customHeight="1" x14ac:dyDescent="0.3">
      <c r="A209" s="1">
        <f t="shared" si="3"/>
        <v>43810</v>
      </c>
      <c r="B209" s="20">
        <v>7005.4945054945047</v>
      </c>
      <c r="C209" s="20">
        <f t="shared" si="4"/>
        <v>18486.472766364073</v>
      </c>
      <c r="D209" s="21" t="str">
        <f t="shared" si="0"/>
        <v>191211</v>
      </c>
      <c r="E209" s="22">
        <f t="shared" si="5"/>
        <v>0.45861200000000002</v>
      </c>
      <c r="F209" s="9">
        <v>0</v>
      </c>
      <c r="G209" s="14">
        <f t="shared" si="1"/>
        <v>102.47359338340149</v>
      </c>
      <c r="H209" s="24">
        <f t="shared" si="6"/>
        <v>23954.68383401493</v>
      </c>
      <c r="I209" s="20">
        <f t="shared" si="2"/>
        <v>42441.156600379007</v>
      </c>
      <c r="J209" s="17">
        <f t="shared" si="7"/>
        <v>4.2441156600379006</v>
      </c>
    </row>
    <row r="210" spans="1:10" ht="12" customHeight="1" x14ac:dyDescent="0.3">
      <c r="A210" s="1">
        <f t="shared" si="3"/>
        <v>43811</v>
      </c>
      <c r="B210" s="20">
        <v>7074.1758241758243</v>
      </c>
      <c r="C210" s="20">
        <f t="shared" si="4"/>
        <v>18555.154085045393</v>
      </c>
      <c r="D210" s="21" t="str">
        <f t="shared" si="0"/>
        <v>191212</v>
      </c>
      <c r="E210" s="22">
        <f t="shared" si="5"/>
        <v>0.45861200000000002</v>
      </c>
      <c r="F210" s="9">
        <v>0</v>
      </c>
      <c r="G210" s="14">
        <f t="shared" si="1"/>
        <v>102.46796190003924</v>
      </c>
      <c r="H210" s="24">
        <f t="shared" si="6"/>
        <v>23898.36900039242</v>
      </c>
      <c r="I210" s="20">
        <f t="shared" si="2"/>
        <v>42453.523085437817</v>
      </c>
      <c r="J210" s="17">
        <f t="shared" si="7"/>
        <v>4.2453523085437812</v>
      </c>
    </row>
    <row r="211" spans="1:10" ht="12" customHeight="1" x14ac:dyDescent="0.3">
      <c r="A211" s="1">
        <f t="shared" si="3"/>
        <v>43812</v>
      </c>
      <c r="B211" s="20">
        <v>7142.8571428571422</v>
      </c>
      <c r="C211" s="20">
        <f t="shared" si="4"/>
        <v>18623.835403726713</v>
      </c>
      <c r="D211" s="21" t="str">
        <f t="shared" si="0"/>
        <v>191213</v>
      </c>
      <c r="E211" s="22">
        <f t="shared" si="5"/>
        <v>0.45861200000000002</v>
      </c>
      <c r="F211" s="9">
        <v>0</v>
      </c>
      <c r="G211" s="14">
        <f t="shared" si="1"/>
        <v>102.46233043338401</v>
      </c>
      <c r="H211" s="24">
        <f t="shared" si="6"/>
        <v>23842.054333840111</v>
      </c>
      <c r="I211" s="20">
        <f t="shared" si="2"/>
        <v>42465.889737566824</v>
      </c>
      <c r="J211" s="17">
        <f t="shared" si="7"/>
        <v>4.2465889737566824</v>
      </c>
    </row>
    <row r="212" spans="1:10" ht="12" customHeight="1" x14ac:dyDescent="0.3">
      <c r="A212" s="1">
        <f t="shared" si="3"/>
        <v>43815</v>
      </c>
      <c r="B212" s="20">
        <v>7348.9010989010994</v>
      </c>
      <c r="C212" s="20">
        <f t="shared" si="4"/>
        <v>18829.879359770668</v>
      </c>
      <c r="D212" s="21" t="str">
        <f t="shared" si="0"/>
        <v>191216</v>
      </c>
      <c r="E212" s="22">
        <f t="shared" si="5"/>
        <v>0.45861200000000002</v>
      </c>
      <c r="F212" s="9">
        <v>0</v>
      </c>
      <c r="G212" s="14">
        <f t="shared" si="1"/>
        <v>102.44543613366291</v>
      </c>
      <c r="H212" s="24">
        <f t="shared" si="6"/>
        <v>23673.111336629092</v>
      </c>
      <c r="I212" s="20">
        <f t="shared" si="2"/>
        <v>42502.990696399764</v>
      </c>
      <c r="J212" s="17">
        <f t="shared" si="7"/>
        <v>4.2502990696399765</v>
      </c>
    </row>
    <row r="213" spans="1:10" ht="12" customHeight="1" x14ac:dyDescent="0.3">
      <c r="A213" s="1">
        <f t="shared" si="3"/>
        <v>43816</v>
      </c>
      <c r="B213" s="20">
        <v>7417.5824175824182</v>
      </c>
      <c r="C213" s="20">
        <f t="shared" si="4"/>
        <v>18898.560678451988</v>
      </c>
      <c r="D213" s="21" t="str">
        <f t="shared" si="0"/>
        <v>191217</v>
      </c>
      <c r="E213" s="22">
        <f t="shared" si="5"/>
        <v>0.45861200000000002</v>
      </c>
      <c r="F213" s="9">
        <v>0</v>
      </c>
      <c r="G213" s="14">
        <f t="shared" si="1"/>
        <v>102.43980473383807</v>
      </c>
      <c r="H213" s="24">
        <f t="shared" si="6"/>
        <v>23616.797338380733</v>
      </c>
      <c r="I213" s="20">
        <f t="shared" si="2"/>
        <v>42515.358016832717</v>
      </c>
      <c r="J213" s="17">
        <f t="shared" si="7"/>
        <v>4.2515358016832723</v>
      </c>
    </row>
    <row r="214" spans="1:10" ht="12" customHeight="1" x14ac:dyDescent="0.3">
      <c r="A214" s="1">
        <f t="shared" si="3"/>
        <v>43817</v>
      </c>
      <c r="B214" s="20">
        <v>7486.2637362637361</v>
      </c>
      <c r="C214" s="20">
        <f t="shared" si="4"/>
        <v>18967.241997133307</v>
      </c>
      <c r="D214" s="21" t="str">
        <f t="shared" si="0"/>
        <v>191218</v>
      </c>
      <c r="E214" s="22">
        <f t="shared" si="5"/>
        <v>0.45861200000000002</v>
      </c>
      <c r="F214" s="9">
        <v>0</v>
      </c>
      <c r="G214" s="14">
        <f t="shared" si="1"/>
        <v>102.43417335072135</v>
      </c>
      <c r="H214" s="24">
        <f t="shared" si="6"/>
        <v>23560.483507213517</v>
      </c>
      <c r="I214" s="20">
        <f t="shared" si="2"/>
        <v>42527.725504346825</v>
      </c>
      <c r="J214" s="17">
        <f t="shared" si="7"/>
        <v>4.2527725504346821</v>
      </c>
    </row>
    <row r="215" spans="1:10" ht="12" customHeight="1" x14ac:dyDescent="0.3">
      <c r="A215" s="1">
        <f t="shared" si="3"/>
        <v>43818</v>
      </c>
      <c r="B215" s="20">
        <v>7554.9450549450548</v>
      </c>
      <c r="C215" s="20">
        <f t="shared" si="4"/>
        <v>19035.923315814627</v>
      </c>
      <c r="D215" s="21" t="str">
        <f t="shared" si="0"/>
        <v>191219</v>
      </c>
      <c r="E215" s="22">
        <f t="shared" si="5"/>
        <v>0.45861200000000002</v>
      </c>
      <c r="F215" s="9">
        <v>0</v>
      </c>
      <c r="G215" s="14">
        <f t="shared" si="1"/>
        <v>102.42854198431299</v>
      </c>
      <c r="H215" s="24">
        <f t="shared" si="6"/>
        <v>23504.169843129861</v>
      </c>
      <c r="I215" s="20">
        <f t="shared" si="2"/>
        <v>42540.093158944488</v>
      </c>
      <c r="J215" s="17">
        <f t="shared" si="7"/>
        <v>4.2540093158944492</v>
      </c>
    </row>
    <row r="216" spans="1:10" ht="12" customHeight="1" x14ac:dyDescent="0.3">
      <c r="A216" s="1">
        <f t="shared" si="3"/>
        <v>43819</v>
      </c>
      <c r="B216" s="20">
        <v>7623.6263736263745</v>
      </c>
      <c r="C216" s="20">
        <f t="shared" si="4"/>
        <v>19104.604634495947</v>
      </c>
      <c r="D216" s="21" t="str">
        <f t="shared" si="0"/>
        <v>191220</v>
      </c>
      <c r="E216" s="22">
        <f t="shared" si="5"/>
        <v>0.45861200000000002</v>
      </c>
      <c r="F216" s="9">
        <v>0</v>
      </c>
      <c r="G216" s="14">
        <f t="shared" si="1"/>
        <v>102.42291063461316</v>
      </c>
      <c r="H216" s="24">
        <f t="shared" si="6"/>
        <v>23447.856346131601</v>
      </c>
      <c r="I216" s="20">
        <f t="shared" si="2"/>
        <v>42552.460980627548</v>
      </c>
      <c r="J216" s="17">
        <f t="shared" si="7"/>
        <v>4.2552460980627549</v>
      </c>
    </row>
    <row r="217" spans="1:10" ht="12" customHeight="1" x14ac:dyDescent="0.3">
      <c r="A217" s="1">
        <f t="shared" si="3"/>
        <v>43822</v>
      </c>
      <c r="B217" s="20">
        <v>7829.6703296703299</v>
      </c>
      <c r="C217" s="20">
        <f t="shared" si="4"/>
        <v>19310.648590539902</v>
      </c>
      <c r="D217" s="21" t="str">
        <f t="shared" si="0"/>
        <v>191223</v>
      </c>
      <c r="E217" s="22">
        <f t="shared" si="5"/>
        <v>0.45861200000000002</v>
      </c>
      <c r="F217" s="9">
        <v>0</v>
      </c>
      <c r="G217" s="14">
        <f t="shared" si="1"/>
        <v>102.40601668576711</v>
      </c>
      <c r="H217" s="24">
        <f t="shared" si="6"/>
        <v>23278.916857671138</v>
      </c>
      <c r="I217" s="20">
        <f t="shared" si="2"/>
        <v>42589.56544821104</v>
      </c>
      <c r="J217" s="17">
        <f t="shared" si="7"/>
        <v>4.2589565448211042</v>
      </c>
    </row>
    <row r="218" spans="1:10" ht="12" customHeight="1" x14ac:dyDescent="0.3">
      <c r="A218" s="1">
        <f t="shared" si="3"/>
        <v>43823</v>
      </c>
      <c r="B218" s="20">
        <v>7898.3516483516478</v>
      </c>
      <c r="C218" s="20">
        <f t="shared" si="4"/>
        <v>19379.329909221218</v>
      </c>
      <c r="D218" s="21" t="str">
        <f t="shared" si="0"/>
        <v>191224</v>
      </c>
      <c r="E218" s="22">
        <f t="shared" si="5"/>
        <v>0.45861200000000002</v>
      </c>
      <c r="F218" s="9">
        <v>0</v>
      </c>
      <c r="G218" s="14">
        <f t="shared" si="1"/>
        <v>102.40038540290362</v>
      </c>
      <c r="H218" s="24">
        <f t="shared" si="6"/>
        <v>23222.604029036233</v>
      </c>
      <c r="I218" s="20">
        <f t="shared" si="2"/>
        <v>42601.933938257454</v>
      </c>
      <c r="J218" s="17">
        <f t="shared" si="7"/>
        <v>4.2601933938257455</v>
      </c>
    </row>
    <row r="219" spans="1:10" ht="12" customHeight="1" x14ac:dyDescent="0.3">
      <c r="A219" s="1">
        <f t="shared" si="3"/>
        <v>43824</v>
      </c>
      <c r="B219" s="20">
        <v>7967.0329670329656</v>
      </c>
      <c r="C219" s="20">
        <f t="shared" si="4"/>
        <v>19448.011227902534</v>
      </c>
      <c r="D219" s="21" t="str">
        <f t="shared" si="0"/>
        <v>191225</v>
      </c>
      <c r="E219" s="22">
        <f t="shared" si="5"/>
        <v>0.45861200000000002</v>
      </c>
      <c r="F219" s="9">
        <v>0</v>
      </c>
      <c r="G219" s="14">
        <f t="shared" si="1"/>
        <v>102.39475413674975</v>
      </c>
      <c r="H219" s="24">
        <f t="shared" si="6"/>
        <v>23166.291367497539</v>
      </c>
      <c r="I219" s="20">
        <f t="shared" si="2"/>
        <v>42614.302595400077</v>
      </c>
      <c r="J219" s="17">
        <f t="shared" si="7"/>
        <v>4.261430259540008</v>
      </c>
    </row>
    <row r="220" spans="1:10" ht="12" customHeight="1" x14ac:dyDescent="0.3">
      <c r="A220" s="1">
        <f t="shared" si="3"/>
        <v>43825</v>
      </c>
      <c r="B220" s="20">
        <v>8035.7142857142862</v>
      </c>
      <c r="C220" s="20">
        <f t="shared" si="4"/>
        <v>19516.692546583854</v>
      </c>
      <c r="D220" s="21" t="str">
        <f t="shared" si="0"/>
        <v>191226</v>
      </c>
      <c r="E220" s="22">
        <f t="shared" si="5"/>
        <v>0.45861200000000002</v>
      </c>
      <c r="F220" s="9">
        <v>0</v>
      </c>
      <c r="G220" s="14">
        <f t="shared" si="1"/>
        <v>102.38912288730567</v>
      </c>
      <c r="H220" s="24">
        <f t="shared" si="6"/>
        <v>23109.978873056745</v>
      </c>
      <c r="I220" s="20">
        <f t="shared" si="2"/>
        <v>42626.671419640596</v>
      </c>
      <c r="J220" s="17">
        <f t="shared" si="7"/>
        <v>4.2626671419640596</v>
      </c>
    </row>
    <row r="221" spans="1:10" ht="12" customHeight="1" x14ac:dyDescent="0.3">
      <c r="A221" s="1">
        <f t="shared" si="3"/>
        <v>43826</v>
      </c>
      <c r="B221" s="20">
        <v>8104.3956043956041</v>
      </c>
      <c r="C221" s="20">
        <f t="shared" si="4"/>
        <v>19585.373865265174</v>
      </c>
      <c r="D221" s="21" t="str">
        <f t="shared" si="0"/>
        <v>191227</v>
      </c>
      <c r="E221" s="22">
        <f t="shared" si="5"/>
        <v>0.45861200000000002</v>
      </c>
      <c r="F221" s="9">
        <v>0</v>
      </c>
      <c r="G221" s="14">
        <f t="shared" si="1"/>
        <v>102.38349165457166</v>
      </c>
      <c r="H221" s="24">
        <f t="shared" si="6"/>
        <v>23053.666545716565</v>
      </c>
      <c r="I221" s="20">
        <f t="shared" si="2"/>
        <v>42639.040410981739</v>
      </c>
      <c r="J221" s="17">
        <f t="shared" si="7"/>
        <v>4.2639040410981739</v>
      </c>
    </row>
    <row r="222" spans="1:10" ht="12" customHeight="1" x14ac:dyDescent="0.3">
      <c r="A222" s="1">
        <f t="shared" si="3"/>
        <v>43829</v>
      </c>
      <c r="B222" s="20">
        <v>8310.4395604395595</v>
      </c>
      <c r="C222" s="20">
        <f t="shared" si="4"/>
        <v>19791.417821309129</v>
      </c>
      <c r="D222" s="21" t="str">
        <f t="shared" si="0"/>
        <v>191230</v>
      </c>
      <c r="E222" s="22">
        <f t="shared" si="5"/>
        <v>0.45861200000000002</v>
      </c>
      <c r="F222" s="9">
        <v>0</v>
      </c>
      <c r="G222" s="14">
        <f t="shared" si="1"/>
        <v>102.36659805663196</v>
      </c>
      <c r="H222" s="24">
        <f t="shared" si="6"/>
        <v>22884.730566319577</v>
      </c>
      <c r="I222" s="20">
        <f t="shared" si="2"/>
        <v>42676.148387628709</v>
      </c>
      <c r="J222" s="17">
        <f t="shared" si="7"/>
        <v>4.2676148387628707</v>
      </c>
    </row>
    <row r="223" spans="1:10" ht="12" customHeight="1" x14ac:dyDescent="0.3">
      <c r="A223" s="1">
        <f t="shared" si="3"/>
        <v>43830</v>
      </c>
      <c r="B223" s="20">
        <v>8379.1208791208774</v>
      </c>
      <c r="C223" s="20">
        <f t="shared" si="4"/>
        <v>19860.099139990445</v>
      </c>
      <c r="D223" s="21" t="str">
        <f t="shared" si="0"/>
        <v>191231</v>
      </c>
      <c r="E223" s="22">
        <f t="shared" si="5"/>
        <v>0.45861200000000002</v>
      </c>
      <c r="F223" s="9">
        <v>0</v>
      </c>
      <c r="G223" s="14">
        <f t="shared" si="1"/>
        <v>102.3609668907402</v>
      </c>
      <c r="H223" s="24">
        <f t="shared" si="6"/>
        <v>22828.418907402011</v>
      </c>
      <c r="I223" s="20">
        <f t="shared" si="2"/>
        <v>42688.518047392456</v>
      </c>
      <c r="J223" s="17">
        <f t="shared" si="7"/>
        <v>4.2688518047392456</v>
      </c>
    </row>
    <row r="224" spans="1:10" ht="12" customHeight="1" x14ac:dyDescent="0.3">
      <c r="A224" s="1">
        <f t="shared" si="3"/>
        <v>43831</v>
      </c>
      <c r="B224" s="20">
        <v>8447.8021978021989</v>
      </c>
      <c r="C224" s="20">
        <f t="shared" si="4"/>
        <v>19928.780458671768</v>
      </c>
      <c r="D224" s="21" t="str">
        <f t="shared" si="0"/>
        <v>200101</v>
      </c>
      <c r="E224" s="22">
        <f t="shared" si="5"/>
        <v>0.45861200000000002</v>
      </c>
      <c r="F224" s="9">
        <v>0</v>
      </c>
      <c r="G224" s="14">
        <f t="shared" si="1"/>
        <v>102.35533574155956</v>
      </c>
      <c r="H224" s="24">
        <f t="shared" si="6"/>
        <v>22772.107415595572</v>
      </c>
      <c r="I224" s="20">
        <f t="shared" si="2"/>
        <v>42700.887874267341</v>
      </c>
      <c r="J224" s="17">
        <f t="shared" si="7"/>
        <v>4.2700887874267339</v>
      </c>
    </row>
    <row r="225" spans="1:10" ht="12" customHeight="1" x14ac:dyDescent="0.3">
      <c r="A225" s="1">
        <f t="shared" si="3"/>
        <v>43832</v>
      </c>
      <c r="B225" s="20">
        <v>8516.4835164835167</v>
      </c>
      <c r="C225" s="20">
        <f t="shared" si="4"/>
        <v>19997.461777353084</v>
      </c>
      <c r="D225" s="21" t="str">
        <f t="shared" si="0"/>
        <v>200102</v>
      </c>
      <c r="E225" s="22">
        <f t="shared" si="5"/>
        <v>0.45861200000000002</v>
      </c>
      <c r="F225" s="9">
        <v>0</v>
      </c>
      <c r="G225" s="14">
        <f t="shared" si="1"/>
        <v>102.34970460909022</v>
      </c>
      <c r="H225" s="24">
        <f t="shared" si="6"/>
        <v>22715.796090902244</v>
      </c>
      <c r="I225" s="20">
        <f t="shared" si="2"/>
        <v>42713.257868255329</v>
      </c>
      <c r="J225" s="17">
        <f t="shared" si="7"/>
        <v>4.2713257868255328</v>
      </c>
    </row>
    <row r="226" spans="1:10" ht="12" customHeight="1" x14ac:dyDescent="0.3">
      <c r="A226" s="1">
        <f t="shared" si="3"/>
        <v>43833</v>
      </c>
      <c r="B226" s="20">
        <v>8585.1648351648364</v>
      </c>
      <c r="C226" s="20">
        <f t="shared" si="4"/>
        <v>20066.143096034404</v>
      </c>
      <c r="D226" s="21" t="str">
        <f t="shared" si="0"/>
        <v>200103</v>
      </c>
      <c r="E226" s="22">
        <f t="shared" si="5"/>
        <v>0.45861200000000002</v>
      </c>
      <c r="F226" s="9">
        <v>0</v>
      </c>
      <c r="G226" s="14">
        <f t="shared" si="1"/>
        <v>102.34407349333243</v>
      </c>
      <c r="H226" s="24">
        <f t="shared" si="6"/>
        <v>22659.484933324307</v>
      </c>
      <c r="I226" s="20">
        <f t="shared" si="2"/>
        <v>42725.628029358712</v>
      </c>
      <c r="J226" s="17">
        <f t="shared" si="7"/>
        <v>4.2725628029358713</v>
      </c>
    </row>
    <row r="227" spans="1:10" ht="12" customHeight="1" x14ac:dyDescent="0.3">
      <c r="A227" s="1">
        <f t="shared" si="3"/>
        <v>43836</v>
      </c>
      <c r="B227" s="20">
        <v>8791.2087912087918</v>
      </c>
      <c r="C227" s="20">
        <f t="shared" si="4"/>
        <v>20272.18705207836</v>
      </c>
      <c r="D227" s="21" t="str">
        <f t="shared" si="0"/>
        <v>200106</v>
      </c>
      <c r="E227" s="22">
        <f t="shared" si="5"/>
        <v>0.45861200000000002</v>
      </c>
      <c r="F227" s="9">
        <v>0</v>
      </c>
      <c r="G227" s="14">
        <f t="shared" si="1"/>
        <v>102.32718024633033</v>
      </c>
      <c r="H227" s="24">
        <f t="shared" si="6"/>
        <v>22490.552463303287</v>
      </c>
      <c r="I227" s="20">
        <f t="shared" si="2"/>
        <v>42762.739515381647</v>
      </c>
      <c r="J227" s="17">
        <f t="shared" si="7"/>
        <v>4.2762739515381645</v>
      </c>
    </row>
    <row r="228" spans="1:10" ht="12" customHeight="1" x14ac:dyDescent="0.3">
      <c r="A228" s="1">
        <f t="shared" si="3"/>
        <v>43837</v>
      </c>
      <c r="B228" s="20">
        <v>8859.8901098901097</v>
      </c>
      <c r="C228" s="20">
        <f t="shared" si="4"/>
        <v>20340.868370759679</v>
      </c>
      <c r="D228" s="21" t="str">
        <f t="shared" si="0"/>
        <v>200107</v>
      </c>
      <c r="E228" s="22">
        <f t="shared" si="5"/>
        <v>0.45861200000000002</v>
      </c>
      <c r="F228" s="9">
        <v>0</v>
      </c>
      <c r="G228" s="14">
        <f t="shared" si="1"/>
        <v>102.32154919742077</v>
      </c>
      <c r="H228" s="24">
        <f t="shared" si="6"/>
        <v>22434.241974207653</v>
      </c>
      <c r="I228" s="20">
        <f t="shared" si="2"/>
        <v>42775.110344967332</v>
      </c>
      <c r="J228" s="17">
        <f t="shared" si="7"/>
        <v>4.2775110344967331</v>
      </c>
    </row>
    <row r="229" spans="1:10" ht="12" customHeight="1" x14ac:dyDescent="0.3">
      <c r="A229" s="1">
        <f t="shared" si="3"/>
        <v>43838</v>
      </c>
      <c r="B229" s="20">
        <v>8928.5714285714294</v>
      </c>
      <c r="C229" s="20">
        <f t="shared" si="4"/>
        <v>20409.549689440999</v>
      </c>
      <c r="D229" s="21" t="str">
        <f t="shared" si="0"/>
        <v>200108</v>
      </c>
      <c r="E229" s="22">
        <f t="shared" si="5"/>
        <v>0.45861200000000002</v>
      </c>
      <c r="F229" s="9">
        <v>0</v>
      </c>
      <c r="G229" s="14">
        <f t="shared" si="1"/>
        <v>102.31591816522379</v>
      </c>
      <c r="H229" s="24">
        <f t="shared" si="6"/>
        <v>22377.931652237916</v>
      </c>
      <c r="I229" s="20">
        <f t="shared" si="2"/>
        <v>42787.481341678911</v>
      </c>
      <c r="J229" s="17">
        <f t="shared" si="7"/>
        <v>4.2787481341678912</v>
      </c>
    </row>
    <row r="230" spans="1:10" ht="12" customHeight="1" x14ac:dyDescent="0.3">
      <c r="A230" s="1">
        <f t="shared" si="3"/>
        <v>43839</v>
      </c>
      <c r="B230" s="20">
        <v>8997.2527472527472</v>
      </c>
      <c r="C230" s="20">
        <f t="shared" si="4"/>
        <v>20478.231008122319</v>
      </c>
      <c r="D230" s="21" t="str">
        <f t="shared" si="0"/>
        <v>200109</v>
      </c>
      <c r="E230" s="22">
        <f t="shared" si="5"/>
        <v>0.45861200000000002</v>
      </c>
      <c r="F230" s="9">
        <v>0</v>
      </c>
      <c r="G230" s="14">
        <f t="shared" si="1"/>
        <v>102.31028714973958</v>
      </c>
      <c r="H230" s="24">
        <f t="shared" si="6"/>
        <v>22321.621497395798</v>
      </c>
      <c r="I230" s="20">
        <f t="shared" si="2"/>
        <v>42799.852505518116</v>
      </c>
      <c r="J230" s="17">
        <f t="shared" si="7"/>
        <v>4.2799852505518112</v>
      </c>
    </row>
    <row r="231" spans="1:10" ht="12" customHeight="1" x14ac:dyDescent="0.3">
      <c r="A231" s="1">
        <f t="shared" si="3"/>
        <v>43840</v>
      </c>
      <c r="B231" s="20">
        <v>9065.9340659340651</v>
      </c>
      <c r="C231" s="20">
        <f t="shared" si="4"/>
        <v>20546.912326803635</v>
      </c>
      <c r="D231" s="21" t="str">
        <f t="shared" si="0"/>
        <v>200110</v>
      </c>
      <c r="E231" s="22">
        <f t="shared" si="5"/>
        <v>0.45861200000000002</v>
      </c>
      <c r="F231" s="9">
        <v>0</v>
      </c>
      <c r="G231" s="14">
        <f t="shared" si="1"/>
        <v>102.30465615096844</v>
      </c>
      <c r="H231" s="24">
        <f t="shared" si="6"/>
        <v>22265.311509684409</v>
      </c>
      <c r="I231" s="20">
        <f t="shared" si="2"/>
        <v>42812.223836488047</v>
      </c>
      <c r="J231" s="17">
        <f t="shared" si="7"/>
        <v>4.2812223836488048</v>
      </c>
    </row>
    <row r="232" spans="1:10" ht="12" customHeight="1" x14ac:dyDescent="0.3">
      <c r="A232" s="1">
        <f t="shared" si="3"/>
        <v>43843</v>
      </c>
      <c r="B232" s="20">
        <v>9271.9780219780223</v>
      </c>
      <c r="C232" s="20">
        <f t="shared" si="4"/>
        <v>20752.95628284759</v>
      </c>
      <c r="D232" s="21" t="str">
        <f t="shared" si="0"/>
        <v>200113</v>
      </c>
      <c r="E232" s="22">
        <f t="shared" si="5"/>
        <v>0.45861200000000002</v>
      </c>
      <c r="F232" s="9">
        <v>0</v>
      </c>
      <c r="G232" s="14">
        <f t="shared" si="1"/>
        <v>102.28776325493519</v>
      </c>
      <c r="H232" s="24">
        <f t="shared" si="6"/>
        <v>22096.38254935186</v>
      </c>
      <c r="I232" s="20">
        <f t="shared" si="2"/>
        <v>42849.33883219945</v>
      </c>
      <c r="J232" s="17">
        <f t="shared" si="7"/>
        <v>4.2849338832199448</v>
      </c>
    </row>
    <row r="233" spans="1:10" ht="12" customHeight="1" x14ac:dyDescent="0.3">
      <c r="A233" s="1">
        <f t="shared" si="3"/>
        <v>43844</v>
      </c>
      <c r="B233" s="20">
        <v>9340.6593406593402</v>
      </c>
      <c r="C233" s="20">
        <f t="shared" si="4"/>
        <v>20821.637601528906</v>
      </c>
      <c r="D233" s="21" t="str">
        <f t="shared" si="0"/>
        <v>200114</v>
      </c>
      <c r="E233" s="22">
        <f t="shared" si="5"/>
        <v>0.45861200000000002</v>
      </c>
      <c r="F233" s="9">
        <v>0</v>
      </c>
      <c r="G233" s="14">
        <f t="shared" si="1"/>
        <v>102.2821323230182</v>
      </c>
      <c r="H233" s="24">
        <f t="shared" si="6"/>
        <v>22040.073230182032</v>
      </c>
      <c r="I233" s="20">
        <f t="shared" si="2"/>
        <v>42861.710831710938</v>
      </c>
      <c r="J233" s="17">
        <f t="shared" si="7"/>
        <v>4.2861710831710944</v>
      </c>
    </row>
    <row r="234" spans="1:10" ht="12" customHeight="1" x14ac:dyDescent="0.3">
      <c r="A234" s="1">
        <f t="shared" si="3"/>
        <v>43845</v>
      </c>
      <c r="B234" s="20">
        <v>9409.3406593406598</v>
      </c>
      <c r="C234" s="20">
        <f t="shared" si="4"/>
        <v>20890.318920210226</v>
      </c>
      <c r="D234" s="21" t="str">
        <f t="shared" si="0"/>
        <v>200115</v>
      </c>
      <c r="E234" s="22">
        <f t="shared" si="5"/>
        <v>0.45861200000000002</v>
      </c>
      <c r="F234" s="9">
        <v>0</v>
      </c>
      <c r="G234" s="14">
        <f t="shared" si="1"/>
        <v>102.27650140781533</v>
      </c>
      <c r="H234" s="24">
        <f t="shared" si="6"/>
        <v>21983.764078153315</v>
      </c>
      <c r="I234" s="20">
        <f t="shared" si="2"/>
        <v>42874.082998363541</v>
      </c>
      <c r="J234" s="17">
        <f t="shared" si="7"/>
        <v>4.2874082998363541</v>
      </c>
    </row>
    <row r="235" spans="1:10" ht="12" customHeight="1" x14ac:dyDescent="0.3">
      <c r="A235" s="1">
        <f t="shared" si="3"/>
        <v>43846</v>
      </c>
      <c r="B235" s="20">
        <v>9478.0219780219777</v>
      </c>
      <c r="C235" s="20">
        <f t="shared" si="4"/>
        <v>20959.000238891545</v>
      </c>
      <c r="D235" s="21" t="str">
        <f t="shared" si="0"/>
        <v>200116</v>
      </c>
      <c r="E235" s="22">
        <f t="shared" si="5"/>
        <v>0.45861200000000002</v>
      </c>
      <c r="F235" s="9">
        <v>0</v>
      </c>
      <c r="G235" s="14">
        <f t="shared" si="1"/>
        <v>102.27087050932671</v>
      </c>
      <c r="H235" s="24">
        <f t="shared" si="6"/>
        <v>21927.455093267126</v>
      </c>
      <c r="I235" s="20">
        <f t="shared" si="2"/>
        <v>42886.455332158672</v>
      </c>
      <c r="J235" s="17">
        <f t="shared" si="7"/>
        <v>4.2886455332158668</v>
      </c>
    </row>
    <row r="236" spans="1:10" ht="12" customHeight="1" x14ac:dyDescent="0.3">
      <c r="A236" s="1">
        <f t="shared" si="3"/>
        <v>43847</v>
      </c>
      <c r="B236" s="20">
        <v>9546.7032967032956</v>
      </c>
      <c r="C236" s="20">
        <f t="shared" si="4"/>
        <v>21027.681557572861</v>
      </c>
      <c r="D236" s="21" t="str">
        <f t="shared" si="0"/>
        <v>200117</v>
      </c>
      <c r="E236" s="22">
        <f t="shared" si="5"/>
        <v>0.45861200000000002</v>
      </c>
      <c r="F236" s="9">
        <v>0</v>
      </c>
      <c r="G236" s="14">
        <f t="shared" si="1"/>
        <v>102.26523962755262</v>
      </c>
      <c r="H236" s="24">
        <f t="shared" si="6"/>
        <v>21871.146275526175</v>
      </c>
      <c r="I236" s="20">
        <f t="shared" si="2"/>
        <v>42898.827833099036</v>
      </c>
      <c r="J236" s="17">
        <f t="shared" si="7"/>
        <v>4.2898827833099036</v>
      </c>
    </row>
    <row r="237" spans="1:10" ht="12" customHeight="1" x14ac:dyDescent="0.3">
      <c r="A237" s="1">
        <f t="shared" si="3"/>
        <v>43850</v>
      </c>
      <c r="B237" s="20">
        <v>9752.7472527472528</v>
      </c>
      <c r="C237" s="20">
        <f t="shared" si="4"/>
        <v>21233.725513616817</v>
      </c>
      <c r="D237" s="21" t="str">
        <f t="shared" si="0"/>
        <v>200120</v>
      </c>
      <c r="E237" s="22">
        <f t="shared" si="5"/>
        <v>0.45861200000000002</v>
      </c>
      <c r="F237" s="9">
        <v>0</v>
      </c>
      <c r="G237" s="14">
        <f t="shared" si="1"/>
        <v>102.24834708251946</v>
      </c>
      <c r="H237" s="24">
        <f t="shared" si="6"/>
        <v>21702.220825194585</v>
      </c>
      <c r="I237" s="20">
        <f t="shared" si="2"/>
        <v>42935.946338811402</v>
      </c>
      <c r="J237" s="17">
        <f t="shared" si="7"/>
        <v>4.2935946338811402</v>
      </c>
    </row>
    <row r="238" spans="1:10" ht="12" customHeight="1" x14ac:dyDescent="0.3">
      <c r="A238" s="1">
        <f t="shared" si="3"/>
        <v>43851</v>
      </c>
      <c r="B238" s="20">
        <v>9821.4285714285706</v>
      </c>
      <c r="C238" s="20">
        <f t="shared" si="4"/>
        <v>21302.406832298133</v>
      </c>
      <c r="D238" s="21" t="str">
        <f t="shared" si="0"/>
        <v>200121</v>
      </c>
      <c r="E238" s="22">
        <f t="shared" si="5"/>
        <v>0.45861200000000002</v>
      </c>
      <c r="F238" s="9">
        <v>0</v>
      </c>
      <c r="G238" s="14">
        <f t="shared" si="1"/>
        <v>102.24271626760552</v>
      </c>
      <c r="H238" s="24">
        <f t="shared" si="6"/>
        <v>21645.912676055163</v>
      </c>
      <c r="I238" s="20">
        <f t="shared" si="2"/>
        <v>42948.319508353292</v>
      </c>
      <c r="J238" s="17">
        <f t="shared" si="7"/>
        <v>4.294831950835329</v>
      </c>
    </row>
    <row r="239" spans="1:10" ht="12" customHeight="1" x14ac:dyDescent="0.3">
      <c r="A239" s="1">
        <f t="shared" si="3"/>
        <v>43852</v>
      </c>
      <c r="B239" s="20">
        <v>9890.1098901098903</v>
      </c>
      <c r="C239" s="20">
        <f t="shared" si="4"/>
        <v>21371.088150979453</v>
      </c>
      <c r="D239" s="21" t="str">
        <f t="shared" si="0"/>
        <v>200122</v>
      </c>
      <c r="E239" s="22">
        <f t="shared" si="5"/>
        <v>0.45861200000000002</v>
      </c>
      <c r="F239" s="9">
        <v>0</v>
      </c>
      <c r="G239" s="14">
        <f t="shared" si="1"/>
        <v>102.23708546940711</v>
      </c>
      <c r="H239" s="24">
        <f t="shared" si="6"/>
        <v>21589.604694071058</v>
      </c>
      <c r="I239" s="20">
        <f t="shared" si="2"/>
        <v>42960.692845050507</v>
      </c>
      <c r="J239" s="17">
        <f t="shared" si="7"/>
        <v>4.2960692845050508</v>
      </c>
    </row>
    <row r="240" spans="1:10" ht="12" customHeight="1" x14ac:dyDescent="0.3">
      <c r="A240" s="1">
        <f t="shared" si="3"/>
        <v>43853</v>
      </c>
      <c r="B240" s="20">
        <v>9958.7912087912082</v>
      </c>
      <c r="C240" s="20">
        <f t="shared" si="4"/>
        <v>21439.769469660772</v>
      </c>
      <c r="D240" s="21" t="str">
        <f t="shared" si="0"/>
        <v>200123</v>
      </c>
      <c r="E240" s="22">
        <f t="shared" si="5"/>
        <v>0.45861200000000002</v>
      </c>
      <c r="F240" s="9">
        <v>0</v>
      </c>
      <c r="G240" s="14">
        <f t="shared" si="1"/>
        <v>102.23145468792454</v>
      </c>
      <c r="H240" s="24">
        <f t="shared" si="6"/>
        <v>21533.296879245398</v>
      </c>
      <c r="I240" s="20">
        <f t="shared" si="2"/>
        <v>42973.06634890617</v>
      </c>
      <c r="J240" s="17">
        <f t="shared" si="7"/>
        <v>4.2973066348906173</v>
      </c>
    </row>
    <row r="241" spans="1:10" ht="12" customHeight="1" x14ac:dyDescent="0.3">
      <c r="A241" s="1">
        <f t="shared" si="3"/>
        <v>43854</v>
      </c>
      <c r="B241" s="20">
        <v>10027.472527472528</v>
      </c>
      <c r="C241" s="20">
        <f t="shared" si="4"/>
        <v>21508.450788342092</v>
      </c>
      <c r="D241" s="21" t="str">
        <f t="shared" si="0"/>
        <v>200124</v>
      </c>
      <c r="E241" s="22">
        <f t="shared" si="5"/>
        <v>0.45861200000000002</v>
      </c>
      <c r="F241" s="9">
        <v>0</v>
      </c>
      <c r="G241" s="14">
        <f t="shared" si="1"/>
        <v>102.2258239231579</v>
      </c>
      <c r="H241" s="24">
        <f t="shared" si="6"/>
        <v>21476.989231579038</v>
      </c>
      <c r="I241" s="20">
        <f t="shared" si="2"/>
        <v>42985.44001992113</v>
      </c>
      <c r="J241" s="17">
        <f t="shared" si="7"/>
        <v>4.2985440019921128</v>
      </c>
    </row>
    <row r="242" spans="1:10" ht="12" customHeight="1" x14ac:dyDescent="0.3">
      <c r="A242" s="1">
        <f t="shared" si="3"/>
        <v>43857</v>
      </c>
      <c r="B242" s="20">
        <v>10233.516483516483</v>
      </c>
      <c r="C242" s="20">
        <f t="shared" si="4"/>
        <v>21714.494744386047</v>
      </c>
      <c r="D242" s="21" t="str">
        <f t="shared" si="0"/>
        <v>200127</v>
      </c>
      <c r="E242" s="22">
        <f t="shared" si="5"/>
        <v>0.45861200000000002</v>
      </c>
      <c r="F242" s="9">
        <v>0</v>
      </c>
      <c r="G242" s="14">
        <f t="shared" si="1"/>
        <v>102.20893172915613</v>
      </c>
      <c r="H242" s="24">
        <f t="shared" si="6"/>
        <v>21308.067291561343</v>
      </c>
      <c r="I242" s="20">
        <f t="shared" si="2"/>
        <v>43022.562035947391</v>
      </c>
      <c r="J242" s="17">
        <f t="shared" si="7"/>
        <v>4.3022562035947391</v>
      </c>
    </row>
    <row r="243" spans="1:10" ht="12" customHeight="1" x14ac:dyDescent="0.3">
      <c r="A243" s="1">
        <f t="shared" si="3"/>
        <v>43858</v>
      </c>
      <c r="B243" s="20">
        <v>10302.197802197801</v>
      </c>
      <c r="C243" s="20">
        <f t="shared" si="4"/>
        <v>21783.176063067367</v>
      </c>
      <c r="D243" s="21" t="str">
        <f t="shared" si="0"/>
        <v>200128</v>
      </c>
      <c r="E243" s="22">
        <f t="shared" si="5"/>
        <v>0.45861200000000002</v>
      </c>
      <c r="F243" s="9">
        <v>0</v>
      </c>
      <c r="G243" s="14">
        <f t="shared" si="1"/>
        <v>102.20330103125561</v>
      </c>
      <c r="H243" s="24">
        <f t="shared" si="6"/>
        <v>21251.760312556056</v>
      </c>
      <c r="I243" s="20">
        <f t="shared" si="2"/>
        <v>43034.936375623423</v>
      </c>
      <c r="J243" s="17">
        <f t="shared" si="7"/>
        <v>4.303493637562342</v>
      </c>
    </row>
    <row r="244" spans="1:10" ht="12" customHeight="1" x14ac:dyDescent="0.3">
      <c r="A244" s="1">
        <f t="shared" si="3"/>
        <v>43859</v>
      </c>
      <c r="B244" s="20">
        <v>10370.879120879123</v>
      </c>
      <c r="C244" s="20">
        <f t="shared" si="4"/>
        <v>21851.85738174869</v>
      </c>
      <c r="D244" s="21" t="str">
        <f t="shared" si="0"/>
        <v>200129</v>
      </c>
      <c r="E244" s="22">
        <f t="shared" si="5"/>
        <v>0.45861200000000002</v>
      </c>
      <c r="F244" s="9">
        <v>0</v>
      </c>
      <c r="G244" s="14">
        <f t="shared" si="1"/>
        <v>102.19767035007216</v>
      </c>
      <c r="H244" s="24">
        <f t="shared" si="6"/>
        <v>21195.453500721585</v>
      </c>
      <c r="I244" s="20">
        <f t="shared" si="2"/>
        <v>43047.310882470279</v>
      </c>
      <c r="J244" s="17">
        <f t="shared" si="7"/>
        <v>4.3047310882470287</v>
      </c>
    </row>
    <row r="245" spans="1:10" ht="12" customHeight="1" x14ac:dyDescent="0.3">
      <c r="A245" s="1">
        <f t="shared" si="3"/>
        <v>43860</v>
      </c>
      <c r="B245" s="20">
        <v>10439.56043956044</v>
      </c>
      <c r="C245" s="20">
        <f t="shared" si="4"/>
        <v>21920.538700430006</v>
      </c>
      <c r="D245" s="21" t="str">
        <f t="shared" si="0"/>
        <v>200130</v>
      </c>
      <c r="E245" s="22">
        <f t="shared" si="5"/>
        <v>0.45861200000000002</v>
      </c>
      <c r="F245" s="9">
        <v>0</v>
      </c>
      <c r="G245" s="14">
        <f t="shared" si="1"/>
        <v>102.19203968560598</v>
      </c>
      <c r="H245" s="24">
        <f t="shared" si="6"/>
        <v>21139.146856059768</v>
      </c>
      <c r="I245" s="20">
        <f t="shared" si="2"/>
        <v>43059.685556489771</v>
      </c>
      <c r="J245" s="17">
        <f t="shared" si="7"/>
        <v>4.3059685556489775</v>
      </c>
    </row>
    <row r="246" spans="1:10" ht="12" customHeight="1" x14ac:dyDescent="0.3">
      <c r="A246" s="1">
        <f t="shared" si="3"/>
        <v>43861</v>
      </c>
      <c r="B246" s="20">
        <v>10508.241758241758</v>
      </c>
      <c r="C246" s="20">
        <f t="shared" si="4"/>
        <v>21989.220019111322</v>
      </c>
      <c r="D246" s="21" t="str">
        <f t="shared" si="0"/>
        <v>200131</v>
      </c>
      <c r="E246" s="22">
        <f t="shared" si="5"/>
        <v>0.45861200000000002</v>
      </c>
      <c r="F246" s="9">
        <v>0</v>
      </c>
      <c r="G246" s="14">
        <f t="shared" si="1"/>
        <v>102.18640903785726</v>
      </c>
      <c r="H246" s="24">
        <f t="shared" si="6"/>
        <v>21082.840378572597</v>
      </c>
      <c r="I246" s="20">
        <f t="shared" si="2"/>
        <v>43072.060397683919</v>
      </c>
      <c r="J246" s="17">
        <f t="shared" si="7"/>
        <v>4.307206039768392</v>
      </c>
    </row>
    <row r="247" spans="1:10" ht="12" customHeight="1" x14ac:dyDescent="0.3">
      <c r="A247" s="1">
        <f t="shared" si="3"/>
        <v>43864</v>
      </c>
      <c r="B247" s="20">
        <v>10714.285714285714</v>
      </c>
      <c r="C247" s="20">
        <f t="shared" si="4"/>
        <v>22195.263975155278</v>
      </c>
      <c r="D247" s="21" t="str">
        <f t="shared" si="0"/>
        <v>200203</v>
      </c>
      <c r="E247" s="22">
        <f t="shared" si="5"/>
        <v>0.45861200000000002</v>
      </c>
      <c r="F247" s="9">
        <v>0</v>
      </c>
      <c r="G247" s="14">
        <f t="shared" si="1"/>
        <v>102.16951719491814</v>
      </c>
      <c r="H247" s="24">
        <f t="shared" si="6"/>
        <v>20913.921949181429</v>
      </c>
      <c r="I247" s="20">
        <f t="shared" si="2"/>
        <v>43109.185924336707</v>
      </c>
      <c r="J247" s="17">
        <f t="shared" si="7"/>
        <v>4.3109185924336701</v>
      </c>
    </row>
    <row r="248" spans="1:10" ht="12" customHeight="1" x14ac:dyDescent="0.3">
      <c r="A248" s="1">
        <f t="shared" si="3"/>
        <v>43865</v>
      </c>
      <c r="B248" s="20">
        <v>10782.967032967035</v>
      </c>
      <c r="C248" s="20">
        <f t="shared" si="4"/>
        <v>22263.945293836601</v>
      </c>
      <c r="D248" s="21" t="str">
        <f t="shared" si="0"/>
        <v>200204</v>
      </c>
      <c r="E248" s="22">
        <f t="shared" si="5"/>
        <v>0.45861200000000002</v>
      </c>
      <c r="F248" s="9">
        <v>0</v>
      </c>
      <c r="G248" s="14">
        <f t="shared" si="1"/>
        <v>102.16388661404149</v>
      </c>
      <c r="H248" s="24">
        <f t="shared" si="6"/>
        <v>20857.616140414877</v>
      </c>
      <c r="I248" s="20">
        <f t="shared" si="2"/>
        <v>43121.561434251475</v>
      </c>
      <c r="J248" s="17">
        <f t="shared" si="7"/>
        <v>4.3121561434251481</v>
      </c>
    </row>
    <row r="249" spans="1:10" ht="12" customHeight="1" x14ac:dyDescent="0.3">
      <c r="A249" s="1">
        <f t="shared" si="3"/>
        <v>43866</v>
      </c>
      <c r="B249" s="20">
        <v>10851.648351648351</v>
      </c>
      <c r="C249" s="20">
        <f t="shared" si="4"/>
        <v>22332.626612517917</v>
      </c>
      <c r="D249" s="21" t="str">
        <f t="shared" si="0"/>
        <v>200205</v>
      </c>
      <c r="E249" s="22">
        <f t="shared" si="5"/>
        <v>0.45861200000000002</v>
      </c>
      <c r="F249" s="9">
        <v>0</v>
      </c>
      <c r="G249" s="14">
        <f t="shared" si="1"/>
        <v>102.15825604988338</v>
      </c>
      <c r="H249" s="24">
        <f t="shared" si="6"/>
        <v>20801.310498833773</v>
      </c>
      <c r="I249" s="20">
        <f t="shared" si="2"/>
        <v>43133.93711135169</v>
      </c>
      <c r="J249" s="17">
        <f t="shared" si="7"/>
        <v>4.313393711135169</v>
      </c>
    </row>
    <row r="250" spans="1:10" ht="12" customHeight="1" x14ac:dyDescent="0.3">
      <c r="A250" s="1">
        <f t="shared" si="3"/>
        <v>43867</v>
      </c>
      <c r="B250" s="20">
        <v>10920.329670329671</v>
      </c>
      <c r="C250" s="20">
        <f t="shared" si="4"/>
        <v>22401.307931199237</v>
      </c>
      <c r="D250" s="21" t="str">
        <f t="shared" si="0"/>
        <v>200206</v>
      </c>
      <c r="E250" s="22">
        <f t="shared" si="5"/>
        <v>0.45861200000000002</v>
      </c>
      <c r="F250" s="9">
        <v>0</v>
      </c>
      <c r="G250" s="14">
        <f t="shared" si="1"/>
        <v>102.15262550244404</v>
      </c>
      <c r="H250" s="24">
        <f t="shared" si="6"/>
        <v>20745.00502444039</v>
      </c>
      <c r="I250" s="20">
        <f t="shared" si="2"/>
        <v>43146.312955639631</v>
      </c>
      <c r="J250" s="17">
        <f t="shared" si="7"/>
        <v>4.314631295563963</v>
      </c>
    </row>
    <row r="251" spans="1:10" ht="12" customHeight="1" x14ac:dyDescent="0.3">
      <c r="A251" s="1">
        <f t="shared" si="3"/>
        <v>43868</v>
      </c>
      <c r="B251" s="20">
        <v>10989.010989010991</v>
      </c>
      <c r="C251" s="20">
        <f t="shared" si="4"/>
        <v>22469.989249880557</v>
      </c>
      <c r="D251" s="21" t="str">
        <f t="shared" si="0"/>
        <v>200207</v>
      </c>
      <c r="E251" s="22">
        <f t="shared" si="5"/>
        <v>0.45861200000000002</v>
      </c>
      <c r="F251" s="9">
        <v>0</v>
      </c>
      <c r="G251" s="14">
        <f t="shared" si="1"/>
        <v>102.14699497172364</v>
      </c>
      <c r="H251" s="24">
        <f t="shared" si="6"/>
        <v>20688.699717236432</v>
      </c>
      <c r="I251" s="20">
        <f t="shared" si="2"/>
        <v>43158.688967116992</v>
      </c>
      <c r="J251" s="17">
        <f t="shared" si="7"/>
        <v>4.3158688967116987</v>
      </c>
    </row>
    <row r="252" spans="1:10" ht="12" customHeight="1" x14ac:dyDescent="0.3">
      <c r="A252" s="1">
        <f t="shared" si="3"/>
        <v>43871</v>
      </c>
      <c r="B252" s="20">
        <v>11195.054945054946</v>
      </c>
      <c r="C252" s="20">
        <f t="shared" si="4"/>
        <v>22676.033205924512</v>
      </c>
      <c r="D252" s="21" t="str">
        <f t="shared" si="0"/>
        <v>200210</v>
      </c>
      <c r="E252" s="22">
        <f t="shared" si="5"/>
        <v>0.45861200000000002</v>
      </c>
      <c r="F252" s="9">
        <v>0</v>
      </c>
      <c r="G252" s="14">
        <f t="shared" si="1"/>
        <v>102.13010347987847</v>
      </c>
      <c r="H252" s="24">
        <f t="shared" si="6"/>
        <v>20519.784798784713</v>
      </c>
      <c r="I252" s="20">
        <f t="shared" si="2"/>
        <v>43195.818004709225</v>
      </c>
      <c r="J252" s="17">
        <f t="shared" si="7"/>
        <v>4.3195818004709219</v>
      </c>
    </row>
    <row r="253" spans="1:10" ht="12" customHeight="1" x14ac:dyDescent="0.3">
      <c r="A253" s="1">
        <f t="shared" si="3"/>
        <v>43872</v>
      </c>
      <c r="B253" s="20">
        <v>11263.736263736262</v>
      </c>
      <c r="C253" s="20">
        <f t="shared" si="4"/>
        <v>22744.714524605828</v>
      </c>
      <c r="D253" s="21" t="str">
        <f t="shared" si="0"/>
        <v>200211</v>
      </c>
      <c r="E253" s="22">
        <f t="shared" si="5"/>
        <v>0.45861200000000002</v>
      </c>
      <c r="F253" s="9">
        <v>0</v>
      </c>
      <c r="G253" s="14">
        <f t="shared" si="1"/>
        <v>102.12447301603609</v>
      </c>
      <c r="H253" s="24">
        <f t="shared" si="6"/>
        <v>20463.480160360916</v>
      </c>
      <c r="I253" s="20">
        <f t="shared" si="2"/>
        <v>43208.194684966744</v>
      </c>
      <c r="J253" s="17">
        <f t="shared" si="7"/>
        <v>4.3208194684966745</v>
      </c>
    </row>
    <row r="254" spans="1:10" ht="12" customHeight="1" x14ac:dyDescent="0.3">
      <c r="A254" s="1">
        <f t="shared" si="3"/>
        <v>43873</v>
      </c>
      <c r="B254" s="20">
        <v>11332.417582417582</v>
      </c>
      <c r="C254" s="20">
        <f t="shared" si="4"/>
        <v>22813.395843287148</v>
      </c>
      <c r="D254" s="21" t="str">
        <f t="shared" si="0"/>
        <v>200212</v>
      </c>
      <c r="E254" s="22">
        <f t="shared" si="5"/>
        <v>0.45861200000000002</v>
      </c>
      <c r="F254" s="9">
        <v>0</v>
      </c>
      <c r="G254" s="14">
        <f t="shared" si="1"/>
        <v>102.11884256891376</v>
      </c>
      <c r="H254" s="24">
        <f t="shared" si="6"/>
        <v>20407.175689137632</v>
      </c>
      <c r="I254" s="20">
        <f t="shared" si="2"/>
        <v>43220.571532424779</v>
      </c>
      <c r="J254" s="17">
        <f t="shared" si="7"/>
        <v>4.3220571532424774</v>
      </c>
    </row>
    <row r="255" spans="1:10" ht="12" customHeight="1" x14ac:dyDescent="0.3">
      <c r="A255" s="1">
        <f t="shared" si="3"/>
        <v>43874</v>
      </c>
      <c r="B255" s="20">
        <v>11401.098901098901</v>
      </c>
      <c r="C255" s="20">
        <f t="shared" si="4"/>
        <v>22882.077161968467</v>
      </c>
      <c r="D255" s="21" t="str">
        <f t="shared" si="0"/>
        <v>200213</v>
      </c>
      <c r="E255" s="22">
        <f t="shared" si="5"/>
        <v>0.45861200000000002</v>
      </c>
      <c r="F255" s="9">
        <v>0</v>
      </c>
      <c r="G255" s="14">
        <f t="shared" si="1"/>
        <v>102.11321213851167</v>
      </c>
      <c r="H255" s="24">
        <f t="shared" si="6"/>
        <v>20350.871385116705</v>
      </c>
      <c r="I255" s="20">
        <f t="shared" si="2"/>
        <v>43232.948547085172</v>
      </c>
      <c r="J255" s="17">
        <f t="shared" si="7"/>
        <v>4.323294854708517</v>
      </c>
    </row>
    <row r="256" spans="1:10" ht="12" customHeight="1" x14ac:dyDescent="0.3">
      <c r="A256" s="1">
        <f t="shared" si="3"/>
        <v>43875</v>
      </c>
      <c r="B256" s="20">
        <v>11469.780219780218</v>
      </c>
      <c r="C256" s="20">
        <f t="shared" si="4"/>
        <v>22950.758480649783</v>
      </c>
      <c r="D256" s="21" t="str">
        <f t="shared" si="0"/>
        <v>200214</v>
      </c>
      <c r="E256" s="22">
        <f t="shared" si="5"/>
        <v>0.45861200000000002</v>
      </c>
      <c r="F256" s="9">
        <v>0</v>
      </c>
      <c r="G256" s="14">
        <f t="shared" si="1"/>
        <v>102.10758172483003</v>
      </c>
      <c r="H256" s="24">
        <f t="shared" si="6"/>
        <v>20294.567248300267</v>
      </c>
      <c r="I256" s="20">
        <f t="shared" si="2"/>
        <v>43245.325728950047</v>
      </c>
      <c r="J256" s="17">
        <f t="shared" si="7"/>
        <v>4.3245325728950048</v>
      </c>
    </row>
    <row r="257" spans="1:12" ht="12" customHeight="1" x14ac:dyDescent="0.3">
      <c r="A257" s="1">
        <f t="shared" si="3"/>
        <v>43878</v>
      </c>
      <c r="B257" s="20">
        <v>11675.824175824177</v>
      </c>
      <c r="C257" s="20">
        <f t="shared" si="4"/>
        <v>23156.802436693742</v>
      </c>
      <c r="D257" s="21" t="str">
        <f t="shared" si="0"/>
        <v>200217</v>
      </c>
      <c r="E257" s="22">
        <f t="shared" si="5"/>
        <v>0.45861200000000002</v>
      </c>
      <c r="F257" s="9">
        <v>0</v>
      </c>
      <c r="G257" s="14">
        <f t="shared" si="1"/>
        <v>102.09069058411005</v>
      </c>
      <c r="H257" s="24">
        <f t="shared" si="6"/>
        <v>20125.655841100495</v>
      </c>
      <c r="I257" s="20">
        <f t="shared" si="2"/>
        <v>43282.458277794241</v>
      </c>
      <c r="J257" s="17">
        <f t="shared" si="7"/>
        <v>4.3282458277794245</v>
      </c>
    </row>
    <row r="258" spans="1:12" ht="12" customHeight="1" x14ac:dyDescent="0.3">
      <c r="A258" s="1">
        <f t="shared" si="3"/>
        <v>43879</v>
      </c>
      <c r="B258" s="20">
        <v>11744.505494505494</v>
      </c>
      <c r="C258" s="20">
        <f t="shared" si="4"/>
        <v>23225.483755375062</v>
      </c>
      <c r="D258" s="21" t="str">
        <f t="shared" si="0"/>
        <v>200218</v>
      </c>
      <c r="E258" s="22">
        <f t="shared" si="5"/>
        <v>0.45861200000000002</v>
      </c>
      <c r="F258" s="9">
        <v>0</v>
      </c>
      <c r="G258" s="14">
        <f t="shared" si="1"/>
        <v>102.08506023731239</v>
      </c>
      <c r="H258" s="24">
        <f t="shared" si="6"/>
        <v>20069.352373123904</v>
      </c>
      <c r="I258" s="20">
        <f t="shared" si="2"/>
        <v>43294.836128498966</v>
      </c>
      <c r="J258" s="17">
        <f t="shared" si="7"/>
        <v>4.3294836128498968</v>
      </c>
    </row>
    <row r="259" spans="1:12" ht="12" customHeight="1" x14ac:dyDescent="0.3">
      <c r="A259" s="1">
        <f t="shared" si="3"/>
        <v>43880</v>
      </c>
      <c r="B259" s="20">
        <v>11813.186813186814</v>
      </c>
      <c r="C259" s="20">
        <f t="shared" si="4"/>
        <v>23294.165074056382</v>
      </c>
      <c r="D259" s="21" t="str">
        <f t="shared" si="0"/>
        <v>200219</v>
      </c>
      <c r="E259" s="22">
        <f t="shared" si="5"/>
        <v>0.45861200000000002</v>
      </c>
      <c r="F259" s="9">
        <v>0</v>
      </c>
      <c r="G259" s="14">
        <f t="shared" si="1"/>
        <v>102.07942990723625</v>
      </c>
      <c r="H259" s="24">
        <f t="shared" si="6"/>
        <v>20013.049072362464</v>
      </c>
      <c r="I259" s="20">
        <f t="shared" si="2"/>
        <v>43307.214146418846</v>
      </c>
      <c r="J259" s="17">
        <f t="shared" si="7"/>
        <v>4.3307214146418849</v>
      </c>
      <c r="K259" s="14"/>
      <c r="L259" s="14"/>
    </row>
    <row r="260" spans="1:12" ht="12" customHeight="1" x14ac:dyDescent="0.3">
      <c r="A260" s="1">
        <f t="shared" si="3"/>
        <v>43881</v>
      </c>
      <c r="B260" s="20">
        <v>11881.868131868132</v>
      </c>
      <c r="C260" s="20">
        <f t="shared" si="4"/>
        <v>23362.846392737702</v>
      </c>
      <c r="D260" s="21" t="str">
        <f t="shared" si="0"/>
        <v>200220</v>
      </c>
      <c r="E260" s="22">
        <f t="shared" si="5"/>
        <v>0.45861200000000002</v>
      </c>
      <c r="F260" s="9">
        <v>0</v>
      </c>
      <c r="G260" s="14">
        <f t="shared" si="1"/>
        <v>102.07379959388187</v>
      </c>
      <c r="H260" s="24">
        <f t="shared" si="6"/>
        <v>19956.745938818727</v>
      </c>
      <c r="I260" s="20">
        <f t="shared" si="2"/>
        <v>43319.592331556429</v>
      </c>
      <c r="J260" s="17">
        <f t="shared" si="7"/>
        <v>4.3319592331556436</v>
      </c>
    </row>
    <row r="261" spans="1:12" ht="12" customHeight="1" x14ac:dyDescent="0.3">
      <c r="A261" s="1">
        <f t="shared" si="3"/>
        <v>43882</v>
      </c>
      <c r="B261" s="20">
        <v>11950.54945054945</v>
      </c>
      <c r="C261" s="20">
        <f t="shared" si="4"/>
        <v>23431.527711419018</v>
      </c>
      <c r="D261" s="21" t="str">
        <f t="shared" si="0"/>
        <v>200221</v>
      </c>
      <c r="E261" s="22">
        <f t="shared" si="5"/>
        <v>0.45861200000000002</v>
      </c>
      <c r="F261" s="9">
        <v>0</v>
      </c>
      <c r="G261" s="14">
        <f t="shared" si="1"/>
        <v>102.06816929724941</v>
      </c>
      <c r="H261" s="24">
        <f t="shared" si="6"/>
        <v>19900.442972494118</v>
      </c>
      <c r="I261" s="20">
        <f t="shared" si="2"/>
        <v>43331.97068391314</v>
      </c>
      <c r="J261" s="17">
        <f t="shared" si="7"/>
        <v>4.3331970683913141</v>
      </c>
    </row>
    <row r="262" spans="1:12" ht="12" customHeight="1" x14ac:dyDescent="0.3">
      <c r="A262" s="1">
        <f t="shared" si="3"/>
        <v>43885</v>
      </c>
      <c r="B262" s="20">
        <v>12156.593406593405</v>
      </c>
      <c r="C262" s="20">
        <f t="shared" si="4"/>
        <v>23637.571667462973</v>
      </c>
      <c r="D262" s="21" t="str">
        <f t="shared" si="0"/>
        <v>200224</v>
      </c>
      <c r="E262" s="22">
        <f t="shared" si="5"/>
        <v>0.45861200000000002</v>
      </c>
      <c r="F262" s="9">
        <v>0</v>
      </c>
      <c r="G262" s="14">
        <f t="shared" si="1"/>
        <v>102.05127850768588</v>
      </c>
      <c r="H262" s="24">
        <f t="shared" si="6"/>
        <v>19731.535076858789</v>
      </c>
      <c r="I262" s="20">
        <f t="shared" si="2"/>
        <v>43369.106744321762</v>
      </c>
      <c r="J262" s="17">
        <f t="shared" si="7"/>
        <v>4.3369106744321764</v>
      </c>
    </row>
    <row r="263" spans="1:12" ht="12" customHeight="1" x14ac:dyDescent="0.3">
      <c r="A263" s="1">
        <f t="shared" si="3"/>
        <v>43886</v>
      </c>
      <c r="B263" s="20">
        <v>12225.274725274723</v>
      </c>
      <c r="C263" s="20">
        <f t="shared" si="4"/>
        <v>23706.252986144289</v>
      </c>
      <c r="D263" s="21" t="str">
        <f t="shared" si="0"/>
        <v>200225</v>
      </c>
      <c r="E263" s="22">
        <f t="shared" si="5"/>
        <v>0.45861200000000002</v>
      </c>
      <c r="F263" s="9">
        <v>0</v>
      </c>
      <c r="G263" s="14">
        <f t="shared" si="1"/>
        <v>102.04564827794334</v>
      </c>
      <c r="H263" s="24">
        <f t="shared" si="6"/>
        <v>19675.232779433431</v>
      </c>
      <c r="I263" s="20">
        <f t="shared" si="2"/>
        <v>43381.485765577716</v>
      </c>
      <c r="J263" s="17">
        <f t="shared" si="7"/>
        <v>4.3381485765577716</v>
      </c>
    </row>
    <row r="264" spans="1:12" ht="12" customHeight="1" x14ac:dyDescent="0.3">
      <c r="A264" s="1">
        <f t="shared" si="3"/>
        <v>43887</v>
      </c>
      <c r="B264" s="20">
        <v>12293.956043956043</v>
      </c>
      <c r="C264" s="20">
        <f t="shared" si="4"/>
        <v>23774.934304825609</v>
      </c>
      <c r="D264" s="21" t="str">
        <f t="shared" si="0"/>
        <v>200226</v>
      </c>
      <c r="E264" s="22">
        <f t="shared" si="5"/>
        <v>0.45861200000000002</v>
      </c>
      <c r="F264" s="9">
        <v>0</v>
      </c>
      <c r="G264" s="14">
        <f t="shared" si="1"/>
        <v>102.04001806492384</v>
      </c>
      <c r="H264" s="24">
        <f t="shared" si="6"/>
        <v>19618.93064923842</v>
      </c>
      <c r="I264" s="20">
        <f t="shared" si="2"/>
        <v>43393.864954064033</v>
      </c>
      <c r="J264" s="17">
        <f t="shared" si="7"/>
        <v>4.3393864954064032</v>
      </c>
    </row>
    <row r="265" spans="1:12" ht="12" customHeight="1" x14ac:dyDescent="0.3">
      <c r="A265" s="1">
        <f t="shared" si="3"/>
        <v>43888</v>
      </c>
      <c r="B265" s="20">
        <v>12362.637362637364</v>
      </c>
      <c r="C265" s="20">
        <f t="shared" si="4"/>
        <v>23843.615623506928</v>
      </c>
      <c r="D265" s="21" t="str">
        <f t="shared" si="0"/>
        <v>200227</v>
      </c>
      <c r="E265" s="22">
        <f t="shared" si="5"/>
        <v>0.45861200000000002</v>
      </c>
      <c r="F265" s="9">
        <v>0</v>
      </c>
      <c r="G265" s="14">
        <f t="shared" si="1"/>
        <v>102.03438786862756</v>
      </c>
      <c r="H265" s="24">
        <f t="shared" si="6"/>
        <v>19562.628686275613</v>
      </c>
      <c r="I265" s="20">
        <f t="shared" si="2"/>
        <v>43406.244309782545</v>
      </c>
      <c r="J265" s="17">
        <f t="shared" si="7"/>
        <v>4.340624430978254</v>
      </c>
    </row>
    <row r="266" spans="1:12" ht="12" customHeight="1" x14ac:dyDescent="0.3">
      <c r="A266" s="1">
        <f t="shared" si="3"/>
        <v>43889</v>
      </c>
      <c r="B266" s="20">
        <v>12431.31868131868</v>
      </c>
      <c r="C266" s="20">
        <f t="shared" si="4"/>
        <v>23912.296942188244</v>
      </c>
      <c r="D266" s="21" t="str">
        <f t="shared" si="0"/>
        <v>200228</v>
      </c>
      <c r="E266" s="22">
        <f t="shared" si="5"/>
        <v>0.45861200000000002</v>
      </c>
      <c r="F266" s="9">
        <v>0</v>
      </c>
      <c r="G266" s="14">
        <f t="shared" si="1"/>
        <v>102.02875768905473</v>
      </c>
      <c r="H266" s="24">
        <f t="shared" si="6"/>
        <v>19506.326890547283</v>
      </c>
      <c r="I266" s="20">
        <f t="shared" si="2"/>
        <v>43418.623832735524</v>
      </c>
      <c r="J266" s="17">
        <f t="shared" si="7"/>
        <v>4.3418623832735523</v>
      </c>
    </row>
    <row r="267" spans="1:12" ht="12" customHeight="1" x14ac:dyDescent="0.3">
      <c r="A267" s="1">
        <f t="shared" si="3"/>
        <v>43892</v>
      </c>
      <c r="B267" s="20">
        <v>135.86956521739131</v>
      </c>
      <c r="C267" s="20">
        <f t="shared" si="4"/>
        <v>24116.847826086956</v>
      </c>
      <c r="D267" s="21" t="str">
        <f t="shared" si="0"/>
        <v>200302</v>
      </c>
      <c r="E267" s="22">
        <f t="shared" si="5"/>
        <v>0.45861200000000002</v>
      </c>
      <c r="F267" s="9">
        <v>0</v>
      </c>
      <c r="G267" s="14">
        <f t="shared" si="1"/>
        <v>102.02309571420422</v>
      </c>
      <c r="H267" s="24">
        <f t="shared" si="6"/>
        <v>19449.707142042171</v>
      </c>
      <c r="I267" s="20">
        <f t="shared" si="2"/>
        <v>43566.55496812913</v>
      </c>
      <c r="J267" s="17">
        <f t="shared" si="7"/>
        <v>4.3566554968129134</v>
      </c>
    </row>
    <row r="268" spans="1:12" ht="12" customHeight="1" x14ac:dyDescent="0.3">
      <c r="A268" s="1">
        <f t="shared" si="3"/>
        <v>43893</v>
      </c>
      <c r="B268" s="20">
        <v>203.80434782608697</v>
      </c>
      <c r="C268" s="20">
        <f t="shared" si="4"/>
        <v>24184.782608695652</v>
      </c>
      <c r="D268" s="21" t="str">
        <f t="shared" si="0"/>
        <v>200303</v>
      </c>
      <c r="E268" s="22">
        <f t="shared" si="5"/>
        <v>0.45861200000000002</v>
      </c>
      <c r="F268" s="9">
        <v>0</v>
      </c>
      <c r="G268" s="14">
        <f t="shared" si="1"/>
        <v>102.01744966177462</v>
      </c>
      <c r="H268" s="24">
        <f t="shared" si="6"/>
        <v>19393.246617746201</v>
      </c>
      <c r="I268" s="20">
        <f t="shared" si="2"/>
        <v>43578.029226441853</v>
      </c>
      <c r="J268" s="17">
        <f t="shared" si="7"/>
        <v>4.3578029226441855</v>
      </c>
    </row>
    <row r="269" spans="1:12" ht="12" customHeight="1" x14ac:dyDescent="0.3">
      <c r="A269" s="1">
        <f t="shared" si="3"/>
        <v>43894</v>
      </c>
      <c r="B269" s="20">
        <v>271.73913043478262</v>
      </c>
      <c r="C269" s="20">
        <f t="shared" si="4"/>
        <v>24252.717391304348</v>
      </c>
      <c r="D269" s="21" t="str">
        <f t="shared" si="0"/>
        <v>200304</v>
      </c>
      <c r="E269" s="22">
        <f t="shared" si="5"/>
        <v>0.45861200000000002</v>
      </c>
      <c r="F269" s="9">
        <v>0</v>
      </c>
      <c r="G269" s="14">
        <f t="shared" si="1"/>
        <v>102.01180362586672</v>
      </c>
      <c r="H269" s="24">
        <f t="shared" si="6"/>
        <v>19336.786258667187</v>
      </c>
      <c r="I269" s="20">
        <f t="shared" si="2"/>
        <v>43589.503649971535</v>
      </c>
      <c r="J269" s="17">
        <f t="shared" si="7"/>
        <v>4.3589503649971535</v>
      </c>
    </row>
    <row r="270" spans="1:12" ht="12" customHeight="1" x14ac:dyDescent="0.3">
      <c r="A270" s="1">
        <f t="shared" si="3"/>
        <v>43895</v>
      </c>
      <c r="B270" s="20">
        <v>339.67391304347825</v>
      </c>
      <c r="C270" s="20">
        <f t="shared" si="4"/>
        <v>24320.652173913044</v>
      </c>
      <c r="D270" s="21" t="str">
        <f t="shared" si="0"/>
        <v>200305</v>
      </c>
      <c r="E270" s="22">
        <f t="shared" si="5"/>
        <v>0.45861200000000002</v>
      </c>
      <c r="F270" s="9">
        <v>0</v>
      </c>
      <c r="G270" s="14">
        <f t="shared" si="1"/>
        <v>102.00615760648068</v>
      </c>
      <c r="H270" s="24">
        <f t="shared" si="6"/>
        <v>19280.326064806843</v>
      </c>
      <c r="I270" s="20">
        <f t="shared" si="2"/>
        <v>43600.978238719887</v>
      </c>
      <c r="J270" s="17">
        <f t="shared" si="7"/>
        <v>4.360097823871989</v>
      </c>
    </row>
    <row r="271" spans="1:12" ht="12" customHeight="1" x14ac:dyDescent="0.3">
      <c r="A271" s="1">
        <f t="shared" si="3"/>
        <v>43896</v>
      </c>
      <c r="B271" s="20">
        <v>407.60869565217394</v>
      </c>
      <c r="C271" s="20">
        <f t="shared" si="4"/>
        <v>24388.58695652174</v>
      </c>
      <c r="D271" s="21" t="str">
        <f t="shared" si="0"/>
        <v>200306</v>
      </c>
      <c r="E271" s="22">
        <f t="shared" si="5"/>
        <v>0.45861200000000002</v>
      </c>
      <c r="F271" s="9">
        <v>0</v>
      </c>
      <c r="G271" s="14">
        <f t="shared" si="1"/>
        <v>102.00051160361673</v>
      </c>
      <c r="H271" s="24">
        <f t="shared" si="6"/>
        <v>19223.866036167296</v>
      </c>
      <c r="I271" s="20">
        <f t="shared" si="2"/>
        <v>43612.452992689039</v>
      </c>
      <c r="J271" s="17">
        <f t="shared" si="7"/>
        <v>4.3612452992689041</v>
      </c>
    </row>
    <row r="272" spans="1:12" ht="12" customHeight="1" x14ac:dyDescent="0.3">
      <c r="A272" s="1">
        <f t="shared" si="3"/>
        <v>43899</v>
      </c>
      <c r="B272" s="20">
        <v>611.41304347826087</v>
      </c>
      <c r="C272" s="20">
        <f t="shared" si="4"/>
        <v>24592.391304347828</v>
      </c>
      <c r="D272" s="21" t="str">
        <f t="shared" si="0"/>
        <v>200309</v>
      </c>
      <c r="E272" s="22">
        <f t="shared" si="5"/>
        <v>0.45861200000000002</v>
      </c>
      <c r="F272" s="9">
        <v>0</v>
      </c>
      <c r="G272" s="14">
        <f t="shared" si="1"/>
        <v>101.9835736941596</v>
      </c>
      <c r="H272" s="24">
        <f t="shared" si="6"/>
        <v>19054.486941596024</v>
      </c>
      <c r="I272" s="20">
        <f t="shared" si="2"/>
        <v>43646.878245943852</v>
      </c>
      <c r="J272" s="17">
        <f t="shared" si="7"/>
        <v>4.3646878245943848</v>
      </c>
    </row>
    <row r="273" spans="1:10" ht="12" customHeight="1" x14ac:dyDescent="0.3">
      <c r="A273" s="1">
        <f t="shared" si="3"/>
        <v>43900</v>
      </c>
      <c r="B273" s="20">
        <v>679.3478260869565</v>
      </c>
      <c r="C273" s="20">
        <f t="shared" si="4"/>
        <v>24660.326086956524</v>
      </c>
      <c r="D273" s="21" t="str">
        <f t="shared" si="0"/>
        <v>200310</v>
      </c>
      <c r="E273" s="22">
        <f t="shared" si="5"/>
        <v>0.45861200000000002</v>
      </c>
      <c r="F273" s="9">
        <v>0</v>
      </c>
      <c r="G273" s="14">
        <f t="shared" si="1"/>
        <v>101.97792775738614</v>
      </c>
      <c r="H273" s="24">
        <f t="shared" si="6"/>
        <v>18998.027573861407</v>
      </c>
      <c r="I273" s="20">
        <f t="shared" si="2"/>
        <v>43658.353660817927</v>
      </c>
      <c r="J273" s="17">
        <f t="shared" si="7"/>
        <v>4.3658353660817921</v>
      </c>
    </row>
    <row r="274" spans="1:10" ht="12" customHeight="1" x14ac:dyDescent="0.3">
      <c r="A274" s="1">
        <f t="shared" si="3"/>
        <v>43901</v>
      </c>
      <c r="B274" s="20">
        <v>747.28260869565213</v>
      </c>
      <c r="C274" s="20">
        <f t="shared" si="4"/>
        <v>24728.26086956522</v>
      </c>
      <c r="D274" s="21" t="str">
        <f t="shared" si="0"/>
        <v>200311</v>
      </c>
      <c r="E274" s="22">
        <f t="shared" si="5"/>
        <v>0.45861200000000002</v>
      </c>
      <c r="F274" s="9">
        <v>0</v>
      </c>
      <c r="G274" s="14">
        <f t="shared" si="1"/>
        <v>101.97228183713585</v>
      </c>
      <c r="H274" s="24">
        <f t="shared" si="6"/>
        <v>18941.568371358528</v>
      </c>
      <c r="I274" s="20">
        <f t="shared" si="2"/>
        <v>43669.829240923747</v>
      </c>
      <c r="J274" s="17">
        <f t="shared" si="7"/>
        <v>4.3669829240923743</v>
      </c>
    </row>
    <row r="275" spans="1:10" ht="12" customHeight="1" x14ac:dyDescent="0.3">
      <c r="A275" s="1">
        <f t="shared" si="3"/>
        <v>43902</v>
      </c>
      <c r="B275" s="20">
        <v>815.21739130434787</v>
      </c>
      <c r="C275" s="20">
        <f t="shared" si="4"/>
        <v>24796.195652173916</v>
      </c>
      <c r="D275" s="21" t="str">
        <f t="shared" si="0"/>
        <v>200312</v>
      </c>
      <c r="E275" s="22">
        <f t="shared" si="5"/>
        <v>0.45861200000000002</v>
      </c>
      <c r="F275" s="9">
        <v>0</v>
      </c>
      <c r="G275" s="14">
        <f t="shared" si="1"/>
        <v>101.96663593340891</v>
      </c>
      <c r="H275" s="24">
        <f t="shared" si="6"/>
        <v>18885.109334089095</v>
      </c>
      <c r="I275" s="20">
        <f t="shared" si="2"/>
        <v>43681.304986263014</v>
      </c>
      <c r="J275" s="17">
        <f t="shared" si="7"/>
        <v>4.368130498626301</v>
      </c>
    </row>
    <row r="276" spans="1:10" ht="12" customHeight="1" x14ac:dyDescent="0.3">
      <c r="A276" s="1">
        <f t="shared" si="3"/>
        <v>43903</v>
      </c>
      <c r="B276" s="20">
        <v>883.15217391304338</v>
      </c>
      <c r="C276" s="20">
        <f t="shared" si="4"/>
        <v>24864.130434782612</v>
      </c>
      <c r="D276" s="21" t="str">
        <f t="shared" si="0"/>
        <v>200313</v>
      </c>
      <c r="E276" s="22">
        <f t="shared" si="5"/>
        <v>0.45861200000000002</v>
      </c>
      <c r="F276" s="9">
        <v>0</v>
      </c>
      <c r="G276" s="14">
        <f t="shared" si="1"/>
        <v>101.96099004620552</v>
      </c>
      <c r="H276" s="24">
        <f t="shared" si="6"/>
        <v>18828.650462055237</v>
      </c>
      <c r="I276" s="20">
        <f t="shared" si="2"/>
        <v>43692.780896837852</v>
      </c>
      <c r="J276" s="17">
        <f t="shared" si="7"/>
        <v>4.3692780896837853</v>
      </c>
    </row>
    <row r="277" spans="1:10" ht="12" customHeight="1" x14ac:dyDescent="0.3">
      <c r="A277" s="1">
        <f t="shared" si="3"/>
        <v>43906</v>
      </c>
      <c r="B277" s="20">
        <v>1086.9565217391305</v>
      </c>
      <c r="C277" s="20">
        <f t="shared" si="4"/>
        <v>25067.9347826087</v>
      </c>
      <c r="D277" s="21" t="str">
        <f t="shared" si="0"/>
        <v>200316</v>
      </c>
      <c r="E277" s="22">
        <f t="shared" si="5"/>
        <v>0.45861200000000002</v>
      </c>
      <c r="F277" s="9">
        <v>0</v>
      </c>
      <c r="G277" s="14">
        <f t="shared" si="1"/>
        <v>101.94405248373886</v>
      </c>
      <c r="H277" s="24">
        <f t="shared" si="6"/>
        <v>18659.274837388581</v>
      </c>
      <c r="I277" s="20">
        <f t="shared" si="2"/>
        <v>43727.20961999728</v>
      </c>
      <c r="J277" s="17">
        <f t="shared" si="7"/>
        <v>4.372720961999728</v>
      </c>
    </row>
    <row r="278" spans="1:10" ht="12" customHeight="1" x14ac:dyDescent="0.3">
      <c r="A278" s="1">
        <f t="shared" si="3"/>
        <v>43907</v>
      </c>
      <c r="B278" s="20">
        <v>1154.891304347826</v>
      </c>
      <c r="C278" s="20">
        <f t="shared" si="4"/>
        <v>25135.869565217396</v>
      </c>
      <c r="D278" s="21" t="str">
        <f t="shared" si="0"/>
        <v>200317</v>
      </c>
      <c r="E278" s="22">
        <f t="shared" si="5"/>
        <v>0.45861200000000002</v>
      </c>
      <c r="F278" s="9">
        <v>0</v>
      </c>
      <c r="G278" s="14">
        <f t="shared" si="1"/>
        <v>101.93840666263183</v>
      </c>
      <c r="H278" s="24">
        <f t="shared" si="6"/>
        <v>18602.816626318345</v>
      </c>
      <c r="I278" s="20">
        <f t="shared" si="2"/>
        <v>43738.686191535744</v>
      </c>
      <c r="J278" s="17">
        <f t="shared" si="7"/>
        <v>4.3738686191535745</v>
      </c>
    </row>
    <row r="279" spans="1:10" ht="12" customHeight="1" x14ac:dyDescent="0.3">
      <c r="A279" s="1">
        <f t="shared" si="3"/>
        <v>43908</v>
      </c>
      <c r="B279" s="20">
        <v>1222.8260869565217</v>
      </c>
      <c r="C279" s="20">
        <f t="shared" si="4"/>
        <v>25203.804347826092</v>
      </c>
      <c r="D279" s="21" t="str">
        <f t="shared" si="0"/>
        <v>200318</v>
      </c>
      <c r="E279" s="22">
        <f t="shared" si="5"/>
        <v>0.45861200000000002</v>
      </c>
      <c r="F279" s="9">
        <v>0</v>
      </c>
      <c r="G279" s="14">
        <f t="shared" si="1"/>
        <v>101.93276085804945</v>
      </c>
      <c r="H279" s="24">
        <f t="shared" si="6"/>
        <v>18546.358580494485</v>
      </c>
      <c r="I279" s="20">
        <f t="shared" si="2"/>
        <v>43750.162928320577</v>
      </c>
      <c r="J279" s="17">
        <f t="shared" si="7"/>
        <v>4.3750162928320577</v>
      </c>
    </row>
    <row r="280" spans="1:10" ht="12" customHeight="1" x14ac:dyDescent="0.3">
      <c r="A280" s="1">
        <f t="shared" si="3"/>
        <v>43909</v>
      </c>
      <c r="B280" s="20">
        <v>1290.7608695652173</v>
      </c>
      <c r="C280" s="20">
        <f t="shared" si="4"/>
        <v>25271.739130434788</v>
      </c>
      <c r="D280" s="21" t="str">
        <f t="shared" si="0"/>
        <v>200319</v>
      </c>
      <c r="E280" s="22">
        <f t="shared" si="5"/>
        <v>0.45861200000000002</v>
      </c>
      <c r="F280" s="9">
        <v>0</v>
      </c>
      <c r="G280" s="14">
        <f t="shared" si="1"/>
        <v>101.9271150699919</v>
      </c>
      <c r="H280" s="24">
        <f t="shared" si="6"/>
        <v>18489.900699918991</v>
      </c>
      <c r="I280" s="20">
        <f t="shared" si="2"/>
        <v>43761.639830353779</v>
      </c>
      <c r="J280" s="17">
        <f t="shared" si="7"/>
        <v>4.3761639830353776</v>
      </c>
    </row>
    <row r="281" spans="1:10" ht="12" customHeight="1" x14ac:dyDescent="0.3">
      <c r="A281" s="1">
        <f t="shared" si="3"/>
        <v>43910</v>
      </c>
      <c r="B281" s="20">
        <v>1358.695652173913</v>
      </c>
      <c r="C281" s="20">
        <f t="shared" si="4"/>
        <v>25339.673913043483</v>
      </c>
      <c r="D281" s="21" t="str">
        <f t="shared" si="0"/>
        <v>200320</v>
      </c>
      <c r="E281" s="22">
        <f t="shared" si="5"/>
        <v>0.45861200000000002</v>
      </c>
      <c r="F281" s="9">
        <v>0</v>
      </c>
      <c r="G281" s="14">
        <f t="shared" si="1"/>
        <v>101.92146929845936</v>
      </c>
      <c r="H281" s="24">
        <f t="shared" si="6"/>
        <v>18433.44298459357</v>
      </c>
      <c r="I281" s="20">
        <f t="shared" si="2"/>
        <v>43773.116897637054</v>
      </c>
      <c r="J281" s="17">
        <f t="shared" si="7"/>
        <v>4.3773116897637054</v>
      </c>
    </row>
    <row r="282" spans="1:10" ht="12" customHeight="1" x14ac:dyDescent="0.3">
      <c r="A282" s="1">
        <f t="shared" si="3"/>
        <v>43913</v>
      </c>
      <c r="B282" s="20">
        <v>1562.5</v>
      </c>
      <c r="C282" s="20">
        <f t="shared" si="4"/>
        <v>25543.478260869571</v>
      </c>
      <c r="D282" s="21" t="str">
        <f t="shared" si="0"/>
        <v>200323</v>
      </c>
      <c r="E282" s="22">
        <f t="shared" si="5"/>
        <v>0.45861200000000002</v>
      </c>
      <c r="F282" s="9">
        <v>0</v>
      </c>
      <c r="G282" s="14">
        <f t="shared" si="1"/>
        <v>101.90453208301406</v>
      </c>
      <c r="H282" s="24">
        <f t="shared" si="6"/>
        <v>18264.070830140608</v>
      </c>
      <c r="I282" s="20">
        <f t="shared" si="2"/>
        <v>43807.54909101018</v>
      </c>
      <c r="J282" s="17">
        <f t="shared" si="7"/>
        <v>4.3807549091010181</v>
      </c>
    </row>
    <row r="283" spans="1:10" ht="12" customHeight="1" x14ac:dyDescent="0.3">
      <c r="A283" s="1">
        <f t="shared" si="3"/>
        <v>43914</v>
      </c>
      <c r="B283" s="20">
        <v>1630.4347826086957</v>
      </c>
      <c r="C283" s="20">
        <f t="shared" si="4"/>
        <v>25611.413043478267</v>
      </c>
      <c r="D283" s="21" t="str">
        <f t="shared" si="0"/>
        <v>200324</v>
      </c>
      <c r="E283" s="22">
        <f t="shared" si="5"/>
        <v>0.45861200000000002</v>
      </c>
      <c r="F283" s="9">
        <v>0</v>
      </c>
      <c r="G283" s="14">
        <f t="shared" si="1"/>
        <v>101.89888637758381</v>
      </c>
      <c r="H283" s="24">
        <f t="shared" si="6"/>
        <v>18207.613775838068</v>
      </c>
      <c r="I283" s="20">
        <f t="shared" si="2"/>
        <v>43819.026819316336</v>
      </c>
      <c r="J283" s="17">
        <f t="shared" si="7"/>
        <v>4.3819026819316331</v>
      </c>
    </row>
    <row r="284" spans="1:10" ht="12" customHeight="1" x14ac:dyDescent="0.3">
      <c r="A284" s="1">
        <f t="shared" si="3"/>
        <v>43915</v>
      </c>
      <c r="B284" s="20">
        <v>1698.3695652173913</v>
      </c>
      <c r="C284" s="20">
        <f t="shared" si="4"/>
        <v>25679.347826086963</v>
      </c>
      <c r="D284" s="21" t="str">
        <f t="shared" si="0"/>
        <v>200325</v>
      </c>
      <c r="E284" s="22">
        <f t="shared" si="5"/>
        <v>0.45861200000000002</v>
      </c>
      <c r="F284" s="9">
        <v>0</v>
      </c>
      <c r="G284" s="14">
        <f t="shared" si="1"/>
        <v>101.89324068867961</v>
      </c>
      <c r="H284" s="24">
        <f t="shared" si="6"/>
        <v>18151.156886796114</v>
      </c>
      <c r="I284" s="20">
        <f t="shared" si="2"/>
        <v>43830.504712883077</v>
      </c>
      <c r="J284" s="17">
        <f t="shared" si="7"/>
        <v>4.3830504712883078</v>
      </c>
    </row>
    <row r="285" spans="1:10" ht="12" customHeight="1" x14ac:dyDescent="0.3">
      <c r="A285" s="1">
        <f t="shared" si="3"/>
        <v>43916</v>
      </c>
      <c r="B285" s="20">
        <v>1766.3043478260868</v>
      </c>
      <c r="C285" s="20">
        <f t="shared" si="4"/>
        <v>25747.282608695659</v>
      </c>
      <c r="D285" s="21" t="str">
        <f t="shared" si="0"/>
        <v>200326</v>
      </c>
      <c r="E285" s="22">
        <f t="shared" si="5"/>
        <v>0.45861200000000002</v>
      </c>
      <c r="F285" s="9">
        <v>0</v>
      </c>
      <c r="G285" s="14">
        <f t="shared" si="1"/>
        <v>101.88759501630174</v>
      </c>
      <c r="H285" s="24">
        <f t="shared" si="6"/>
        <v>18094.700163017449</v>
      </c>
      <c r="I285" s="20">
        <f t="shared" si="2"/>
        <v>43841.982771713112</v>
      </c>
      <c r="J285" s="17">
        <f t="shared" si="7"/>
        <v>4.3841982771713113</v>
      </c>
    </row>
    <row r="286" spans="1:10" ht="12" customHeight="1" x14ac:dyDescent="0.3">
      <c r="A286" s="1">
        <f t="shared" si="3"/>
        <v>43917</v>
      </c>
      <c r="B286" s="20">
        <v>1834.2391304347827</v>
      </c>
      <c r="C286" s="20">
        <f t="shared" si="4"/>
        <v>25815.217391304355</v>
      </c>
      <c r="D286" s="21" t="str">
        <f t="shared" si="0"/>
        <v>200327</v>
      </c>
      <c r="E286" s="22">
        <f t="shared" si="5"/>
        <v>0.45861200000000002</v>
      </c>
      <c r="F286" s="9">
        <v>0</v>
      </c>
      <c r="G286" s="14">
        <f t="shared" si="1"/>
        <v>101.88194936045036</v>
      </c>
      <c r="H286" s="24">
        <f t="shared" si="6"/>
        <v>18038.243604503634</v>
      </c>
      <c r="I286" s="20">
        <f t="shared" si="2"/>
        <v>43853.460995807989</v>
      </c>
      <c r="J286" s="17">
        <f t="shared" si="7"/>
        <v>4.3853460995807989</v>
      </c>
    </row>
    <row r="287" spans="1:10" ht="12" customHeight="1" x14ac:dyDescent="0.3">
      <c r="A287" s="1">
        <f t="shared" si="3"/>
        <v>43920</v>
      </c>
      <c r="B287" s="20">
        <v>2038.0434782608697</v>
      </c>
      <c r="C287" s="20">
        <f t="shared" si="4"/>
        <v>26019.021739130443</v>
      </c>
      <c r="D287" s="21" t="str">
        <f t="shared" si="0"/>
        <v>200330</v>
      </c>
      <c r="E287" s="22">
        <f t="shared" si="5"/>
        <v>0.45861200000000002</v>
      </c>
      <c r="F287" s="9">
        <v>0</v>
      </c>
      <c r="G287" s="14">
        <f t="shared" si="1"/>
        <v>101.8650124920574</v>
      </c>
      <c r="H287" s="24">
        <f t="shared" si="6"/>
        <v>17868.874920574028</v>
      </c>
      <c r="I287" s="20">
        <f t="shared" si="2"/>
        <v>43887.896659704471</v>
      </c>
      <c r="J287" s="17">
        <f t="shared" si="7"/>
        <v>4.3887896659704477</v>
      </c>
    </row>
    <row r="288" spans="1:10" ht="12" customHeight="1" x14ac:dyDescent="0.3">
      <c r="A288" s="1">
        <f t="shared" si="3"/>
        <v>43921</v>
      </c>
      <c r="B288" s="20">
        <v>2105.978260869565</v>
      </c>
      <c r="C288" s="20">
        <f t="shared" si="4"/>
        <v>26086.956521739139</v>
      </c>
      <c r="D288" s="21" t="str">
        <f t="shared" si="0"/>
        <v>200331</v>
      </c>
      <c r="E288" s="22">
        <f t="shared" si="5"/>
        <v>0.45861200000000002</v>
      </c>
      <c r="F288" s="9">
        <v>0</v>
      </c>
      <c r="G288" s="14">
        <f t="shared" si="1"/>
        <v>101.85936690231418</v>
      </c>
      <c r="H288" s="24">
        <f t="shared" si="6"/>
        <v>17812.419023141785</v>
      </c>
      <c r="I288" s="20">
        <f t="shared" si="2"/>
        <v>43899.375544880924</v>
      </c>
      <c r="J288" s="17">
        <f t="shared" si="7"/>
        <v>4.3899375544880925</v>
      </c>
    </row>
    <row r="289" spans="1:10" ht="12" customHeight="1" x14ac:dyDescent="0.3">
      <c r="A289" s="1">
        <f t="shared" si="3"/>
        <v>43922</v>
      </c>
      <c r="B289" s="20">
        <v>2173.913043478261</v>
      </c>
      <c r="C289" s="20">
        <f t="shared" si="4"/>
        <v>26154.891304347835</v>
      </c>
      <c r="D289" s="21" t="str">
        <f t="shared" si="0"/>
        <v>200401</v>
      </c>
      <c r="E289" s="22">
        <f t="shared" si="5"/>
        <v>0.45861200000000002</v>
      </c>
      <c r="F289" s="9">
        <v>0</v>
      </c>
      <c r="G289" s="14">
        <f t="shared" si="1"/>
        <v>101.85372132909849</v>
      </c>
      <c r="H289" s="24">
        <f t="shared" si="6"/>
        <v>17755.963290984906</v>
      </c>
      <c r="I289" s="20">
        <f t="shared" si="2"/>
        <v>43910.854595332741</v>
      </c>
      <c r="J289" s="17">
        <f t="shared" si="7"/>
        <v>4.391085459533274</v>
      </c>
    </row>
    <row r="290" spans="1:10" ht="12" customHeight="1" x14ac:dyDescent="0.3">
      <c r="A290" s="1">
        <f t="shared" si="3"/>
        <v>43923</v>
      </c>
      <c r="B290" s="20">
        <v>2241.8478260869565</v>
      </c>
      <c r="C290" s="20">
        <f t="shared" si="4"/>
        <v>26222.826086956531</v>
      </c>
      <c r="D290" s="21" t="str">
        <f t="shared" si="0"/>
        <v>200402</v>
      </c>
      <c r="E290" s="22">
        <f t="shared" si="5"/>
        <v>0.45861200000000002</v>
      </c>
      <c r="F290" s="9">
        <v>0</v>
      </c>
      <c r="G290" s="14">
        <f t="shared" si="1"/>
        <v>101.8480757724106</v>
      </c>
      <c r="H290" s="24">
        <f t="shared" si="6"/>
        <v>17699.507724105955</v>
      </c>
      <c r="I290" s="20">
        <f t="shared" si="2"/>
        <v>43922.33381106249</v>
      </c>
      <c r="J290" s="17">
        <f t="shared" si="7"/>
        <v>4.3922333811062488</v>
      </c>
    </row>
    <row r="291" spans="1:10" ht="12" customHeight="1" x14ac:dyDescent="0.3">
      <c r="A291" s="1">
        <f t="shared" si="3"/>
        <v>43924</v>
      </c>
      <c r="B291" s="20">
        <v>2309.782608695652</v>
      </c>
      <c r="C291" s="20">
        <f t="shared" si="4"/>
        <v>26290.760869565227</v>
      </c>
      <c r="D291" s="21" t="str">
        <f t="shared" si="0"/>
        <v>200403</v>
      </c>
      <c r="E291" s="22">
        <f t="shared" si="5"/>
        <v>0.45861200000000002</v>
      </c>
      <c r="F291" s="9">
        <v>0</v>
      </c>
      <c r="G291" s="14">
        <f t="shared" si="1"/>
        <v>101.84243023225069</v>
      </c>
      <c r="H291" s="24">
        <f t="shared" si="6"/>
        <v>17643.052322506919</v>
      </c>
      <c r="I291" s="20">
        <f t="shared" si="2"/>
        <v>43933.81319207215</v>
      </c>
      <c r="J291" s="17">
        <f t="shared" si="7"/>
        <v>4.3933813192072151</v>
      </c>
    </row>
    <row r="292" spans="1:10" ht="12" customHeight="1" x14ac:dyDescent="0.3">
      <c r="A292" s="1">
        <f t="shared" si="3"/>
        <v>43927</v>
      </c>
      <c r="B292" s="20">
        <v>2513.5869565217395</v>
      </c>
      <c r="C292" s="20">
        <f t="shared" si="4"/>
        <v>26494.565217391315</v>
      </c>
      <c r="D292" s="21" t="str">
        <f t="shared" si="0"/>
        <v>200406</v>
      </c>
      <c r="E292" s="22">
        <f t="shared" si="5"/>
        <v>0.45861200000000002</v>
      </c>
      <c r="F292" s="9">
        <v>0</v>
      </c>
      <c r="G292" s="14">
        <f t="shared" si="1"/>
        <v>101.82549371094095</v>
      </c>
      <c r="H292" s="24">
        <f t="shared" si="6"/>
        <v>17473.687109409468</v>
      </c>
      <c r="I292" s="20">
        <f t="shared" si="2"/>
        <v>43968.252326800779</v>
      </c>
      <c r="J292" s="17">
        <f t="shared" si="7"/>
        <v>4.3968252326800776</v>
      </c>
    </row>
    <row r="293" spans="1:10" ht="12" customHeight="1" x14ac:dyDescent="0.3">
      <c r="A293" s="1">
        <f t="shared" si="3"/>
        <v>43928</v>
      </c>
      <c r="B293" s="20">
        <v>2581.5217391304345</v>
      </c>
      <c r="C293" s="20">
        <f t="shared" si="4"/>
        <v>26562.500000000011</v>
      </c>
      <c r="D293" s="21" t="str">
        <f t="shared" si="0"/>
        <v>200407</v>
      </c>
      <c r="E293" s="22">
        <f t="shared" si="5"/>
        <v>0.45861200000000002</v>
      </c>
      <c r="F293" s="9">
        <v>0</v>
      </c>
      <c r="G293" s="14">
        <f t="shared" si="1"/>
        <v>101.81984823689507</v>
      </c>
      <c r="H293" s="24">
        <f t="shared" si="6"/>
        <v>17417.232368950692</v>
      </c>
      <c r="I293" s="20">
        <f t="shared" si="2"/>
        <v>43979.732368950703</v>
      </c>
      <c r="J293" s="17">
        <f t="shared" si="7"/>
        <v>4.3979732368950701</v>
      </c>
    </row>
    <row r="294" spans="1:10" ht="12" customHeight="1" x14ac:dyDescent="0.3">
      <c r="A294" s="1">
        <f t="shared" si="3"/>
        <v>43929</v>
      </c>
      <c r="B294" s="20">
        <v>2649.45652173913</v>
      </c>
      <c r="C294" s="20">
        <f t="shared" si="4"/>
        <v>26630.434782608707</v>
      </c>
      <c r="D294" s="21" t="str">
        <f t="shared" si="0"/>
        <v>200408</v>
      </c>
      <c r="E294" s="22">
        <f t="shared" si="5"/>
        <v>0.45861200000000002</v>
      </c>
      <c r="F294" s="9">
        <v>0</v>
      </c>
      <c r="G294" s="14">
        <f t="shared" si="1"/>
        <v>101.81420277937822</v>
      </c>
      <c r="H294" s="24">
        <f t="shared" si="6"/>
        <v>17360.777793782203</v>
      </c>
      <c r="I294" s="20">
        <f t="shared" si="2"/>
        <v>43991.212576390913</v>
      </c>
      <c r="J294" s="17">
        <f t="shared" si="7"/>
        <v>4.3991212576390915</v>
      </c>
    </row>
    <row r="295" spans="1:10" ht="12" customHeight="1" x14ac:dyDescent="0.3">
      <c r="A295" s="1">
        <f t="shared" si="3"/>
        <v>43930</v>
      </c>
      <c r="B295" s="20">
        <v>2717.391304347826</v>
      </c>
      <c r="C295" s="20">
        <f t="shared" si="4"/>
        <v>26698.369565217403</v>
      </c>
      <c r="D295" s="21" t="str">
        <f t="shared" si="0"/>
        <v>200409</v>
      </c>
      <c r="E295" s="22">
        <f t="shared" si="5"/>
        <v>0.45861200000000002</v>
      </c>
      <c r="F295" s="9">
        <v>0</v>
      </c>
      <c r="G295" s="14">
        <f t="shared" si="1"/>
        <v>101.80855733839061</v>
      </c>
      <c r="H295" s="24">
        <f t="shared" si="6"/>
        <v>17304.323383906136</v>
      </c>
      <c r="I295" s="20">
        <f t="shared" si="2"/>
        <v>44002.692949123535</v>
      </c>
      <c r="J295" s="17">
        <f t="shared" si="7"/>
        <v>4.400269294912353</v>
      </c>
    </row>
    <row r="296" spans="1:10" ht="12" customHeight="1" x14ac:dyDescent="0.3">
      <c r="A296" s="1">
        <f t="shared" si="3"/>
        <v>43931</v>
      </c>
      <c r="B296" s="20">
        <v>2785.3260869565215</v>
      </c>
      <c r="C296" s="20">
        <f t="shared" si="4"/>
        <v>26766.304347826099</v>
      </c>
      <c r="D296" s="21" t="str">
        <f t="shared" si="0"/>
        <v>200410</v>
      </c>
      <c r="E296" s="22">
        <f t="shared" si="5"/>
        <v>0.45861200000000002</v>
      </c>
      <c r="F296" s="9">
        <v>0</v>
      </c>
      <c r="G296" s="14">
        <f t="shared" si="1"/>
        <v>101.80291191393246</v>
      </c>
      <c r="H296" s="24">
        <f t="shared" si="6"/>
        <v>17247.869139324619</v>
      </c>
      <c r="I296" s="20">
        <f t="shared" si="2"/>
        <v>44014.173487150721</v>
      </c>
      <c r="J296" s="17">
        <f t="shared" si="7"/>
        <v>4.4014173487150723</v>
      </c>
    </row>
    <row r="297" spans="1:10" ht="12" customHeight="1" x14ac:dyDescent="0.3">
      <c r="A297" s="1">
        <f t="shared" si="3"/>
        <v>43934</v>
      </c>
      <c r="B297" s="20">
        <v>2989.1304347826085</v>
      </c>
      <c r="C297" s="20">
        <f t="shared" si="4"/>
        <v>26970.108695652187</v>
      </c>
      <c r="D297" s="21" t="str">
        <f t="shared" si="0"/>
        <v>200413</v>
      </c>
      <c r="E297" s="22">
        <f t="shared" si="5"/>
        <v>0.45861200000000002</v>
      </c>
      <c r="F297" s="9">
        <v>0</v>
      </c>
      <c r="G297" s="14">
        <f t="shared" si="1"/>
        <v>101.78597573973684</v>
      </c>
      <c r="H297" s="24">
        <f t="shared" si="6"/>
        <v>17078.507397368412</v>
      </c>
      <c r="I297" s="20">
        <f t="shared" si="2"/>
        <v>44048.616093020595</v>
      </c>
      <c r="J297" s="17">
        <f t="shared" si="7"/>
        <v>4.4048616093020598</v>
      </c>
    </row>
    <row r="298" spans="1:10" ht="12" customHeight="1" x14ac:dyDescent="0.3">
      <c r="A298" s="1">
        <f t="shared" si="3"/>
        <v>43935</v>
      </c>
      <c r="B298" s="20">
        <v>3057.0652173913045</v>
      </c>
      <c r="C298" s="20">
        <f t="shared" si="4"/>
        <v>27038.043478260883</v>
      </c>
      <c r="D298" s="21" t="str">
        <f t="shared" si="0"/>
        <v>200414</v>
      </c>
      <c r="E298" s="22">
        <f t="shared" si="5"/>
        <v>0.45861200000000002</v>
      </c>
      <c r="F298" s="9">
        <v>0</v>
      </c>
      <c r="G298" s="14">
        <f t="shared" si="1"/>
        <v>101.78033038139861</v>
      </c>
      <c r="H298" s="24">
        <f t="shared" si="6"/>
        <v>17022.053813986135</v>
      </c>
      <c r="I298" s="20">
        <f t="shared" si="2"/>
        <v>44060.097292247017</v>
      </c>
      <c r="J298" s="17">
        <f t="shared" si="7"/>
        <v>4.406009729224702</v>
      </c>
    </row>
    <row r="299" spans="1:10" ht="12" customHeight="1" x14ac:dyDescent="0.3">
      <c r="A299" s="1">
        <f t="shared" si="3"/>
        <v>43936</v>
      </c>
      <c r="B299" s="20">
        <v>3125</v>
      </c>
      <c r="C299" s="20">
        <f t="shared" si="4"/>
        <v>27105.978260869579</v>
      </c>
      <c r="D299" s="21" t="str">
        <f t="shared" si="0"/>
        <v>200415</v>
      </c>
      <c r="E299" s="22">
        <f t="shared" si="5"/>
        <v>0.45861200000000002</v>
      </c>
      <c r="F299" s="9">
        <v>0</v>
      </c>
      <c r="G299" s="14">
        <f t="shared" si="1"/>
        <v>101.77468503959091</v>
      </c>
      <c r="H299" s="24">
        <f t="shared" si="6"/>
        <v>16965.600395909063</v>
      </c>
      <c r="I299" s="20">
        <f t="shared" si="2"/>
        <v>44071.578656778642</v>
      </c>
      <c r="J299" s="17">
        <f t="shared" si="7"/>
        <v>4.4071578656778643</v>
      </c>
    </row>
    <row r="300" spans="1:10" ht="12" customHeight="1" x14ac:dyDescent="0.3">
      <c r="A300" s="1">
        <f t="shared" si="3"/>
        <v>43937</v>
      </c>
      <c r="B300" s="20">
        <v>3192.9347826086964</v>
      </c>
      <c r="C300" s="20">
        <f t="shared" si="4"/>
        <v>27173.913043478275</v>
      </c>
      <c r="D300" s="21" t="str">
        <f t="shared" si="0"/>
        <v>200416</v>
      </c>
      <c r="E300" s="22">
        <f t="shared" si="5"/>
        <v>0.45861200000000002</v>
      </c>
      <c r="F300" s="9">
        <v>0</v>
      </c>
      <c r="G300" s="14">
        <f t="shared" si="1"/>
        <v>101.76903971431389</v>
      </c>
      <c r="H300" s="24">
        <f t="shared" si="6"/>
        <v>16909.147143138911</v>
      </c>
      <c r="I300" s="20">
        <f t="shared" si="2"/>
        <v>44083.060186617186</v>
      </c>
      <c r="J300" s="17">
        <f t="shared" si="7"/>
        <v>4.4083060186617189</v>
      </c>
    </row>
    <row r="301" spans="1:10" ht="12" customHeight="1" x14ac:dyDescent="0.3">
      <c r="A301" s="1">
        <f t="shared" si="3"/>
        <v>43938</v>
      </c>
      <c r="B301" s="20">
        <v>3260.8695652173915</v>
      </c>
      <c r="C301" s="20">
        <f t="shared" si="4"/>
        <v>27241.847826086971</v>
      </c>
      <c r="D301" s="21" t="str">
        <f t="shared" si="0"/>
        <v>200417</v>
      </c>
      <c r="E301" s="22">
        <f t="shared" si="5"/>
        <v>0.45861200000000002</v>
      </c>
      <c r="F301" s="9">
        <v>0</v>
      </c>
      <c r="G301" s="14">
        <f t="shared" si="1"/>
        <v>101.76339440556782</v>
      </c>
      <c r="H301" s="24">
        <f t="shared" si="6"/>
        <v>16852.694055678228</v>
      </c>
      <c r="I301" s="20">
        <f t="shared" si="2"/>
        <v>44094.541881765195</v>
      </c>
      <c r="J301" s="17">
        <f t="shared" si="7"/>
        <v>4.4094541881765199</v>
      </c>
    </row>
    <row r="302" spans="1:10" ht="12" customHeight="1" x14ac:dyDescent="0.3">
      <c r="A302" s="1">
        <f t="shared" si="3"/>
        <v>43941</v>
      </c>
      <c r="B302" s="20">
        <v>3464.6739130434785</v>
      </c>
      <c r="C302" s="20">
        <f t="shared" si="4"/>
        <v>27445.652173913059</v>
      </c>
      <c r="D302" s="21" t="str">
        <f t="shared" si="0"/>
        <v>200420</v>
      </c>
      <c r="E302" s="22">
        <f t="shared" si="5"/>
        <v>0.45861200000000002</v>
      </c>
      <c r="F302" s="9">
        <v>0</v>
      </c>
      <c r="G302" s="14">
        <f t="shared" si="1"/>
        <v>101.74645857851725</v>
      </c>
      <c r="H302" s="24">
        <f t="shared" si="6"/>
        <v>16683.335785172487</v>
      </c>
      <c r="I302" s="20">
        <f t="shared" si="2"/>
        <v>44128.987959085542</v>
      </c>
      <c r="J302" s="17">
        <f t="shared" si="7"/>
        <v>4.4128987959085544</v>
      </c>
    </row>
    <row r="303" spans="1:10" ht="12" customHeight="1" x14ac:dyDescent="0.3">
      <c r="A303" s="1">
        <f t="shared" si="3"/>
        <v>43942</v>
      </c>
      <c r="B303" s="20">
        <v>3532.6086956521735</v>
      </c>
      <c r="C303" s="20">
        <f t="shared" si="4"/>
        <v>27513.586956521754</v>
      </c>
      <c r="D303" s="21" t="str">
        <f t="shared" si="0"/>
        <v>200421</v>
      </c>
      <c r="E303" s="22">
        <f t="shared" si="5"/>
        <v>0.45861200000000002</v>
      </c>
      <c r="F303" s="9">
        <v>0</v>
      </c>
      <c r="G303" s="14">
        <f t="shared" si="1"/>
        <v>101.740813335897</v>
      </c>
      <c r="H303" s="24">
        <f t="shared" si="6"/>
        <v>16626.883358970019</v>
      </c>
      <c r="I303" s="20">
        <f t="shared" si="2"/>
        <v>44140.470315491773</v>
      </c>
      <c r="J303" s="17">
        <f t="shared" si="7"/>
        <v>4.4140470315491775</v>
      </c>
    </row>
    <row r="304" spans="1:10" ht="12" customHeight="1" x14ac:dyDescent="0.3">
      <c r="A304" s="1">
        <f t="shared" si="3"/>
        <v>43943</v>
      </c>
      <c r="B304" s="20">
        <v>3600.54347826087</v>
      </c>
      <c r="C304" s="20">
        <f t="shared" si="4"/>
        <v>27581.52173913045</v>
      </c>
      <c r="D304" s="21" t="str">
        <f t="shared" si="0"/>
        <v>200422</v>
      </c>
      <c r="E304" s="22">
        <f t="shared" si="5"/>
        <v>0.45861200000000002</v>
      </c>
      <c r="F304" s="9">
        <v>0</v>
      </c>
      <c r="G304" s="14">
        <f t="shared" si="1"/>
        <v>101.73516810980871</v>
      </c>
      <c r="H304" s="24">
        <f t="shared" si="6"/>
        <v>16570.431098087112</v>
      </c>
      <c r="I304" s="20">
        <f t="shared" si="2"/>
        <v>44151.952837217563</v>
      </c>
      <c r="J304" s="17">
        <f t="shared" si="7"/>
        <v>4.4151952837217561</v>
      </c>
    </row>
    <row r="305" spans="1:10" ht="12" customHeight="1" x14ac:dyDescent="0.3">
      <c r="A305" s="1">
        <f t="shared" si="3"/>
        <v>43944</v>
      </c>
      <c r="B305" s="20">
        <v>3668.4782608695655</v>
      </c>
      <c r="C305" s="20">
        <f t="shared" si="4"/>
        <v>27649.456521739146</v>
      </c>
      <c r="D305" s="21" t="str">
        <f t="shared" si="0"/>
        <v>200423</v>
      </c>
      <c r="E305" s="22">
        <f t="shared" si="5"/>
        <v>0.45861200000000002</v>
      </c>
      <c r="F305" s="9">
        <v>0</v>
      </c>
      <c r="G305" s="14">
        <f t="shared" si="1"/>
        <v>101.7295229002526</v>
      </c>
      <c r="H305" s="24">
        <f t="shared" si="6"/>
        <v>16513.979002526041</v>
      </c>
      <c r="I305" s="20">
        <f t="shared" si="2"/>
        <v>44163.435524265187</v>
      </c>
      <c r="J305" s="17">
        <f t="shared" si="7"/>
        <v>4.4163435524265191</v>
      </c>
    </row>
    <row r="306" spans="1:10" ht="12" customHeight="1" x14ac:dyDescent="0.3">
      <c r="A306" s="1">
        <f t="shared" si="3"/>
        <v>43945</v>
      </c>
      <c r="B306" s="20">
        <v>3736.4130434782605</v>
      </c>
      <c r="C306" s="20">
        <f t="shared" si="4"/>
        <v>27717.391304347842</v>
      </c>
      <c r="D306" s="21" t="str">
        <f t="shared" si="0"/>
        <v>200424</v>
      </c>
      <c r="E306" s="22">
        <f t="shared" si="5"/>
        <v>0.45861200000000002</v>
      </c>
      <c r="F306" s="9">
        <v>0</v>
      </c>
      <c r="G306" s="14">
        <f t="shared" si="1"/>
        <v>101.72387770722892</v>
      </c>
      <c r="H306" s="24">
        <f t="shared" si="6"/>
        <v>16457.527072289224</v>
      </c>
      <c r="I306" s="20">
        <f t="shared" si="2"/>
        <v>44174.91837663707</v>
      </c>
      <c r="J306" s="17">
        <f t="shared" si="7"/>
        <v>4.4174918376637073</v>
      </c>
    </row>
    <row r="307" spans="1:10" ht="12" customHeight="1" x14ac:dyDescent="0.3">
      <c r="A307" s="1">
        <f t="shared" si="3"/>
        <v>43948</v>
      </c>
      <c r="B307" s="20">
        <v>3940.217391304348</v>
      </c>
      <c r="C307" s="20">
        <f t="shared" si="4"/>
        <v>27921.19565217393</v>
      </c>
      <c r="D307" s="21" t="str">
        <f t="shared" si="0"/>
        <v>200427</v>
      </c>
      <c r="E307" s="22">
        <f t="shared" si="5"/>
        <v>0.45861200000000002</v>
      </c>
      <c r="F307" s="9">
        <v>0</v>
      </c>
      <c r="G307" s="14">
        <f t="shared" si="1"/>
        <v>101.70694222735435</v>
      </c>
      <c r="H307" s="24">
        <f t="shared" si="6"/>
        <v>16288.172273543465</v>
      </c>
      <c r="I307" s="20">
        <f t="shared" si="2"/>
        <v>44209.367925717394</v>
      </c>
      <c r="J307" s="17">
        <f t="shared" si="7"/>
        <v>4.4209367925717391</v>
      </c>
    </row>
    <row r="308" spans="1:10" ht="12" customHeight="1" x14ac:dyDescent="0.3">
      <c r="A308" s="1">
        <f t="shared" si="3"/>
        <v>43949</v>
      </c>
      <c r="B308" s="20">
        <v>4008.152173913043</v>
      </c>
      <c r="C308" s="20">
        <f t="shared" si="4"/>
        <v>27989.130434782626</v>
      </c>
      <c r="D308" s="21" t="str">
        <f t="shared" si="0"/>
        <v>200428</v>
      </c>
      <c r="E308" s="22">
        <f t="shared" si="5"/>
        <v>0.45861200000000002</v>
      </c>
      <c r="F308" s="9">
        <v>0</v>
      </c>
      <c r="G308" s="14">
        <f t="shared" si="1"/>
        <v>101.70129710046233</v>
      </c>
      <c r="H308" s="24">
        <f t="shared" si="6"/>
        <v>16231.721004623269</v>
      </c>
      <c r="I308" s="20">
        <f t="shared" si="2"/>
        <v>44220.851439405895</v>
      </c>
      <c r="J308" s="17">
        <f t="shared" si="7"/>
        <v>4.4220851439405893</v>
      </c>
    </row>
    <row r="309" spans="1:10" ht="12" customHeight="1" x14ac:dyDescent="0.3">
      <c r="A309" s="1">
        <f t="shared" si="3"/>
        <v>43950</v>
      </c>
      <c r="B309" s="20">
        <v>4076.0869565217395</v>
      </c>
      <c r="C309" s="20">
        <f t="shared" si="4"/>
        <v>28057.065217391322</v>
      </c>
      <c r="D309" s="21" t="str">
        <f t="shared" si="0"/>
        <v>200429</v>
      </c>
      <c r="E309" s="22">
        <f t="shared" si="5"/>
        <v>0.45861200000000002</v>
      </c>
      <c r="F309" s="9">
        <v>0</v>
      </c>
      <c r="G309" s="14">
        <f t="shared" si="1"/>
        <v>101.69565199010378</v>
      </c>
      <c r="H309" s="24">
        <f t="shared" si="6"/>
        <v>16175.269901037835</v>
      </c>
      <c r="I309" s="20">
        <f t="shared" si="2"/>
        <v>44232.335118429153</v>
      </c>
      <c r="J309" s="17">
        <f t="shared" si="7"/>
        <v>4.4232335118429154</v>
      </c>
    </row>
    <row r="310" spans="1:10" ht="12" customHeight="1" x14ac:dyDescent="0.3">
      <c r="A310" s="1">
        <f t="shared" si="3"/>
        <v>43951</v>
      </c>
      <c r="B310" s="20">
        <v>4144.021739130435</v>
      </c>
      <c r="C310" s="20">
        <f t="shared" si="4"/>
        <v>28125.000000000018</v>
      </c>
      <c r="D310" s="21" t="str">
        <f t="shared" si="0"/>
        <v>200430</v>
      </c>
      <c r="E310" s="22">
        <f t="shared" si="5"/>
        <v>0.45861200000000002</v>
      </c>
      <c r="F310" s="9">
        <v>0</v>
      </c>
      <c r="G310" s="14">
        <f t="shared" si="1"/>
        <v>101.6900068962789</v>
      </c>
      <c r="H310" s="24">
        <f t="shared" si="6"/>
        <v>16118.818962789022</v>
      </c>
      <c r="I310" s="20">
        <f t="shared" si="2"/>
        <v>44243.818962789039</v>
      </c>
      <c r="J310" s="17">
        <f t="shared" si="7"/>
        <v>4.4243818962789039</v>
      </c>
    </row>
    <row r="311" spans="1:10" ht="12" customHeight="1" x14ac:dyDescent="0.3">
      <c r="A311" s="1">
        <f t="shared" si="3"/>
        <v>43952</v>
      </c>
      <c r="B311" s="20">
        <v>4211.95652173913</v>
      </c>
      <c r="C311" s="20">
        <f t="shared" si="4"/>
        <v>28192.934782608714</v>
      </c>
      <c r="D311" s="21" t="str">
        <f t="shared" si="0"/>
        <v>200501</v>
      </c>
      <c r="E311" s="22">
        <f t="shared" si="5"/>
        <v>0.45861200000000002</v>
      </c>
      <c r="F311" s="9">
        <v>0</v>
      </c>
      <c r="G311" s="14">
        <f t="shared" si="1"/>
        <v>101.6843618189879</v>
      </c>
      <c r="H311" s="24">
        <f t="shared" si="6"/>
        <v>16062.368189878953</v>
      </c>
      <c r="I311" s="20">
        <f t="shared" si="2"/>
        <v>44255.302972487669</v>
      </c>
      <c r="J311" s="17">
        <f t="shared" si="7"/>
        <v>4.4255302972487671</v>
      </c>
    </row>
    <row r="312" spans="1:10" ht="12" customHeight="1" x14ac:dyDescent="0.3">
      <c r="A312" s="1">
        <f t="shared" si="3"/>
        <v>43955</v>
      </c>
      <c r="B312" s="20">
        <v>4415.760869565217</v>
      </c>
      <c r="C312" s="20">
        <f t="shared" si="4"/>
        <v>28396.739130434802</v>
      </c>
      <c r="D312" s="21" t="str">
        <f t="shared" si="0"/>
        <v>200504</v>
      </c>
      <c r="E312" s="22">
        <f t="shared" si="5"/>
        <v>0.45861200000000002</v>
      </c>
      <c r="F312" s="9">
        <v>0</v>
      </c>
      <c r="G312" s="14">
        <f t="shared" si="1"/>
        <v>101.66742668632021</v>
      </c>
      <c r="H312" s="24">
        <f t="shared" si="6"/>
        <v>15893.01686320212</v>
      </c>
      <c r="I312" s="20">
        <f t="shared" si="2"/>
        <v>44289.755993636922</v>
      </c>
      <c r="J312" s="17">
        <f t="shared" si="7"/>
        <v>4.4289755993636923</v>
      </c>
    </row>
    <row r="313" spans="1:10" ht="12" customHeight="1" x14ac:dyDescent="0.3">
      <c r="A313" s="1">
        <f t="shared" si="3"/>
        <v>43956</v>
      </c>
      <c r="B313" s="20">
        <v>4483.695652173913</v>
      </c>
      <c r="C313" s="20">
        <f t="shared" si="4"/>
        <v>28464.673913043498</v>
      </c>
      <c r="D313" s="21" t="str">
        <f t="shared" si="0"/>
        <v>200505</v>
      </c>
      <c r="E313" s="22">
        <f t="shared" si="5"/>
        <v>0.45861200000000002</v>
      </c>
      <c r="F313" s="9">
        <v>0</v>
      </c>
      <c r="G313" s="14">
        <f t="shared" si="1"/>
        <v>101.66178167516681</v>
      </c>
      <c r="H313" s="24">
        <f t="shared" si="6"/>
        <v>15836.566751668073</v>
      </c>
      <c r="I313" s="20">
        <f t="shared" si="2"/>
        <v>44301.240664711571</v>
      </c>
      <c r="J313" s="17">
        <f t="shared" si="7"/>
        <v>4.4301240664711568</v>
      </c>
    </row>
    <row r="314" spans="1:10" ht="12" customHeight="1" x14ac:dyDescent="0.3">
      <c r="A314" s="1">
        <f t="shared" si="3"/>
        <v>43957</v>
      </c>
      <c r="B314" s="20">
        <v>4551.630434782609</v>
      </c>
      <c r="C314" s="20">
        <f t="shared" si="4"/>
        <v>28532.608695652194</v>
      </c>
      <c r="D314" s="21" t="str">
        <f t="shared" si="0"/>
        <v>200506</v>
      </c>
      <c r="E314" s="22">
        <f t="shared" si="5"/>
        <v>0.45861200000000002</v>
      </c>
      <c r="F314" s="9">
        <v>0</v>
      </c>
      <c r="G314" s="14">
        <f t="shared" si="1"/>
        <v>101.6561366805483</v>
      </c>
      <c r="H314" s="24">
        <f t="shared" si="6"/>
        <v>15780.116805483005</v>
      </c>
      <c r="I314" s="20">
        <f t="shared" si="2"/>
        <v>44312.725501135195</v>
      </c>
      <c r="J314" s="17">
        <f t="shared" si="7"/>
        <v>4.4312725501135191</v>
      </c>
    </row>
    <row r="315" spans="1:10" ht="12" customHeight="1" x14ac:dyDescent="0.3">
      <c r="A315" s="1">
        <f t="shared" si="3"/>
        <v>43958</v>
      </c>
      <c r="B315" s="20">
        <v>4619.565217391304</v>
      </c>
      <c r="C315" s="20">
        <f t="shared" si="4"/>
        <v>28600.54347826089</v>
      </c>
      <c r="D315" s="21" t="str">
        <f t="shared" si="0"/>
        <v>200507</v>
      </c>
      <c r="E315" s="22">
        <f t="shared" si="5"/>
        <v>0.45861200000000002</v>
      </c>
      <c r="F315" s="9">
        <v>0</v>
      </c>
      <c r="G315" s="14">
        <f t="shared" si="1"/>
        <v>101.65049170246493</v>
      </c>
      <c r="H315" s="24">
        <f t="shared" si="6"/>
        <v>15723.66702464933</v>
      </c>
      <c r="I315" s="20">
        <f t="shared" si="2"/>
        <v>44324.210502910224</v>
      </c>
      <c r="J315" s="17">
        <f t="shared" si="7"/>
        <v>4.4324210502910226</v>
      </c>
    </row>
    <row r="316" spans="1:10" ht="12" customHeight="1" x14ac:dyDescent="0.3">
      <c r="A316" s="1">
        <f t="shared" si="3"/>
        <v>43959</v>
      </c>
      <c r="B316" s="20">
        <v>4687.5</v>
      </c>
      <c r="C316" s="20">
        <f t="shared" si="4"/>
        <v>28668.478260869586</v>
      </c>
      <c r="D316" s="21" t="str">
        <f t="shared" si="0"/>
        <v>200508</v>
      </c>
      <c r="E316" s="22">
        <f t="shared" si="5"/>
        <v>0.45861200000000002</v>
      </c>
      <c r="F316" s="9">
        <v>0</v>
      </c>
      <c r="G316" s="14">
        <f t="shared" si="1"/>
        <v>101.64484674091695</v>
      </c>
      <c r="H316" s="24">
        <f t="shared" si="6"/>
        <v>15667.217409169467</v>
      </c>
      <c r="I316" s="20">
        <f t="shared" si="2"/>
        <v>44335.695670039051</v>
      </c>
      <c r="J316" s="17">
        <f t="shared" si="7"/>
        <v>4.4335695670039055</v>
      </c>
    </row>
    <row r="317" spans="1:10" ht="12" customHeight="1" x14ac:dyDescent="0.3">
      <c r="A317" s="1">
        <f t="shared" si="3"/>
        <v>43962</v>
      </c>
      <c r="B317" s="20">
        <v>4891.304347826087</v>
      </c>
      <c r="C317" s="20">
        <f t="shared" si="4"/>
        <v>28872.282608695674</v>
      </c>
      <c r="D317" s="21" t="str">
        <f t="shared" si="0"/>
        <v>200511</v>
      </c>
      <c r="E317" s="22">
        <f t="shared" si="5"/>
        <v>0.45861200000000002</v>
      </c>
      <c r="F317" s="9">
        <v>0</v>
      </c>
      <c r="G317" s="14">
        <f t="shared" si="1"/>
        <v>101.62791195548706</v>
      </c>
      <c r="H317" s="24">
        <f t="shared" si="6"/>
        <v>15497.869554870647</v>
      </c>
      <c r="I317" s="20">
        <f t="shared" si="2"/>
        <v>44370.152163566323</v>
      </c>
      <c r="J317" s="17">
        <f t="shared" si="7"/>
        <v>4.4370152163566328</v>
      </c>
    </row>
    <row r="318" spans="1:10" ht="12" customHeight="1" x14ac:dyDescent="0.3">
      <c r="A318" s="1">
        <f t="shared" si="3"/>
        <v>43963</v>
      </c>
      <c r="B318" s="20">
        <v>4959.239130434783</v>
      </c>
      <c r="C318" s="20">
        <f t="shared" si="4"/>
        <v>28940.21739130437</v>
      </c>
      <c r="D318" s="21" t="str">
        <f t="shared" si="0"/>
        <v>200512</v>
      </c>
      <c r="E318" s="22">
        <f t="shared" si="5"/>
        <v>0.45861200000000002</v>
      </c>
      <c r="F318" s="9">
        <v>0</v>
      </c>
      <c r="G318" s="14">
        <f t="shared" si="1"/>
        <v>101.62226706008255</v>
      </c>
      <c r="H318" s="24">
        <f t="shared" si="6"/>
        <v>15441.420600825495</v>
      </c>
      <c r="I318" s="20">
        <f t="shared" si="2"/>
        <v>44381.637992129865</v>
      </c>
      <c r="J318" s="17">
        <f t="shared" si="7"/>
        <v>4.4381637992129868</v>
      </c>
    </row>
    <row r="319" spans="1:10" ht="12" customHeight="1" x14ac:dyDescent="0.3">
      <c r="A319" s="1">
        <f t="shared" si="3"/>
        <v>43964</v>
      </c>
      <c r="B319" s="20">
        <v>5027.1739130434789</v>
      </c>
      <c r="C319" s="20">
        <f t="shared" si="4"/>
        <v>29008.152173913066</v>
      </c>
      <c r="D319" s="21" t="str">
        <f t="shared" si="0"/>
        <v>200513</v>
      </c>
      <c r="E319" s="22">
        <f t="shared" si="5"/>
        <v>0.45861200000000002</v>
      </c>
      <c r="F319" s="9">
        <v>0</v>
      </c>
      <c r="G319" s="14">
        <f t="shared" si="1"/>
        <v>101.61662218121442</v>
      </c>
      <c r="H319" s="24">
        <f t="shared" si="6"/>
        <v>15384.971812144244</v>
      </c>
      <c r="I319" s="20">
        <f t="shared" si="2"/>
        <v>44393.123986057311</v>
      </c>
      <c r="J319" s="17">
        <f t="shared" si="7"/>
        <v>4.4393123986057308</v>
      </c>
    </row>
    <row r="320" spans="1:10" ht="12" customHeight="1" x14ac:dyDescent="0.3">
      <c r="A320" s="1">
        <f t="shared" si="3"/>
        <v>43965</v>
      </c>
      <c r="B320" s="20">
        <v>5095.108695652174</v>
      </c>
      <c r="C320" s="20">
        <f t="shared" si="4"/>
        <v>29076.086956521762</v>
      </c>
      <c r="D320" s="21" t="str">
        <f t="shared" si="0"/>
        <v>200514</v>
      </c>
      <c r="E320" s="22">
        <f t="shared" si="5"/>
        <v>0.45861200000000002</v>
      </c>
      <c r="F320" s="9">
        <v>0</v>
      </c>
      <c r="G320" s="14">
        <f t="shared" si="1"/>
        <v>101.6109773188829</v>
      </c>
      <c r="H320" s="24">
        <f t="shared" si="6"/>
        <v>15328.523188829024</v>
      </c>
      <c r="I320" s="20">
        <f t="shared" si="2"/>
        <v>44404.610145350787</v>
      </c>
      <c r="J320" s="17">
        <f t="shared" si="7"/>
        <v>4.440461014535078</v>
      </c>
    </row>
    <row r="321" spans="1:10" ht="12" customHeight="1" x14ac:dyDescent="0.3">
      <c r="A321" s="1">
        <f t="shared" si="3"/>
        <v>43966</v>
      </c>
      <c r="B321" s="20">
        <v>5163.0434782608691</v>
      </c>
      <c r="C321" s="20">
        <f t="shared" si="4"/>
        <v>29144.021739130458</v>
      </c>
      <c r="D321" s="21" t="str">
        <f t="shared" si="0"/>
        <v>200515</v>
      </c>
      <c r="E321" s="22">
        <f t="shared" si="5"/>
        <v>0.45861200000000002</v>
      </c>
      <c r="F321" s="9">
        <v>0</v>
      </c>
      <c r="G321" s="14">
        <f t="shared" si="1"/>
        <v>101.6053324730882</v>
      </c>
      <c r="H321" s="24">
        <f t="shared" si="6"/>
        <v>15272.074730881966</v>
      </c>
      <c r="I321" s="20">
        <f t="shared" si="2"/>
        <v>44416.096470012424</v>
      </c>
      <c r="J321" s="17">
        <f t="shared" si="7"/>
        <v>4.4416096470012425</v>
      </c>
    </row>
    <row r="322" spans="1:10" ht="12" customHeight="1" x14ac:dyDescent="0.3">
      <c r="A322" s="1">
        <f t="shared" si="3"/>
        <v>43969</v>
      </c>
      <c r="B322" s="20">
        <v>5366.847826086957</v>
      </c>
      <c r="C322" s="20">
        <f t="shared" si="4"/>
        <v>29347.826086956546</v>
      </c>
      <c r="D322" s="21" t="str">
        <f t="shared" si="0"/>
        <v>200518</v>
      </c>
      <c r="E322" s="22">
        <f t="shared" si="5"/>
        <v>0.45861200000000002</v>
      </c>
      <c r="F322" s="9">
        <v>0</v>
      </c>
      <c r="G322" s="14">
        <f t="shared" si="1"/>
        <v>101.58839803492708</v>
      </c>
      <c r="H322" s="24">
        <f t="shared" si="6"/>
        <v>15102.730349270812</v>
      </c>
      <c r="I322" s="20">
        <f t="shared" si="2"/>
        <v>44450.556436227358</v>
      </c>
      <c r="J322" s="17">
        <f t="shared" si="7"/>
        <v>4.4450556436227355</v>
      </c>
    </row>
    <row r="323" spans="1:10" ht="12" customHeight="1" x14ac:dyDescent="0.3">
      <c r="A323" s="1">
        <f t="shared" si="3"/>
        <v>43970</v>
      </c>
      <c r="B323" s="20">
        <v>5434.782608695652</v>
      </c>
      <c r="C323" s="20">
        <f t="shared" si="4"/>
        <v>29415.760869565242</v>
      </c>
      <c r="D323" s="21" t="str">
        <f t="shared" si="0"/>
        <v>200519</v>
      </c>
      <c r="E323" s="22">
        <f t="shared" si="5"/>
        <v>0.45861200000000002</v>
      </c>
      <c r="F323" s="9">
        <v>0</v>
      </c>
      <c r="G323" s="14">
        <f t="shared" si="1"/>
        <v>101.58275325528174</v>
      </c>
      <c r="H323" s="24">
        <f t="shared" si="6"/>
        <v>15046.282552817445</v>
      </c>
      <c r="I323" s="20">
        <f t="shared" si="2"/>
        <v>44462.043422382689</v>
      </c>
      <c r="J323" s="17">
        <f t="shared" si="7"/>
        <v>4.4462043422382695</v>
      </c>
    </row>
    <row r="324" spans="1:10" ht="12" customHeight="1" x14ac:dyDescent="0.3">
      <c r="A324" s="1">
        <f t="shared" si="3"/>
        <v>43971</v>
      </c>
      <c r="B324" s="20">
        <v>5502.717391304348</v>
      </c>
      <c r="C324" s="20">
        <f t="shared" si="4"/>
        <v>29483.695652173938</v>
      </c>
      <c r="D324" s="21" t="str">
        <f t="shared" si="0"/>
        <v>200520</v>
      </c>
      <c r="E324" s="22">
        <f t="shared" si="5"/>
        <v>0.45861200000000002</v>
      </c>
      <c r="F324" s="9">
        <v>0</v>
      </c>
      <c r="G324" s="14">
        <f t="shared" si="1"/>
        <v>101.5771084921743</v>
      </c>
      <c r="H324" s="24">
        <f t="shared" si="6"/>
        <v>14989.834921743039</v>
      </c>
      <c r="I324" s="20">
        <f t="shared" si="2"/>
        <v>44473.530573916978</v>
      </c>
      <c r="J324" s="17">
        <f t="shared" si="7"/>
        <v>4.4473530573916982</v>
      </c>
    </row>
    <row r="325" spans="1:10" ht="12" customHeight="1" x14ac:dyDescent="0.3">
      <c r="A325" s="1">
        <f t="shared" si="3"/>
        <v>43972</v>
      </c>
      <c r="B325" s="20">
        <v>5570.652173913043</v>
      </c>
      <c r="C325" s="20">
        <f t="shared" si="4"/>
        <v>29551.630434782634</v>
      </c>
      <c r="D325" s="21" t="str">
        <f t="shared" si="0"/>
        <v>200521</v>
      </c>
      <c r="E325" s="22">
        <f t="shared" si="5"/>
        <v>0.45861200000000002</v>
      </c>
      <c r="F325" s="9">
        <v>0</v>
      </c>
      <c r="G325" s="14">
        <f t="shared" si="1"/>
        <v>101.57146374560493</v>
      </c>
      <c r="H325" s="24">
        <f t="shared" si="6"/>
        <v>14933.387456049302</v>
      </c>
      <c r="I325" s="20">
        <f t="shared" si="2"/>
        <v>44485.017890831936</v>
      </c>
      <c r="J325" s="17">
        <f t="shared" si="7"/>
        <v>4.4485017890831937</v>
      </c>
    </row>
    <row r="326" spans="1:10" ht="12" customHeight="1" x14ac:dyDescent="0.3">
      <c r="A326" s="1">
        <f t="shared" si="3"/>
        <v>43973</v>
      </c>
      <c r="B326" s="20">
        <v>5638.5869565217399</v>
      </c>
      <c r="C326" s="20">
        <f t="shared" si="4"/>
        <v>29619.565217391329</v>
      </c>
      <c r="D326" s="21" t="str">
        <f t="shared" si="0"/>
        <v>200522</v>
      </c>
      <c r="E326" s="22">
        <f t="shared" si="5"/>
        <v>0.45861200000000002</v>
      </c>
      <c r="F326" s="9">
        <v>0</v>
      </c>
      <c r="G326" s="14">
        <f t="shared" si="1"/>
        <v>101.56581901557384</v>
      </c>
      <c r="H326" s="24">
        <f t="shared" si="6"/>
        <v>14876.940155738366</v>
      </c>
      <c r="I326" s="20">
        <f t="shared" si="2"/>
        <v>44496.505373129694</v>
      </c>
      <c r="J326" s="17">
        <f t="shared" si="7"/>
        <v>4.4496505373129693</v>
      </c>
    </row>
    <row r="327" spans="1:10" ht="12" customHeight="1" x14ac:dyDescent="0.3">
      <c r="A327" s="1">
        <f t="shared" si="3"/>
        <v>43976</v>
      </c>
      <c r="B327" s="20">
        <v>5842.391304347826</v>
      </c>
      <c r="C327" s="20">
        <f t="shared" si="4"/>
        <v>29823.369565217414</v>
      </c>
      <c r="D327" s="21" t="str">
        <f t="shared" si="0"/>
        <v>200525</v>
      </c>
      <c r="E327" s="22">
        <f t="shared" si="5"/>
        <v>0.45861200000000002</v>
      </c>
      <c r="F327" s="9">
        <v>0</v>
      </c>
      <c r="G327" s="14">
        <f t="shared" si="1"/>
        <v>101.54888492471241</v>
      </c>
      <c r="H327" s="24">
        <f t="shared" si="6"/>
        <v>14707.59924712411</v>
      </c>
      <c r="I327" s="20">
        <f t="shared" si="2"/>
        <v>44530.968812341525</v>
      </c>
      <c r="J327" s="17">
        <f t="shared" si="7"/>
        <v>4.4530968812341527</v>
      </c>
    </row>
    <row r="328" spans="1:10" ht="12" customHeight="1" x14ac:dyDescent="0.3">
      <c r="A328" s="1">
        <f t="shared" si="3"/>
        <v>43977</v>
      </c>
      <c r="B328" s="20">
        <v>5910.3260869565211</v>
      </c>
      <c r="C328" s="20">
        <f t="shared" si="4"/>
        <v>29891.30434782611</v>
      </c>
      <c r="D328" s="21" t="str">
        <f t="shared" si="0"/>
        <v>200526</v>
      </c>
      <c r="E328" s="22">
        <f t="shared" si="5"/>
        <v>0.45861200000000002</v>
      </c>
      <c r="F328" s="9">
        <v>0</v>
      </c>
      <c r="G328" s="14">
        <f t="shared" si="1"/>
        <v>101.5432402608366</v>
      </c>
      <c r="H328" s="24">
        <f t="shared" si="6"/>
        <v>14651.152608365976</v>
      </c>
      <c r="I328" s="20">
        <f t="shared" si="2"/>
        <v>44542.456956192087</v>
      </c>
      <c r="J328" s="17">
        <f t="shared" si="7"/>
        <v>4.4542456956192087</v>
      </c>
    </row>
    <row r="329" spans="1:10" ht="12" customHeight="1" x14ac:dyDescent="0.3">
      <c r="A329" s="1">
        <f t="shared" si="3"/>
        <v>43978</v>
      </c>
      <c r="B329" s="20">
        <v>5978.260869565217</v>
      </c>
      <c r="C329" s="20">
        <f t="shared" si="4"/>
        <v>29959.239130434806</v>
      </c>
      <c r="D329" s="21" t="str">
        <f t="shared" si="0"/>
        <v>200527</v>
      </c>
      <c r="E329" s="22">
        <f t="shared" si="5"/>
        <v>0.45861200000000002</v>
      </c>
      <c r="F329" s="9">
        <v>0</v>
      </c>
      <c r="G329" s="14">
        <f t="shared" si="1"/>
        <v>101.5375956135001</v>
      </c>
      <c r="H329" s="24">
        <f t="shared" si="6"/>
        <v>14594.706135001019</v>
      </c>
      <c r="I329" s="20">
        <f t="shared" si="2"/>
        <v>44553.945265435825</v>
      </c>
      <c r="J329" s="17">
        <f t="shared" si="7"/>
        <v>4.4553945265435821</v>
      </c>
    </row>
    <row r="330" spans="1:10" ht="12" customHeight="1" x14ac:dyDescent="0.3">
      <c r="A330" s="1">
        <f t="shared" si="3"/>
        <v>43979</v>
      </c>
      <c r="B330" s="20">
        <v>6046.1956521739121</v>
      </c>
      <c r="C330" s="20">
        <f t="shared" si="4"/>
        <v>30027.173913043502</v>
      </c>
      <c r="D330" s="21" t="str">
        <f t="shared" si="0"/>
        <v>200528</v>
      </c>
      <c r="E330" s="22">
        <f t="shared" si="5"/>
        <v>0.45861200000000002</v>
      </c>
      <c r="F330" s="9">
        <v>0</v>
      </c>
      <c r="G330" s="14">
        <f t="shared" si="1"/>
        <v>101.53195098270321</v>
      </c>
      <c r="H330" s="24">
        <f t="shared" si="6"/>
        <v>14538.259827032078</v>
      </c>
      <c r="I330" s="20">
        <f t="shared" si="2"/>
        <v>44565.433740075576</v>
      </c>
      <c r="J330" s="17">
        <f t="shared" si="7"/>
        <v>4.4565433740075582</v>
      </c>
    </row>
    <row r="331" spans="1:10" ht="12" customHeight="1" x14ac:dyDescent="0.3">
      <c r="A331" s="1">
        <f t="shared" si="3"/>
        <v>43980</v>
      </c>
      <c r="B331" s="20">
        <v>6114.130434782609</v>
      </c>
      <c r="C331" s="20">
        <f t="shared" si="4"/>
        <v>30095.108695652198</v>
      </c>
      <c r="D331" s="21" t="str">
        <f t="shared" si="0"/>
        <v>200529</v>
      </c>
      <c r="E331" s="22">
        <f t="shared" si="5"/>
        <v>0.45861200000000002</v>
      </c>
      <c r="F331" s="9">
        <v>0</v>
      </c>
      <c r="G331" s="14">
        <f t="shared" si="1"/>
        <v>101.52630636844606</v>
      </c>
      <c r="H331" s="24">
        <f t="shared" si="6"/>
        <v>14481.813684460576</v>
      </c>
      <c r="I331" s="20">
        <f t="shared" si="2"/>
        <v>44576.922380112774</v>
      </c>
      <c r="J331" s="17">
        <f t="shared" si="7"/>
        <v>4.4576922380112771</v>
      </c>
    </row>
    <row r="332" spans="1:10" ht="12" customHeight="1" x14ac:dyDescent="0.3">
      <c r="A332" s="1">
        <f t="shared" si="3"/>
        <v>43983</v>
      </c>
      <c r="B332" s="20">
        <v>6317.934782608696</v>
      </c>
      <c r="C332" s="20">
        <f t="shared" si="4"/>
        <v>30298.913043478286</v>
      </c>
      <c r="D332" s="21" t="str">
        <f t="shared" si="0"/>
        <v>200601</v>
      </c>
      <c r="E332" s="22">
        <f t="shared" si="5"/>
        <v>0.45861200000000002</v>
      </c>
      <c r="F332" s="9">
        <v>0</v>
      </c>
      <c r="G332" s="14">
        <f t="shared" si="1"/>
        <v>101.50937262491527</v>
      </c>
      <c r="H332" s="24">
        <f t="shared" si="6"/>
        <v>14312.476249152725</v>
      </c>
      <c r="I332" s="20">
        <f t="shared" si="2"/>
        <v>44611.389292631007</v>
      </c>
      <c r="J332" s="17">
        <f t="shared" si="7"/>
        <v>4.4611389292631003</v>
      </c>
    </row>
    <row r="333" spans="1:10" ht="12" customHeight="1" x14ac:dyDescent="0.3">
      <c r="A333" s="1">
        <f t="shared" si="3"/>
        <v>43984</v>
      </c>
      <c r="B333" s="20">
        <v>6385.8695652173928</v>
      </c>
      <c r="C333" s="20">
        <f t="shared" si="4"/>
        <v>30366.847826086982</v>
      </c>
      <c r="D333" s="21" t="str">
        <f t="shared" si="0"/>
        <v>200602</v>
      </c>
      <c r="E333" s="22">
        <f t="shared" si="5"/>
        <v>0.45861200000000002</v>
      </c>
      <c r="F333" s="9">
        <v>0</v>
      </c>
      <c r="G333" s="14">
        <f t="shared" si="1"/>
        <v>101.50372807681927</v>
      </c>
      <c r="H333" s="24">
        <f t="shared" si="6"/>
        <v>14256.030768192715</v>
      </c>
      <c r="I333" s="20">
        <f t="shared" si="2"/>
        <v>44622.878594279697</v>
      </c>
      <c r="J333" s="17">
        <f t="shared" si="7"/>
        <v>4.4622878594279696</v>
      </c>
    </row>
    <row r="334" spans="1:10" ht="12" customHeight="1" x14ac:dyDescent="0.3">
      <c r="A334" s="1">
        <f t="shared" si="3"/>
        <v>43985</v>
      </c>
      <c r="B334" s="20">
        <v>6453.8043478260861</v>
      </c>
      <c r="C334" s="20">
        <f t="shared" si="4"/>
        <v>30434.782608695674</v>
      </c>
      <c r="D334" s="21" t="str">
        <f t="shared" si="0"/>
        <v>200603</v>
      </c>
      <c r="E334" s="22">
        <f t="shared" si="5"/>
        <v>0.45861200000000002</v>
      </c>
      <c r="F334" s="9">
        <v>0</v>
      </c>
      <c r="G334" s="14">
        <f t="shared" si="1"/>
        <v>101.49808354526407</v>
      </c>
      <c r="H334" s="24">
        <f t="shared" si="6"/>
        <v>14199.585452640662</v>
      </c>
      <c r="I334" s="20">
        <f t="shared" si="2"/>
        <v>44634.368061336339</v>
      </c>
      <c r="J334" s="17">
        <f t="shared" si="7"/>
        <v>4.4634368061336342</v>
      </c>
    </row>
    <row r="335" spans="1:10" ht="12" customHeight="1" x14ac:dyDescent="0.3">
      <c r="A335" s="1">
        <f t="shared" si="3"/>
        <v>43986</v>
      </c>
      <c r="B335" s="20">
        <v>6521.739130434783</v>
      </c>
      <c r="C335" s="20">
        <f t="shared" si="4"/>
        <v>30502.71739130437</v>
      </c>
      <c r="D335" s="21" t="str">
        <f t="shared" si="0"/>
        <v>200604</v>
      </c>
      <c r="E335" s="22">
        <f t="shared" si="5"/>
        <v>0.45861200000000002</v>
      </c>
      <c r="F335" s="9">
        <v>0</v>
      </c>
      <c r="G335" s="14">
        <f t="shared" si="1"/>
        <v>101.49243903024993</v>
      </c>
      <c r="H335" s="24">
        <f t="shared" si="6"/>
        <v>14143.140302499263</v>
      </c>
      <c r="I335" s="20">
        <f t="shared" si="2"/>
        <v>44645.857693803635</v>
      </c>
      <c r="J335" s="17">
        <f t="shared" si="7"/>
        <v>4.4645857693803634</v>
      </c>
    </row>
    <row r="336" spans="1:10" ht="12" customHeight="1" x14ac:dyDescent="0.3">
      <c r="A336" s="1">
        <f t="shared" si="3"/>
        <v>43987</v>
      </c>
      <c r="B336" s="20">
        <v>6589.6739130434789</v>
      </c>
      <c r="C336" s="20">
        <f t="shared" si="4"/>
        <v>30570.652173913066</v>
      </c>
      <c r="D336" s="21" t="str">
        <f t="shared" si="0"/>
        <v>200605</v>
      </c>
      <c r="E336" s="22">
        <f t="shared" si="5"/>
        <v>0.45861200000000002</v>
      </c>
      <c r="F336" s="9">
        <v>0</v>
      </c>
      <c r="G336" s="14">
        <f t="shared" si="1"/>
        <v>101.48679453177701</v>
      </c>
      <c r="H336" s="24">
        <f t="shared" si="6"/>
        <v>14086.69531777008</v>
      </c>
      <c r="I336" s="20">
        <f t="shared" si="2"/>
        <v>44657.347491683147</v>
      </c>
      <c r="J336" s="17">
        <f t="shared" si="7"/>
        <v>4.4657347491683144</v>
      </c>
    </row>
    <row r="337" spans="1:10" ht="12" customHeight="1" x14ac:dyDescent="0.3">
      <c r="A337" s="1">
        <f t="shared" si="3"/>
        <v>43990</v>
      </c>
      <c r="B337" s="20">
        <v>6793.478260869565</v>
      </c>
      <c r="C337" s="20">
        <f t="shared" si="4"/>
        <v>30774.45652173915</v>
      </c>
      <c r="D337" s="21" t="str">
        <f t="shared" si="0"/>
        <v>200608</v>
      </c>
      <c r="E337" s="22">
        <f t="shared" si="5"/>
        <v>0.45861200000000002</v>
      </c>
      <c r="F337" s="9">
        <v>0</v>
      </c>
      <c r="G337" s="14">
        <f t="shared" si="1"/>
        <v>101.46986113560779</v>
      </c>
      <c r="H337" s="24">
        <f t="shared" si="6"/>
        <v>13917.361356077863</v>
      </c>
      <c r="I337" s="20">
        <f t="shared" si="2"/>
        <v>44691.817877817011</v>
      </c>
      <c r="J337" s="17">
        <f t="shared" si="7"/>
        <v>4.4691817877817011</v>
      </c>
    </row>
    <row r="338" spans="1:10" ht="12" customHeight="1" x14ac:dyDescent="0.3">
      <c r="A338" s="1">
        <f t="shared" si="3"/>
        <v>43991</v>
      </c>
      <c r="B338" s="20">
        <v>6861.4130434782601</v>
      </c>
      <c r="C338" s="20">
        <f t="shared" si="4"/>
        <v>30842.391304347846</v>
      </c>
      <c r="D338" s="21" t="str">
        <f t="shared" si="0"/>
        <v>200609</v>
      </c>
      <c r="E338" s="22">
        <f t="shared" si="5"/>
        <v>0.45861200000000002</v>
      </c>
      <c r="F338" s="9">
        <v>0</v>
      </c>
      <c r="G338" s="14">
        <f t="shared" si="1"/>
        <v>101.46421670330194</v>
      </c>
      <c r="H338" s="24">
        <f t="shared" si="6"/>
        <v>13860.917033019434</v>
      </c>
      <c r="I338" s="20">
        <f t="shared" si="2"/>
        <v>44703.308337367278</v>
      </c>
      <c r="J338" s="17">
        <f t="shared" si="7"/>
        <v>4.4703308337367273</v>
      </c>
    </row>
    <row r="339" spans="1:10" ht="12" customHeight="1" x14ac:dyDescent="0.3">
      <c r="A339" s="1">
        <f t="shared" si="3"/>
        <v>43992</v>
      </c>
      <c r="B339" s="20">
        <v>6929.347826086957</v>
      </c>
      <c r="C339" s="20">
        <f t="shared" si="4"/>
        <v>30910.326086956542</v>
      </c>
      <c r="D339" s="21" t="str">
        <f t="shared" si="0"/>
        <v>200610</v>
      </c>
      <c r="E339" s="22">
        <f t="shared" si="5"/>
        <v>0.45861200000000002</v>
      </c>
      <c r="F339" s="9">
        <v>0</v>
      </c>
      <c r="G339" s="14">
        <f t="shared" si="1"/>
        <v>101.45857228753837</v>
      </c>
      <c r="H339" s="24">
        <f t="shared" si="6"/>
        <v>13804.472875383739</v>
      </c>
      <c r="I339" s="20">
        <f t="shared" si="2"/>
        <v>44714.798962340283</v>
      </c>
      <c r="J339" s="17">
        <f t="shared" si="7"/>
        <v>4.4714798962340288</v>
      </c>
    </row>
    <row r="340" spans="1:10" ht="12" customHeight="1" x14ac:dyDescent="0.3">
      <c r="A340" s="1">
        <f t="shared" si="3"/>
        <v>43993</v>
      </c>
      <c r="B340" s="20">
        <v>6997.2826086956529</v>
      </c>
      <c r="C340" s="20">
        <f t="shared" si="4"/>
        <v>30978.260869565238</v>
      </c>
      <c r="D340" s="21" t="str">
        <f t="shared" si="0"/>
        <v>200611</v>
      </c>
      <c r="E340" s="22">
        <f t="shared" si="5"/>
        <v>0.45861200000000002</v>
      </c>
      <c r="F340" s="9">
        <v>0</v>
      </c>
      <c r="G340" s="14">
        <f t="shared" si="1"/>
        <v>101.4529278883173</v>
      </c>
      <c r="H340" s="24">
        <f t="shared" si="6"/>
        <v>13748.028883173049</v>
      </c>
      <c r="I340" s="20">
        <f t="shared" si="2"/>
        <v>44726.289752738288</v>
      </c>
      <c r="J340" s="17">
        <f t="shared" si="7"/>
        <v>4.4726289752738291</v>
      </c>
    </row>
    <row r="341" spans="1:10" ht="12" customHeight="1" x14ac:dyDescent="0.3">
      <c r="A341" s="1">
        <f t="shared" si="3"/>
        <v>43994</v>
      </c>
      <c r="B341" s="20">
        <v>7065.2173913043471</v>
      </c>
      <c r="C341" s="20">
        <f t="shared" si="4"/>
        <v>31046.195652173934</v>
      </c>
      <c r="D341" s="21" t="str">
        <f t="shared" si="0"/>
        <v>200612</v>
      </c>
      <c r="E341" s="22">
        <f t="shared" si="5"/>
        <v>0.45861200000000002</v>
      </c>
      <c r="F341" s="9">
        <v>0</v>
      </c>
      <c r="G341" s="14">
        <f t="shared" si="1"/>
        <v>101.44728350563892</v>
      </c>
      <c r="H341" s="24">
        <f t="shared" si="6"/>
        <v>13691.585056389215</v>
      </c>
      <c r="I341" s="20">
        <f t="shared" si="2"/>
        <v>44737.78070856315</v>
      </c>
      <c r="J341" s="17">
        <f t="shared" si="7"/>
        <v>4.4737780708563148</v>
      </c>
    </row>
    <row r="342" spans="1:10" ht="12" customHeight="1" x14ac:dyDescent="0.3">
      <c r="A342" s="1">
        <f t="shared" si="3"/>
        <v>43997</v>
      </c>
      <c r="B342" s="20">
        <v>7269.021739130435</v>
      </c>
      <c r="C342" s="20">
        <f t="shared" si="4"/>
        <v>31250.000000000022</v>
      </c>
      <c r="D342" s="21" t="str">
        <f t="shared" si="0"/>
        <v>200615</v>
      </c>
      <c r="E342" s="22">
        <f t="shared" si="5"/>
        <v>0.45861200000000002</v>
      </c>
      <c r="F342" s="9">
        <v>0</v>
      </c>
      <c r="G342" s="14">
        <f t="shared" si="1"/>
        <v>101.43035045686221</v>
      </c>
      <c r="H342" s="24">
        <f t="shared" si="6"/>
        <v>13522.254568622146</v>
      </c>
      <c r="I342" s="20">
        <f t="shared" si="2"/>
        <v>44772.254568622171</v>
      </c>
      <c r="J342" s="17">
        <f t="shared" si="7"/>
        <v>4.4772254568622172</v>
      </c>
    </row>
    <row r="343" spans="1:10" ht="12" customHeight="1" x14ac:dyDescent="0.3">
      <c r="A343" s="1">
        <f t="shared" si="3"/>
        <v>43998</v>
      </c>
      <c r="B343" s="20">
        <v>7336.9565217391309</v>
      </c>
      <c r="C343" s="20">
        <f t="shared" si="4"/>
        <v>31317.934782608718</v>
      </c>
      <c r="D343" s="21" t="str">
        <f t="shared" si="0"/>
        <v>200616</v>
      </c>
      <c r="E343" s="22">
        <f t="shared" si="5"/>
        <v>0.45861200000000002</v>
      </c>
      <c r="F343" s="9">
        <v>0</v>
      </c>
      <c r="G343" s="14">
        <f t="shared" si="1"/>
        <v>101.42470614035683</v>
      </c>
      <c r="H343" s="24">
        <f t="shared" si="6"/>
        <v>13465.811403568325</v>
      </c>
      <c r="I343" s="20">
        <f t="shared" si="2"/>
        <v>44783.746186177043</v>
      </c>
      <c r="J343" s="17">
        <f t="shared" si="7"/>
        <v>4.4783746186177043</v>
      </c>
    </row>
    <row r="344" spans="1:10" ht="12" customHeight="1" x14ac:dyDescent="0.3">
      <c r="A344" s="1">
        <f t="shared" si="3"/>
        <v>43999</v>
      </c>
      <c r="B344" s="20">
        <v>7404.891304347826</v>
      </c>
      <c r="C344" s="20">
        <f t="shared" si="4"/>
        <v>31385.869565217414</v>
      </c>
      <c r="D344" s="21" t="str">
        <f t="shared" si="0"/>
        <v>200617</v>
      </c>
      <c r="E344" s="22">
        <f t="shared" si="5"/>
        <v>0.45861200000000002</v>
      </c>
      <c r="F344" s="9">
        <v>0</v>
      </c>
      <c r="G344" s="14">
        <f t="shared" si="1"/>
        <v>101.41906184039516</v>
      </c>
      <c r="H344" s="24">
        <f t="shared" si="6"/>
        <v>13409.368403951588</v>
      </c>
      <c r="I344" s="20">
        <f t="shared" si="2"/>
        <v>44795.237969169</v>
      </c>
      <c r="J344" s="17">
        <f t="shared" si="7"/>
        <v>4.4795237969168999</v>
      </c>
    </row>
    <row r="345" spans="1:10" ht="12" customHeight="1" x14ac:dyDescent="0.3">
      <c r="A345" s="1">
        <f t="shared" si="3"/>
        <v>44000</v>
      </c>
      <c r="B345" s="20">
        <v>7472.8260869565211</v>
      </c>
      <c r="C345" s="20">
        <f t="shared" si="4"/>
        <v>31453.80434782611</v>
      </c>
      <c r="D345" s="21" t="str">
        <f t="shared" si="0"/>
        <v>200618</v>
      </c>
      <c r="E345" s="22">
        <f t="shared" si="5"/>
        <v>0.45861200000000002</v>
      </c>
      <c r="F345" s="9">
        <v>0</v>
      </c>
      <c r="G345" s="14">
        <f t="shared" si="1"/>
        <v>101.41341755697751</v>
      </c>
      <c r="H345" s="24">
        <f t="shared" si="6"/>
        <v>13352.925569775067</v>
      </c>
      <c r="I345" s="20">
        <f t="shared" si="2"/>
        <v>44806.729917601173</v>
      </c>
      <c r="J345" s="17">
        <f t="shared" si="7"/>
        <v>4.4806729917601169</v>
      </c>
    </row>
    <row r="346" spans="1:10" ht="12" customHeight="1" x14ac:dyDescent="0.3">
      <c r="A346" s="1">
        <f t="shared" si="3"/>
        <v>44001</v>
      </c>
      <c r="B346" s="20">
        <v>7540.760869565217</v>
      </c>
      <c r="C346" s="20">
        <f t="shared" si="4"/>
        <v>31521.739130434806</v>
      </c>
      <c r="D346" s="21" t="str">
        <f t="shared" si="0"/>
        <v>200619</v>
      </c>
      <c r="E346" s="22">
        <f t="shared" si="5"/>
        <v>0.45861200000000002</v>
      </c>
      <c r="F346" s="9">
        <v>0</v>
      </c>
      <c r="G346" s="14">
        <f t="shared" si="1"/>
        <v>101.40777329010402</v>
      </c>
      <c r="H346" s="24">
        <f t="shared" si="6"/>
        <v>13296.482901040179</v>
      </c>
      <c r="I346" s="20">
        <f t="shared" si="2"/>
        <v>44818.222031474987</v>
      </c>
      <c r="J346" s="17">
        <f t="shared" si="7"/>
        <v>4.481822203147499</v>
      </c>
    </row>
    <row r="347" spans="1:10" ht="12" customHeight="1" x14ac:dyDescent="0.3">
      <c r="A347" s="1">
        <f t="shared" si="3"/>
        <v>44004</v>
      </c>
      <c r="B347" s="20">
        <v>7744.565217391304</v>
      </c>
      <c r="C347" s="20">
        <f t="shared" si="4"/>
        <v>31725.543478260894</v>
      </c>
      <c r="D347" s="21" t="str">
        <f t="shared" si="0"/>
        <v>200622</v>
      </c>
      <c r="E347" s="22">
        <f t="shared" si="5"/>
        <v>0.45861200000000002</v>
      </c>
      <c r="F347" s="9">
        <v>0</v>
      </c>
      <c r="G347" s="14">
        <f t="shared" si="1"/>
        <v>101.39084058875073</v>
      </c>
      <c r="H347" s="24">
        <f t="shared" si="6"/>
        <v>13127.155887507342</v>
      </c>
      <c r="I347" s="20">
        <f t="shared" si="2"/>
        <v>44852.699365768232</v>
      </c>
      <c r="J347" s="17">
        <f t="shared" si="7"/>
        <v>4.4852699365768229</v>
      </c>
    </row>
    <row r="348" spans="1:10" ht="12" customHeight="1" x14ac:dyDescent="0.3">
      <c r="A348" s="1">
        <f t="shared" si="3"/>
        <v>44005</v>
      </c>
      <c r="B348" s="20">
        <v>7812.5</v>
      </c>
      <c r="C348" s="20">
        <f t="shared" si="4"/>
        <v>31793.47826086959</v>
      </c>
      <c r="D348" s="21" t="str">
        <f t="shared" si="0"/>
        <v>200623</v>
      </c>
      <c r="E348" s="22">
        <f t="shared" si="5"/>
        <v>0.45861200000000002</v>
      </c>
      <c r="F348" s="9">
        <v>0</v>
      </c>
      <c r="G348" s="14">
        <f t="shared" si="1"/>
        <v>101.38519638805609</v>
      </c>
      <c r="H348" s="24">
        <f t="shared" si="6"/>
        <v>13070.713880560874</v>
      </c>
      <c r="I348" s="20">
        <f t="shared" si="2"/>
        <v>44864.192141430467</v>
      </c>
      <c r="J348" s="17">
        <f t="shared" si="7"/>
        <v>4.486419214143047</v>
      </c>
    </row>
    <row r="349" spans="1:10" ht="12" customHeight="1" x14ac:dyDescent="0.3">
      <c r="A349" s="1">
        <f t="shared" si="3"/>
        <v>44006</v>
      </c>
      <c r="B349" s="20">
        <v>7880.434782608696</v>
      </c>
      <c r="C349" s="20">
        <f t="shared" si="4"/>
        <v>31861.413043478286</v>
      </c>
      <c r="D349" s="21" t="str">
        <f t="shared" si="0"/>
        <v>200624</v>
      </c>
      <c r="E349" s="22">
        <f t="shared" si="5"/>
        <v>0.45861200000000002</v>
      </c>
      <c r="F349" s="9">
        <v>0</v>
      </c>
      <c r="G349" s="14">
        <f t="shared" si="1"/>
        <v>101.3795522039067</v>
      </c>
      <c r="H349" s="24">
        <f t="shared" si="6"/>
        <v>13014.272039066982</v>
      </c>
      <c r="I349" s="20">
        <f t="shared" si="2"/>
        <v>44875.685082545271</v>
      </c>
      <c r="J349" s="17">
        <f t="shared" si="7"/>
        <v>4.4875685082545269</v>
      </c>
    </row>
    <row r="350" spans="1:10" ht="12" customHeight="1" x14ac:dyDescent="0.3">
      <c r="A350" s="1">
        <f t="shared" si="3"/>
        <v>44007</v>
      </c>
      <c r="B350" s="20">
        <v>7948.3695652173928</v>
      </c>
      <c r="C350" s="20">
        <f t="shared" si="4"/>
        <v>31929.347826086982</v>
      </c>
      <c r="D350" s="21" t="str">
        <f t="shared" si="0"/>
        <v>200625</v>
      </c>
      <c r="E350" s="22">
        <f t="shared" si="5"/>
        <v>0.45861200000000002</v>
      </c>
      <c r="F350" s="9">
        <v>0</v>
      </c>
      <c r="G350" s="14">
        <f t="shared" si="1"/>
        <v>101.37390803630274</v>
      </c>
      <c r="H350" s="24">
        <f t="shared" si="6"/>
        <v>12957.830363027369</v>
      </c>
      <c r="I350" s="20">
        <f t="shared" si="2"/>
        <v>44887.178189114347</v>
      </c>
      <c r="J350" s="17">
        <f t="shared" si="7"/>
        <v>4.488717818911435</v>
      </c>
    </row>
    <row r="351" spans="1:10" ht="12" customHeight="1" x14ac:dyDescent="0.3">
      <c r="A351" s="1">
        <f t="shared" si="3"/>
        <v>44008</v>
      </c>
      <c r="B351" s="20">
        <v>8016.3043478260861</v>
      </c>
      <c r="C351" s="20">
        <f t="shared" si="4"/>
        <v>31997.282608695674</v>
      </c>
      <c r="D351" s="21" t="str">
        <f t="shared" si="0"/>
        <v>200626</v>
      </c>
      <c r="E351" s="22">
        <f t="shared" si="5"/>
        <v>0.45861200000000002</v>
      </c>
      <c r="F351" s="9">
        <v>0</v>
      </c>
      <c r="G351" s="14">
        <f t="shared" si="1"/>
        <v>101.36826388524443</v>
      </c>
      <c r="H351" s="24">
        <f t="shared" si="6"/>
        <v>12901.388852444312</v>
      </c>
      <c r="I351" s="20">
        <f t="shared" si="2"/>
        <v>44898.671461139988</v>
      </c>
      <c r="J351" s="17">
        <f t="shared" si="7"/>
        <v>4.4898671461139985</v>
      </c>
    </row>
    <row r="352" spans="1:10" ht="12" customHeight="1" x14ac:dyDescent="0.3">
      <c r="A352" s="1">
        <f t="shared" si="3"/>
        <v>44011</v>
      </c>
      <c r="B352" s="20">
        <v>8220.108695652174</v>
      </c>
      <c r="C352" s="20">
        <f t="shared" si="4"/>
        <v>32201.086956521762</v>
      </c>
      <c r="D352" s="21" t="str">
        <f t="shared" si="0"/>
        <v>200629</v>
      </c>
      <c r="E352" s="22">
        <f t="shared" si="5"/>
        <v>0.45861200000000002</v>
      </c>
      <c r="F352" s="9">
        <v>0</v>
      </c>
      <c r="G352" s="14">
        <f t="shared" si="1"/>
        <v>101.35133153134558</v>
      </c>
      <c r="H352" s="24">
        <f t="shared" si="6"/>
        <v>12732.065313455791</v>
      </c>
      <c r="I352" s="20">
        <f t="shared" si="2"/>
        <v>44933.152269977552</v>
      </c>
      <c r="J352" s="17">
        <f t="shared" si="7"/>
        <v>4.4933152269977548</v>
      </c>
    </row>
    <row r="353" spans="1:10" ht="12" customHeight="1" x14ac:dyDescent="0.3">
      <c r="A353" s="1">
        <f t="shared" si="3"/>
        <v>44012</v>
      </c>
      <c r="B353" s="20">
        <v>8288.04347826087</v>
      </c>
      <c r="C353" s="20">
        <f t="shared" si="4"/>
        <v>32269.021739130458</v>
      </c>
      <c r="D353" s="21" t="str">
        <f t="shared" si="0"/>
        <v>200630</v>
      </c>
      <c r="E353" s="22">
        <f t="shared" si="5"/>
        <v>0.45861200000000002</v>
      </c>
      <c r="F353" s="9">
        <v>0</v>
      </c>
      <c r="G353" s="14">
        <f t="shared" si="1"/>
        <v>101.34568744647201</v>
      </c>
      <c r="H353" s="24">
        <f t="shared" si="6"/>
        <v>12675.624464720129</v>
      </c>
      <c r="I353" s="20">
        <f t="shared" si="2"/>
        <v>44944.646203850585</v>
      </c>
      <c r="J353" s="17">
        <f t="shared" si="7"/>
        <v>4.4944646203850587</v>
      </c>
    </row>
    <row r="354" spans="1:10" ht="12" customHeight="1" x14ac:dyDescent="0.3">
      <c r="A354" s="1">
        <f t="shared" si="3"/>
        <v>44013</v>
      </c>
      <c r="B354" s="20">
        <v>8355.9782608695659</v>
      </c>
      <c r="C354" s="20">
        <f t="shared" si="4"/>
        <v>32336.956521739154</v>
      </c>
      <c r="D354" s="21" t="str">
        <f t="shared" si="0"/>
        <v>200701</v>
      </c>
      <c r="E354" s="22">
        <f t="shared" si="5"/>
        <v>0.45861200000000002</v>
      </c>
      <c r="F354" s="9">
        <v>0</v>
      </c>
      <c r="G354" s="14">
        <f t="shared" si="1"/>
        <v>101.34004337814515</v>
      </c>
      <c r="H354" s="24">
        <f t="shared" si="6"/>
        <v>12619.183781451538</v>
      </c>
      <c r="I354" s="20">
        <f t="shared" si="2"/>
        <v>44956.140303190696</v>
      </c>
      <c r="J354" s="17">
        <f t="shared" si="7"/>
        <v>4.4956140303190697</v>
      </c>
    </row>
    <row r="355" spans="1:10" ht="12" customHeight="1" x14ac:dyDescent="0.3">
      <c r="A355" s="1">
        <f t="shared" si="3"/>
        <v>44014</v>
      </c>
      <c r="B355" s="20">
        <v>8423.9130434782601</v>
      </c>
      <c r="C355" s="20">
        <f t="shared" si="4"/>
        <v>32404.891304347846</v>
      </c>
      <c r="D355" s="21" t="str">
        <f t="shared" si="0"/>
        <v>200702</v>
      </c>
      <c r="E355" s="22">
        <f t="shared" si="5"/>
        <v>0.45861200000000002</v>
      </c>
      <c r="F355" s="9">
        <v>0</v>
      </c>
      <c r="G355" s="14">
        <f t="shared" si="1"/>
        <v>101.33439932636522</v>
      </c>
      <c r="H355" s="24">
        <f t="shared" si="6"/>
        <v>12562.743263652152</v>
      </c>
      <c r="I355" s="20">
        <f t="shared" si="2"/>
        <v>44967.634567999994</v>
      </c>
      <c r="J355" s="17">
        <f t="shared" si="7"/>
        <v>4.4967634567999992</v>
      </c>
    </row>
    <row r="356" spans="1:10" ht="12" customHeight="1" x14ac:dyDescent="0.3">
      <c r="A356" s="1">
        <f t="shared" si="3"/>
        <v>44015</v>
      </c>
      <c r="B356" s="20">
        <v>8491.847826086956</v>
      </c>
      <c r="C356" s="20">
        <f t="shared" si="4"/>
        <v>32472.826086956542</v>
      </c>
      <c r="D356" s="21" t="str">
        <f t="shared" si="0"/>
        <v>200703</v>
      </c>
      <c r="E356" s="22">
        <f t="shared" si="5"/>
        <v>0.45861200000000002</v>
      </c>
      <c r="F356" s="9">
        <v>0</v>
      </c>
      <c r="G356" s="14">
        <f t="shared" si="1"/>
        <v>101.32875529113242</v>
      </c>
      <c r="H356" s="24">
        <f t="shared" si="6"/>
        <v>12506.302911324241</v>
      </c>
      <c r="I356" s="20">
        <f t="shared" si="2"/>
        <v>44979.128998280779</v>
      </c>
      <c r="J356" s="17">
        <f t="shared" si="7"/>
        <v>4.4979128998280782</v>
      </c>
    </row>
    <row r="357" spans="1:10" ht="12" customHeight="1" x14ac:dyDescent="0.3">
      <c r="A357" s="1">
        <f t="shared" si="3"/>
        <v>44018</v>
      </c>
      <c r="B357" s="20">
        <v>8695.652173913044</v>
      </c>
      <c r="C357" s="20">
        <f t="shared" si="4"/>
        <v>32676.63043478263</v>
      </c>
      <c r="D357" s="21" t="str">
        <f t="shared" si="0"/>
        <v>200706</v>
      </c>
      <c r="E357" s="22">
        <f t="shared" si="5"/>
        <v>0.45861200000000002</v>
      </c>
      <c r="F357" s="9">
        <v>0</v>
      </c>
      <c r="G357" s="14">
        <f t="shared" si="1"/>
        <v>101.31182328471893</v>
      </c>
      <c r="H357" s="24">
        <f t="shared" si="6"/>
        <v>12336.982847189262</v>
      </c>
      <c r="I357" s="20">
        <f t="shared" si="2"/>
        <v>45013.613281971891</v>
      </c>
      <c r="J357" s="17">
        <f t="shared" si="7"/>
        <v>4.5013613281971887</v>
      </c>
    </row>
    <row r="358" spans="1:10" ht="12" customHeight="1" x14ac:dyDescent="0.3">
      <c r="A358" s="1">
        <f t="shared" si="3"/>
        <v>44019</v>
      </c>
      <c r="B358" s="20">
        <v>8763.5869565217399</v>
      </c>
      <c r="C358" s="20">
        <f t="shared" si="4"/>
        <v>32744.565217391326</v>
      </c>
      <c r="D358" s="21" t="str">
        <f t="shared" si="0"/>
        <v>200707</v>
      </c>
      <c r="E358" s="22">
        <f t="shared" si="5"/>
        <v>0.45861200000000002</v>
      </c>
      <c r="F358" s="9">
        <v>0</v>
      </c>
      <c r="G358" s="14">
        <f t="shared" si="1"/>
        <v>101.30617931567676</v>
      </c>
      <c r="H358" s="24">
        <f t="shared" si="6"/>
        <v>12280.543156767579</v>
      </c>
      <c r="I358" s="20">
        <f t="shared" si="2"/>
        <v>45025.108374158903</v>
      </c>
      <c r="J358" s="17">
        <f t="shared" si="7"/>
        <v>4.5025108374158895</v>
      </c>
    </row>
    <row r="359" spans="1:10" ht="12" customHeight="1" x14ac:dyDescent="0.3">
      <c r="A359" s="1">
        <f t="shared" si="3"/>
        <v>44020</v>
      </c>
      <c r="B359" s="20">
        <v>8831.5217391304341</v>
      </c>
      <c r="C359" s="20">
        <f t="shared" si="4"/>
        <v>32812.500000000022</v>
      </c>
      <c r="D359" s="21" t="str">
        <f t="shared" si="0"/>
        <v>200708</v>
      </c>
      <c r="E359" s="22">
        <f t="shared" si="5"/>
        <v>0.45861200000000002</v>
      </c>
      <c r="F359" s="9">
        <v>0</v>
      </c>
      <c r="G359" s="14">
        <f t="shared" si="1"/>
        <v>101.30053536318277</v>
      </c>
      <c r="H359" s="24">
        <f t="shared" si="6"/>
        <v>12224.103631827746</v>
      </c>
      <c r="I359" s="20">
        <f t="shared" si="2"/>
        <v>45036.603631827769</v>
      </c>
      <c r="J359" s="17">
        <f t="shared" si="7"/>
        <v>4.5036603631827772</v>
      </c>
    </row>
    <row r="360" spans="1:10" ht="12" customHeight="1" x14ac:dyDescent="0.3">
      <c r="A360" s="1">
        <f t="shared" si="3"/>
        <v>44021</v>
      </c>
      <c r="B360" s="20">
        <v>8899.45652173913</v>
      </c>
      <c r="C360" s="20">
        <f t="shared" si="4"/>
        <v>32880.434782608718</v>
      </c>
      <c r="D360" s="21" t="str">
        <f t="shared" si="0"/>
        <v>200709</v>
      </c>
      <c r="E360" s="22">
        <f t="shared" si="5"/>
        <v>0.45861200000000002</v>
      </c>
      <c r="F360" s="9">
        <v>0</v>
      </c>
      <c r="G360" s="14">
        <f t="shared" si="1"/>
        <v>101.29489142723718</v>
      </c>
      <c r="H360" s="24">
        <f t="shared" si="6"/>
        <v>12167.664272371752</v>
      </c>
      <c r="I360" s="20">
        <f t="shared" si="2"/>
        <v>45048.09905498047</v>
      </c>
      <c r="J360" s="17">
        <f t="shared" si="7"/>
        <v>4.5048099054980471</v>
      </c>
    </row>
    <row r="361" spans="1:10" ht="12" customHeight="1" x14ac:dyDescent="0.3">
      <c r="A361" s="1">
        <f t="shared" si="3"/>
        <v>44022</v>
      </c>
      <c r="B361" s="20">
        <v>8967.391304347826</v>
      </c>
      <c r="C361" s="20">
        <f t="shared" si="4"/>
        <v>32948.369565217414</v>
      </c>
      <c r="D361" s="21" t="str">
        <f t="shared" si="0"/>
        <v>200710</v>
      </c>
      <c r="E361" s="22">
        <f t="shared" si="5"/>
        <v>0.45861200000000002</v>
      </c>
      <c r="F361" s="9">
        <v>0</v>
      </c>
      <c r="G361" s="14">
        <f t="shared" si="1"/>
        <v>101.28924750784017</v>
      </c>
      <c r="H361" s="24">
        <f t="shared" si="6"/>
        <v>12111.225078401731</v>
      </c>
      <c r="I361" s="20">
        <f t="shared" si="2"/>
        <v>45059.594643619144</v>
      </c>
      <c r="J361" s="17">
        <f t="shared" si="7"/>
        <v>4.505959464361915</v>
      </c>
    </row>
    <row r="362" spans="1:10" ht="12" customHeight="1" x14ac:dyDescent="0.3">
      <c r="A362" s="1">
        <f t="shared" si="3"/>
        <v>44025</v>
      </c>
      <c r="B362" s="20">
        <v>9171.1956521739139</v>
      </c>
      <c r="C362" s="20">
        <f t="shared" si="4"/>
        <v>33152.173913043502</v>
      </c>
      <c r="D362" s="21" t="str">
        <f t="shared" si="0"/>
        <v>200713</v>
      </c>
      <c r="E362" s="22">
        <f t="shared" si="5"/>
        <v>0.45861200000000002</v>
      </c>
      <c r="F362" s="9">
        <v>0</v>
      </c>
      <c r="G362" s="14">
        <f t="shared" si="1"/>
        <v>101.27231584894299</v>
      </c>
      <c r="H362" s="24">
        <f t="shared" si="6"/>
        <v>11941.908489429949</v>
      </c>
      <c r="I362" s="20">
        <f t="shared" si="2"/>
        <v>45094.082402473447</v>
      </c>
      <c r="J362" s="17">
        <f t="shared" si="7"/>
        <v>4.5094082402473443</v>
      </c>
    </row>
    <row r="363" spans="1:10" ht="12" customHeight="1" x14ac:dyDescent="0.3">
      <c r="A363" s="1">
        <f t="shared" si="3"/>
        <v>44026</v>
      </c>
      <c r="B363" s="20">
        <v>9239.1304347826081</v>
      </c>
      <c r="C363" s="20">
        <f t="shared" si="4"/>
        <v>33220.108695652198</v>
      </c>
      <c r="D363" s="21" t="str">
        <f t="shared" si="0"/>
        <v>200714</v>
      </c>
      <c r="E363" s="22">
        <f t="shared" si="5"/>
        <v>0.45861200000000002</v>
      </c>
      <c r="F363" s="9">
        <v>0</v>
      </c>
      <c r="G363" s="14">
        <f t="shared" si="1"/>
        <v>101.26667199574254</v>
      </c>
      <c r="H363" s="24">
        <f t="shared" si="6"/>
        <v>11885.469957425415</v>
      </c>
      <c r="I363" s="20">
        <f t="shared" si="2"/>
        <v>45105.578653077609</v>
      </c>
      <c r="J363" s="17">
        <f t="shared" si="7"/>
        <v>4.5105578653077609</v>
      </c>
    </row>
    <row r="364" spans="1:10" ht="12" customHeight="1" x14ac:dyDescent="0.3">
      <c r="A364" s="1">
        <f t="shared" si="3"/>
        <v>44027</v>
      </c>
      <c r="B364" s="20">
        <v>9307.065217391304</v>
      </c>
      <c r="C364" s="20">
        <f t="shared" si="4"/>
        <v>33288.043478260894</v>
      </c>
      <c r="D364" s="21" t="str">
        <f t="shared" si="0"/>
        <v>200715</v>
      </c>
      <c r="E364" s="22">
        <f t="shared" si="5"/>
        <v>0.45861200000000002</v>
      </c>
      <c r="F364" s="9">
        <v>0</v>
      </c>
      <c r="G364" s="14">
        <f t="shared" si="1"/>
        <v>101.26102815909177</v>
      </c>
      <c r="H364" s="24">
        <f t="shared" si="6"/>
        <v>11829.03159091765</v>
      </c>
      <c r="I364" s="20">
        <f t="shared" si="2"/>
        <v>45117.075069178543</v>
      </c>
      <c r="J364" s="17">
        <f t="shared" si="7"/>
        <v>4.5117075069178547</v>
      </c>
    </row>
    <row r="365" spans="1:10" ht="12" customHeight="1" x14ac:dyDescent="0.3">
      <c r="A365" s="1">
        <f t="shared" si="3"/>
        <v>44028</v>
      </c>
      <c r="B365" s="20">
        <v>9375</v>
      </c>
      <c r="C365" s="20">
        <f t="shared" si="4"/>
        <v>33355.97826086959</v>
      </c>
      <c r="D365" s="21" t="str">
        <f t="shared" si="0"/>
        <v>200716</v>
      </c>
      <c r="E365" s="22">
        <f t="shared" si="5"/>
        <v>0.45861200000000002</v>
      </c>
      <c r="F365" s="9">
        <v>0</v>
      </c>
      <c r="G365" s="14">
        <f t="shared" si="1"/>
        <v>101.25538433899082</v>
      </c>
      <c r="H365" s="24">
        <f t="shared" si="6"/>
        <v>11772.593389908225</v>
      </c>
      <c r="I365" s="20">
        <f t="shared" si="2"/>
        <v>45128.571650777812</v>
      </c>
      <c r="J365" s="17">
        <f t="shared" si="7"/>
        <v>4.5128571650777811</v>
      </c>
    </row>
    <row r="366" spans="1:10" ht="12" customHeight="1" x14ac:dyDescent="0.3">
      <c r="A366" s="1">
        <f t="shared" si="3"/>
        <v>44029</v>
      </c>
      <c r="B366" s="20">
        <v>9442.934782608696</v>
      </c>
      <c r="C366" s="20">
        <f t="shared" si="4"/>
        <v>33423.913043478286</v>
      </c>
      <c r="D366" s="21" t="str">
        <f t="shared" si="0"/>
        <v>200717</v>
      </c>
      <c r="E366" s="22">
        <f t="shared" si="5"/>
        <v>0.45861200000000002</v>
      </c>
      <c r="F366" s="9">
        <v>0</v>
      </c>
      <c r="G366" s="14">
        <f t="shared" si="1"/>
        <v>101.24974053544</v>
      </c>
      <c r="H366" s="24">
        <f t="shared" si="6"/>
        <v>11716.155354399973</v>
      </c>
      <c r="I366" s="20">
        <f t="shared" si="2"/>
        <v>45140.068397878262</v>
      </c>
      <c r="J366" s="17">
        <f t="shared" si="7"/>
        <v>4.5140068397878261</v>
      </c>
    </row>
    <row r="367" spans="1:10" ht="12" customHeight="1" x14ac:dyDescent="0.3">
      <c r="A367" s="1">
        <f t="shared" si="3"/>
        <v>44032</v>
      </c>
      <c r="B367" s="20">
        <v>9646.7391304347821</v>
      </c>
      <c r="C367" s="20">
        <f t="shared" si="4"/>
        <v>33627.717391304373</v>
      </c>
      <c r="D367" s="21" t="str">
        <f t="shared" si="0"/>
        <v>200720</v>
      </c>
      <c r="E367" s="22">
        <f t="shared" si="5"/>
        <v>0.45861200000000002</v>
      </c>
      <c r="F367" s="9">
        <v>0</v>
      </c>
      <c r="G367" s="14">
        <f t="shared" si="1"/>
        <v>101.23280922409003</v>
      </c>
      <c r="H367" s="24">
        <f t="shared" si="6"/>
        <v>11546.842240900332</v>
      </c>
      <c r="I367" s="20">
        <f t="shared" si="2"/>
        <v>45174.559632204706</v>
      </c>
      <c r="J367" s="17">
        <f t="shared" si="7"/>
        <v>4.5174559632204705</v>
      </c>
    </row>
    <row r="368" spans="1:10" ht="12" customHeight="1" x14ac:dyDescent="0.3">
      <c r="A368" s="1">
        <f t="shared" si="3"/>
        <v>44033</v>
      </c>
      <c r="B368" s="20">
        <v>9714.6739130434798</v>
      </c>
      <c r="C368" s="20">
        <f t="shared" si="4"/>
        <v>33695.652173913069</v>
      </c>
      <c r="D368" s="21" t="str">
        <f t="shared" si="0"/>
        <v>200721</v>
      </c>
      <c r="E368" s="22">
        <f t="shared" si="5"/>
        <v>0.45861200000000002</v>
      </c>
      <c r="F368" s="9">
        <v>0</v>
      </c>
      <c r="G368" s="14">
        <f t="shared" si="1"/>
        <v>101.22716548674161</v>
      </c>
      <c r="H368" s="24">
        <f t="shared" si="6"/>
        <v>11490.404867416117</v>
      </c>
      <c r="I368" s="20">
        <f t="shared" si="2"/>
        <v>45186.057041329186</v>
      </c>
      <c r="J368" s="17">
        <f t="shared" si="7"/>
        <v>4.5186057041329182</v>
      </c>
    </row>
    <row r="369" spans="1:10" ht="12" customHeight="1" x14ac:dyDescent="0.3">
      <c r="A369" s="1">
        <f t="shared" si="3"/>
        <v>44034</v>
      </c>
      <c r="B369" s="20">
        <v>9782.608695652174</v>
      </c>
      <c r="C369" s="20">
        <f t="shared" si="4"/>
        <v>33763.586956521765</v>
      </c>
      <c r="D369" s="21" t="str">
        <f t="shared" si="0"/>
        <v>200722</v>
      </c>
      <c r="E369" s="22">
        <f t="shared" si="5"/>
        <v>0.45861200000000002</v>
      </c>
      <c r="F369" s="9">
        <v>0</v>
      </c>
      <c r="G369" s="14">
        <f t="shared" si="1"/>
        <v>101.22152176594435</v>
      </c>
      <c r="H369" s="24">
        <f t="shared" si="6"/>
        <v>11433.967659443453</v>
      </c>
      <c r="I369" s="20">
        <f t="shared" si="2"/>
        <v>45197.554615965215</v>
      </c>
      <c r="J369" s="17">
        <f t="shared" si="7"/>
        <v>4.5197554615965219</v>
      </c>
    </row>
    <row r="370" spans="1:10" ht="12" customHeight="1" x14ac:dyDescent="0.3">
      <c r="A370" s="1">
        <f t="shared" si="3"/>
        <v>44035</v>
      </c>
      <c r="B370" s="20">
        <v>9850.54347826087</v>
      </c>
      <c r="C370" s="20">
        <f t="shared" si="4"/>
        <v>33831.521739130461</v>
      </c>
      <c r="D370" s="21" t="str">
        <f t="shared" si="0"/>
        <v>200723</v>
      </c>
      <c r="E370" s="22">
        <f t="shared" si="5"/>
        <v>0.45861200000000002</v>
      </c>
      <c r="F370" s="9">
        <v>0</v>
      </c>
      <c r="G370" s="14">
        <f t="shared" si="1"/>
        <v>101.21587806169839</v>
      </c>
      <c r="H370" s="24">
        <f t="shared" si="6"/>
        <v>11377.530616983904</v>
      </c>
      <c r="I370" s="20">
        <f t="shared" si="2"/>
        <v>45209.052356114364</v>
      </c>
      <c r="J370" s="17">
        <f t="shared" si="7"/>
        <v>4.520905235611437</v>
      </c>
    </row>
    <row r="371" spans="1:10" ht="12" customHeight="1" x14ac:dyDescent="0.3">
      <c r="A371" s="1">
        <f t="shared" si="3"/>
        <v>44036</v>
      </c>
      <c r="B371" s="20">
        <v>9918.4782608695659</v>
      </c>
      <c r="C371" s="20">
        <f t="shared" si="4"/>
        <v>33899.456521739157</v>
      </c>
      <c r="D371" s="21" t="str">
        <f t="shared" si="0"/>
        <v>200724</v>
      </c>
      <c r="E371" s="22">
        <f t="shared" si="5"/>
        <v>0.45861200000000002</v>
      </c>
      <c r="F371" s="9">
        <v>0</v>
      </c>
      <c r="G371" s="14">
        <f t="shared" si="1"/>
        <v>101.210234374004</v>
      </c>
      <c r="H371" s="24">
        <f t="shared" si="6"/>
        <v>11321.093740040027</v>
      </c>
      <c r="I371" s="20">
        <f t="shared" si="2"/>
        <v>45220.550261779186</v>
      </c>
      <c r="J371" s="17">
        <f t="shared" si="7"/>
        <v>4.5220550261779184</v>
      </c>
    </row>
    <row r="372" spans="1:10" ht="12" customHeight="1" x14ac:dyDescent="0.3">
      <c r="A372" s="1">
        <f t="shared" si="3"/>
        <v>44039</v>
      </c>
      <c r="B372" s="20">
        <v>10122.282608695652</v>
      </c>
      <c r="C372" s="20">
        <f t="shared" si="4"/>
        <v>34103.260869565245</v>
      </c>
      <c r="D372" s="21" t="str">
        <f t="shared" si="0"/>
        <v>200727</v>
      </c>
      <c r="E372" s="22">
        <f t="shared" si="5"/>
        <v>0.45861200000000002</v>
      </c>
      <c r="F372" s="9">
        <v>0</v>
      </c>
      <c r="G372" s="14">
        <f t="shared" si="1"/>
        <v>101.19330341023226</v>
      </c>
      <c r="H372" s="24">
        <f t="shared" si="6"/>
        <v>11151.784102322608</v>
      </c>
      <c r="I372" s="20">
        <f t="shared" si="2"/>
        <v>45255.044971887852</v>
      </c>
      <c r="J372" s="17">
        <f t="shared" si="7"/>
        <v>4.525504497188785</v>
      </c>
    </row>
    <row r="373" spans="1:10" ht="12" customHeight="1" x14ac:dyDescent="0.3">
      <c r="A373" s="1">
        <f t="shared" si="3"/>
        <v>44040</v>
      </c>
      <c r="B373" s="20">
        <v>10190.217391304348</v>
      </c>
      <c r="C373" s="20">
        <f t="shared" si="4"/>
        <v>34171.195652173941</v>
      </c>
      <c r="D373" s="21" t="str">
        <f t="shared" si="0"/>
        <v>200728</v>
      </c>
      <c r="E373" s="22">
        <f t="shared" si="5"/>
        <v>0.45861200000000002</v>
      </c>
      <c r="F373" s="9">
        <v>0</v>
      </c>
      <c r="G373" s="14">
        <f t="shared" si="1"/>
        <v>101.18765978874622</v>
      </c>
      <c r="H373" s="24">
        <f t="shared" si="6"/>
        <v>11095.347887462169</v>
      </c>
      <c r="I373" s="20">
        <f t="shared" si="2"/>
        <v>45266.543539636114</v>
      </c>
      <c r="J373" s="17">
        <f t="shared" si="7"/>
        <v>4.526654353963611</v>
      </c>
    </row>
    <row r="374" spans="1:10" ht="12" customHeight="1" x14ac:dyDescent="0.3">
      <c r="A374" s="1">
        <f t="shared" si="3"/>
        <v>44041</v>
      </c>
      <c r="B374" s="20">
        <v>10258.152173913042</v>
      </c>
      <c r="C374" s="20">
        <f t="shared" si="4"/>
        <v>34239.130434782637</v>
      </c>
      <c r="D374" s="21" t="str">
        <f t="shared" si="0"/>
        <v>200729</v>
      </c>
      <c r="E374" s="22">
        <f t="shared" si="5"/>
        <v>0.45861200000000002</v>
      </c>
      <c r="F374" s="9">
        <v>0</v>
      </c>
      <c r="G374" s="14">
        <f t="shared" si="1"/>
        <v>101.18201618381275</v>
      </c>
      <c r="H374" s="24">
        <f t="shared" si="6"/>
        <v>11038.911838127489</v>
      </c>
      <c r="I374" s="20">
        <f t="shared" si="2"/>
        <v>45278.042272910126</v>
      </c>
      <c r="J374" s="17">
        <f t="shared" si="7"/>
        <v>4.5278042272910133</v>
      </c>
    </row>
    <row r="375" spans="1:10" ht="12" customHeight="1" x14ac:dyDescent="0.3">
      <c r="A375" s="1">
        <f t="shared" si="3"/>
        <v>44042</v>
      </c>
      <c r="B375" s="20">
        <v>10326.086956521738</v>
      </c>
      <c r="C375" s="20">
        <f t="shared" si="4"/>
        <v>34307.065217391333</v>
      </c>
      <c r="D375" s="21" t="str">
        <f t="shared" si="0"/>
        <v>200730</v>
      </c>
      <c r="E375" s="22">
        <f t="shared" si="5"/>
        <v>0.45861200000000002</v>
      </c>
      <c r="F375" s="9">
        <v>0</v>
      </c>
      <c r="G375" s="14">
        <f t="shared" si="1"/>
        <v>101.17637259543213</v>
      </c>
      <c r="H375" s="24">
        <f t="shared" si="6"/>
        <v>10982.475954321273</v>
      </c>
      <c r="I375" s="20">
        <f t="shared" si="2"/>
        <v>45289.541171712604</v>
      </c>
      <c r="J375" s="17">
        <f t="shared" si="7"/>
        <v>4.5289541171712608</v>
      </c>
    </row>
    <row r="376" spans="1:10" ht="12" customHeight="1" x14ac:dyDescent="0.3">
      <c r="A376" s="1">
        <f t="shared" si="3"/>
        <v>44043</v>
      </c>
      <c r="B376" s="20">
        <v>10394.021739130434</v>
      </c>
      <c r="C376" s="20">
        <f t="shared" si="4"/>
        <v>34375.000000000029</v>
      </c>
      <c r="D376" s="21" t="str">
        <f t="shared" si="0"/>
        <v>200731</v>
      </c>
      <c r="E376" s="22">
        <f t="shared" si="5"/>
        <v>0.45861200000000002</v>
      </c>
      <c r="F376" s="9">
        <v>0</v>
      </c>
      <c r="G376" s="14">
        <f t="shared" si="1"/>
        <v>101.17072902360449</v>
      </c>
      <c r="H376" s="24">
        <f t="shared" si="6"/>
        <v>10926.040236044941</v>
      </c>
      <c r="I376" s="20">
        <f t="shared" si="2"/>
        <v>45301.040236044966</v>
      </c>
      <c r="J376" s="17">
        <f t="shared" si="7"/>
        <v>4.5301040236044967</v>
      </c>
    </row>
    <row r="377" spans="1:10" ht="12" customHeight="1" x14ac:dyDescent="0.3">
      <c r="A377" s="1">
        <f t="shared" si="3"/>
        <v>44046</v>
      </c>
      <c r="B377" s="20">
        <v>10597.82608695652</v>
      </c>
      <c r="C377" s="20">
        <f t="shared" si="4"/>
        <v>34578.804347826117</v>
      </c>
      <c r="D377" s="21" t="str">
        <f t="shared" si="0"/>
        <v>200803</v>
      </c>
      <c r="E377" s="22">
        <f t="shared" si="5"/>
        <v>0.45861200000000002</v>
      </c>
      <c r="F377" s="9">
        <v>0</v>
      </c>
      <c r="G377" s="14">
        <f t="shared" si="1"/>
        <v>101.15379840744197</v>
      </c>
      <c r="H377" s="24">
        <f t="shared" si="6"/>
        <v>10756.734074419683</v>
      </c>
      <c r="I377" s="20">
        <f t="shared" si="2"/>
        <v>45335.538422245801</v>
      </c>
      <c r="J377" s="17">
        <f t="shared" si="7"/>
        <v>4.5335538422245802</v>
      </c>
    </row>
    <row r="378" spans="1:10" ht="12" customHeight="1" x14ac:dyDescent="0.3">
      <c r="A378" s="1">
        <f t="shared" si="3"/>
        <v>44047</v>
      </c>
      <c r="B378" s="20">
        <v>10665.760869565218</v>
      </c>
      <c r="C378" s="20">
        <f t="shared" si="4"/>
        <v>34646.739130434813</v>
      </c>
      <c r="D378" s="21" t="str">
        <f t="shared" si="0"/>
        <v>200804</v>
      </c>
      <c r="E378" s="22">
        <f t="shared" si="5"/>
        <v>0.45861200000000002</v>
      </c>
      <c r="F378" s="9">
        <v>0</v>
      </c>
      <c r="G378" s="14">
        <f t="shared" si="1"/>
        <v>101.14815490182858</v>
      </c>
      <c r="H378" s="24">
        <f t="shared" si="6"/>
        <v>10700.299018285761</v>
      </c>
      <c r="I378" s="20">
        <f t="shared" si="2"/>
        <v>45347.038148720574</v>
      </c>
      <c r="J378" s="17">
        <f t="shared" si="7"/>
        <v>4.5347038148720573</v>
      </c>
    </row>
    <row r="379" spans="1:10" ht="12" customHeight="1" x14ac:dyDescent="0.3">
      <c r="A379" s="1">
        <f t="shared" si="3"/>
        <v>44048</v>
      </c>
      <c r="B379" s="20">
        <v>10733.695652173914</v>
      </c>
      <c r="C379" s="20">
        <f t="shared" si="4"/>
        <v>34714.673913043509</v>
      </c>
      <c r="D379" s="21" t="str">
        <f t="shared" si="0"/>
        <v>200805</v>
      </c>
      <c r="E379" s="22">
        <f t="shared" si="5"/>
        <v>0.45861200000000002</v>
      </c>
      <c r="F379" s="9">
        <v>0</v>
      </c>
      <c r="G379" s="14">
        <f t="shared" si="1"/>
        <v>101.14251141276927</v>
      </c>
      <c r="H379" s="24">
        <f t="shared" si="6"/>
        <v>10643.864127692666</v>
      </c>
      <c r="I379" s="20">
        <f t="shared" si="2"/>
        <v>45358.538040736174</v>
      </c>
      <c r="J379" s="17">
        <f t="shared" si="7"/>
        <v>4.5358538040736178</v>
      </c>
    </row>
    <row r="380" spans="1:10" ht="12" customHeight="1" x14ac:dyDescent="0.3">
      <c r="A380" s="1">
        <f t="shared" si="3"/>
        <v>44049</v>
      </c>
      <c r="B380" s="20">
        <v>10801.630434782608</v>
      </c>
      <c r="C380" s="20">
        <f t="shared" si="4"/>
        <v>34782.608695652205</v>
      </c>
      <c r="D380" s="21" t="str">
        <f t="shared" si="0"/>
        <v>200806</v>
      </c>
      <c r="E380" s="22">
        <f t="shared" si="5"/>
        <v>0.45861200000000002</v>
      </c>
      <c r="F380" s="9">
        <v>0</v>
      </c>
      <c r="G380" s="14">
        <f t="shared" si="1"/>
        <v>101.13686794026424</v>
      </c>
      <c r="H380" s="24">
        <f t="shared" si="6"/>
        <v>10587.429402642385</v>
      </c>
      <c r="I380" s="20">
        <f t="shared" si="2"/>
        <v>45370.038098294594</v>
      </c>
      <c r="J380" s="17">
        <f t="shared" si="7"/>
        <v>4.5370038098294598</v>
      </c>
    </row>
    <row r="381" spans="1:10" ht="12" customHeight="1" x14ac:dyDescent="0.3">
      <c r="A381" s="1">
        <f t="shared" si="3"/>
        <v>44050</v>
      </c>
      <c r="B381" s="20">
        <v>10869.565217391304</v>
      </c>
      <c r="C381" s="20">
        <f t="shared" si="4"/>
        <v>34850.543478260901</v>
      </c>
      <c r="D381" s="21" t="str">
        <f t="shared" si="0"/>
        <v>200807</v>
      </c>
      <c r="E381" s="22">
        <f t="shared" si="5"/>
        <v>0.45861200000000002</v>
      </c>
      <c r="F381" s="9">
        <v>0</v>
      </c>
      <c r="G381" s="14">
        <f t="shared" si="1"/>
        <v>101.13122448431373</v>
      </c>
      <c r="H381" s="24">
        <f t="shared" si="6"/>
        <v>10530.994843137336</v>
      </c>
      <c r="I381" s="20">
        <f t="shared" si="2"/>
        <v>45381.538321398235</v>
      </c>
      <c r="J381" s="17">
        <f t="shared" si="7"/>
        <v>4.5381538321398232</v>
      </c>
    </row>
    <row r="382" spans="1:10" ht="12" customHeight="1" x14ac:dyDescent="0.3">
      <c r="A382" s="1">
        <f t="shared" si="3"/>
        <v>44053</v>
      </c>
      <c r="B382" s="20">
        <v>11073.369565217392</v>
      </c>
      <c r="C382" s="20">
        <f t="shared" si="4"/>
        <v>35054.347826086989</v>
      </c>
      <c r="D382" s="21" t="str">
        <f t="shared" si="0"/>
        <v>200810</v>
      </c>
      <c r="E382" s="22">
        <f t="shared" si="5"/>
        <v>0.45861200000000002</v>
      </c>
      <c r="F382" s="9">
        <v>0</v>
      </c>
      <c r="G382" s="14">
        <f t="shared" si="1"/>
        <v>101.11429421579135</v>
      </c>
      <c r="H382" s="24">
        <f t="shared" si="6"/>
        <v>10361.692157913467</v>
      </c>
      <c r="I382" s="20">
        <f t="shared" si="2"/>
        <v>45416.039984000454</v>
      </c>
      <c r="J382" s="17">
        <f t="shared" si="7"/>
        <v>4.5416039984000456</v>
      </c>
    </row>
    <row r="383" spans="1:10" ht="12" customHeight="1" x14ac:dyDescent="0.3">
      <c r="A383" s="1">
        <f t="shared" si="3"/>
        <v>44054</v>
      </c>
      <c r="B383" s="20">
        <v>11141.304347826086</v>
      </c>
      <c r="C383" s="20">
        <f t="shared" si="4"/>
        <v>35122.282608695685</v>
      </c>
      <c r="D383" s="21" t="str">
        <f t="shared" si="0"/>
        <v>200811</v>
      </c>
      <c r="E383" s="22">
        <f t="shared" si="5"/>
        <v>0.45861200000000002</v>
      </c>
      <c r="F383" s="9">
        <v>0</v>
      </c>
      <c r="G383" s="14">
        <f t="shared" si="1"/>
        <v>101.10865082606095</v>
      </c>
      <c r="H383" s="24">
        <f t="shared" si="6"/>
        <v>10305.25826060952</v>
      </c>
      <c r="I383" s="20">
        <f t="shared" si="2"/>
        <v>45427.540869305201</v>
      </c>
      <c r="J383" s="17">
        <f t="shared" si="7"/>
        <v>4.5427540869305201</v>
      </c>
    </row>
    <row r="384" spans="1:10" ht="12" customHeight="1" x14ac:dyDescent="0.3">
      <c r="A384" s="1">
        <f t="shared" si="3"/>
        <v>44055</v>
      </c>
      <c r="B384" s="20">
        <v>11209.239130434782</v>
      </c>
      <c r="C384" s="20">
        <f t="shared" si="4"/>
        <v>35190.217391304381</v>
      </c>
      <c r="D384" s="21" t="str">
        <f t="shared" si="0"/>
        <v>200812</v>
      </c>
      <c r="E384" s="22">
        <f t="shared" si="5"/>
        <v>0.45861200000000002</v>
      </c>
      <c r="F384" s="9">
        <v>0</v>
      </c>
      <c r="G384" s="14">
        <f t="shared" si="1"/>
        <v>101.10300745288612</v>
      </c>
      <c r="H384" s="24">
        <f t="shared" si="6"/>
        <v>10248.824528861178</v>
      </c>
      <c r="I384" s="20">
        <f t="shared" si="2"/>
        <v>45439.04192016556</v>
      </c>
      <c r="J384" s="17">
        <f t="shared" si="7"/>
        <v>4.5439041920165559</v>
      </c>
    </row>
    <row r="385" spans="1:10" ht="12" customHeight="1" x14ac:dyDescent="0.3">
      <c r="A385" s="1">
        <f t="shared" si="3"/>
        <v>44056</v>
      </c>
      <c r="B385" s="20">
        <v>11277.17391304348</v>
      </c>
      <c r="C385" s="20">
        <f t="shared" si="4"/>
        <v>35258.152173913077</v>
      </c>
      <c r="D385" s="21" t="str">
        <f t="shared" si="0"/>
        <v>200813</v>
      </c>
      <c r="E385" s="22">
        <f t="shared" si="5"/>
        <v>0.45861200000000002</v>
      </c>
      <c r="F385" s="9">
        <v>0</v>
      </c>
      <c r="G385" s="14">
        <f t="shared" si="1"/>
        <v>101.09736409626706</v>
      </c>
      <c r="H385" s="24">
        <f t="shared" si="6"/>
        <v>10192.390962670572</v>
      </c>
      <c r="I385" s="20">
        <f t="shared" si="2"/>
        <v>45450.543136583648</v>
      </c>
      <c r="J385" s="17">
        <f t="shared" si="7"/>
        <v>4.5450543136583654</v>
      </c>
    </row>
    <row r="386" spans="1:10" ht="12" customHeight="1" x14ac:dyDescent="0.3">
      <c r="A386" s="1">
        <f t="shared" si="3"/>
        <v>44057</v>
      </c>
      <c r="B386" s="20">
        <v>11345.108695652176</v>
      </c>
      <c r="C386" s="20">
        <f t="shared" si="4"/>
        <v>35326.086956521773</v>
      </c>
      <c r="D386" s="21" t="str">
        <f t="shared" si="0"/>
        <v>200814</v>
      </c>
      <c r="E386" s="22">
        <f t="shared" si="5"/>
        <v>0.45861200000000002</v>
      </c>
      <c r="F386" s="9">
        <v>0</v>
      </c>
      <c r="G386" s="14">
        <f t="shared" si="1"/>
        <v>101.09172075620394</v>
      </c>
      <c r="H386" s="24">
        <f t="shared" si="6"/>
        <v>10135.957562039408</v>
      </c>
      <c r="I386" s="20">
        <f t="shared" si="2"/>
        <v>45462.044518561182</v>
      </c>
      <c r="J386" s="17">
        <f t="shared" si="7"/>
        <v>4.5462044518561182</v>
      </c>
    </row>
    <row r="387" spans="1:10" ht="12" customHeight="1" x14ac:dyDescent="0.3">
      <c r="A387" s="1">
        <f t="shared" si="3"/>
        <v>44060</v>
      </c>
      <c r="B387" s="20">
        <v>11548.913043478262</v>
      </c>
      <c r="C387" s="20">
        <f t="shared" si="4"/>
        <v>35529.891304347861</v>
      </c>
      <c r="D387" s="21" t="str">
        <f t="shared" si="0"/>
        <v>200817</v>
      </c>
      <c r="E387" s="22">
        <f t="shared" si="5"/>
        <v>0.45861200000000002</v>
      </c>
      <c r="F387" s="9">
        <v>0</v>
      </c>
      <c r="G387" s="14">
        <f t="shared" si="1"/>
        <v>101.07479083535266</v>
      </c>
      <c r="H387" s="24">
        <f t="shared" si="6"/>
        <v>9966.6583535265836</v>
      </c>
      <c r="I387" s="20">
        <f t="shared" si="2"/>
        <v>45496.549657874442</v>
      </c>
      <c r="J387" s="17">
        <f t="shared" si="7"/>
        <v>4.5496549657874441</v>
      </c>
    </row>
    <row r="388" spans="1:10" ht="12" customHeight="1" x14ac:dyDescent="0.3">
      <c r="A388" s="1">
        <f t="shared" si="3"/>
        <v>44061</v>
      </c>
      <c r="B388" s="20">
        <v>11616.847826086958</v>
      </c>
      <c r="C388" s="20">
        <f t="shared" si="4"/>
        <v>35597.826086956557</v>
      </c>
      <c r="D388" s="21" t="str">
        <f t="shared" si="0"/>
        <v>200818</v>
      </c>
      <c r="E388" s="22">
        <f t="shared" si="5"/>
        <v>0.45861200000000002</v>
      </c>
      <c r="F388" s="9">
        <v>0</v>
      </c>
      <c r="G388" s="14">
        <f t="shared" si="1"/>
        <v>101.06914756151558</v>
      </c>
      <c r="H388" s="24">
        <f t="shared" si="6"/>
        <v>9910.2256151557813</v>
      </c>
      <c r="I388" s="20">
        <f t="shared" si="2"/>
        <v>45508.051702112338</v>
      </c>
      <c r="J388" s="17">
        <f t="shared" si="7"/>
        <v>4.550805170211234</v>
      </c>
    </row>
    <row r="389" spans="1:10" ht="12" customHeight="1" x14ac:dyDescent="0.3">
      <c r="A389" s="1">
        <f t="shared" si="3"/>
        <v>44062</v>
      </c>
      <c r="B389" s="20">
        <v>11684.782608695652</v>
      </c>
      <c r="C389" s="20">
        <f t="shared" si="4"/>
        <v>35665.760869565253</v>
      </c>
      <c r="D389" s="21" t="str">
        <f t="shared" si="0"/>
        <v>200819</v>
      </c>
      <c r="E389" s="22">
        <f t="shared" si="5"/>
        <v>0.45861200000000002</v>
      </c>
      <c r="F389" s="9">
        <v>0</v>
      </c>
      <c r="G389" s="14">
        <f t="shared" si="1"/>
        <v>101.06350430423554</v>
      </c>
      <c r="H389" s="24">
        <f t="shared" si="6"/>
        <v>9853.7930423553644</v>
      </c>
      <c r="I389" s="20">
        <f t="shared" si="2"/>
        <v>45519.553911920615</v>
      </c>
      <c r="J389" s="17">
        <f t="shared" si="7"/>
        <v>4.5519553911920614</v>
      </c>
    </row>
    <row r="390" spans="1:10" ht="12" customHeight="1" x14ac:dyDescent="0.3">
      <c r="A390" s="1">
        <f t="shared" si="3"/>
        <v>44063</v>
      </c>
      <c r="B390" s="20">
        <v>11752.717391304348</v>
      </c>
      <c r="C390" s="20">
        <f t="shared" si="4"/>
        <v>35733.695652173948</v>
      </c>
      <c r="D390" s="21" t="str">
        <f t="shared" si="0"/>
        <v>200820</v>
      </c>
      <c r="E390" s="22">
        <f t="shared" si="5"/>
        <v>0.45861200000000002</v>
      </c>
      <c r="F390" s="9">
        <v>0</v>
      </c>
      <c r="G390" s="14">
        <f t="shared" si="1"/>
        <v>101.05786106351272</v>
      </c>
      <c r="H390" s="24">
        <f t="shared" si="6"/>
        <v>9797.3606351271774</v>
      </c>
      <c r="I390" s="20">
        <f t="shared" si="2"/>
        <v>45531.056287301122</v>
      </c>
      <c r="J390" s="17">
        <f t="shared" si="7"/>
        <v>4.5531056287301119</v>
      </c>
    </row>
    <row r="391" spans="1:10" ht="12" customHeight="1" x14ac:dyDescent="0.3">
      <c r="A391" s="1">
        <f t="shared" si="3"/>
        <v>44064</v>
      </c>
      <c r="B391" s="20">
        <v>11820.652173913042</v>
      </c>
      <c r="C391" s="20">
        <f t="shared" si="4"/>
        <v>35801.630434782644</v>
      </c>
      <c r="D391" s="21" t="str">
        <f t="shared" si="0"/>
        <v>200821</v>
      </c>
      <c r="E391" s="22">
        <f t="shared" si="5"/>
        <v>0.45861200000000002</v>
      </c>
      <c r="F391" s="9">
        <v>0</v>
      </c>
      <c r="G391" s="14">
        <f t="shared" si="1"/>
        <v>101.05221783934739</v>
      </c>
      <c r="H391" s="24">
        <f t="shared" si="6"/>
        <v>9740.9283934739215</v>
      </c>
      <c r="I391" s="20">
        <f t="shared" si="2"/>
        <v>45542.558828256566</v>
      </c>
      <c r="J391" s="17">
        <f t="shared" si="7"/>
        <v>4.5542558828256565</v>
      </c>
    </row>
    <row r="392" spans="1:10" ht="12" customHeight="1" x14ac:dyDescent="0.3">
      <c r="A392" s="1">
        <f t="shared" si="3"/>
        <v>44067</v>
      </c>
      <c r="B392" s="20">
        <v>12024.45652173913</v>
      </c>
      <c r="C392" s="20">
        <f t="shared" si="4"/>
        <v>36005.434782608732</v>
      </c>
      <c r="D392" s="21" t="str">
        <f t="shared" si="0"/>
        <v>200824</v>
      </c>
      <c r="E392" s="22">
        <f t="shared" si="5"/>
        <v>0.45861200000000002</v>
      </c>
      <c r="F392" s="9">
        <v>0</v>
      </c>
      <c r="G392" s="14">
        <f t="shared" si="1"/>
        <v>101.03528826619815</v>
      </c>
      <c r="H392" s="24">
        <f t="shared" si="6"/>
        <v>9571.63266198151</v>
      </c>
      <c r="I392" s="20">
        <f t="shared" si="2"/>
        <v>45577.06744459024</v>
      </c>
      <c r="J392" s="17">
        <f t="shared" si="7"/>
        <v>4.5577067444590238</v>
      </c>
    </row>
    <row r="393" spans="1:10" ht="12" customHeight="1" x14ac:dyDescent="0.3">
      <c r="A393" s="1">
        <f t="shared" si="3"/>
        <v>44068</v>
      </c>
      <c r="B393" s="20">
        <v>12092.391304347824</v>
      </c>
      <c r="C393" s="20">
        <f t="shared" si="4"/>
        <v>36073.369565217428</v>
      </c>
      <c r="D393" s="21" t="str">
        <f t="shared" si="0"/>
        <v>200825</v>
      </c>
      <c r="E393" s="22">
        <f t="shared" si="5"/>
        <v>0.45861200000000002</v>
      </c>
      <c r="F393" s="9">
        <v>0</v>
      </c>
      <c r="G393" s="14">
        <f t="shared" si="1"/>
        <v>101.02964510826473</v>
      </c>
      <c r="H393" s="24">
        <f t="shared" si="6"/>
        <v>9515.2010826473088</v>
      </c>
      <c r="I393" s="20">
        <f t="shared" si="2"/>
        <v>45588.570647864733</v>
      </c>
      <c r="J393" s="17">
        <f t="shared" si="7"/>
        <v>4.5588570647864737</v>
      </c>
    </row>
    <row r="394" spans="1:10" ht="12" customHeight="1" x14ac:dyDescent="0.3">
      <c r="A394" s="1">
        <f t="shared" si="3"/>
        <v>44069</v>
      </c>
      <c r="B394" s="20">
        <v>12160.32608695652</v>
      </c>
      <c r="C394" s="20">
        <f t="shared" si="4"/>
        <v>36141.304347826124</v>
      </c>
      <c r="D394" s="21" t="str">
        <f t="shared" si="0"/>
        <v>200826</v>
      </c>
      <c r="E394" s="22">
        <f t="shared" si="5"/>
        <v>0.45861200000000002</v>
      </c>
      <c r="F394" s="9">
        <v>0</v>
      </c>
      <c r="G394" s="14">
        <f t="shared" si="1"/>
        <v>101.02400196688981</v>
      </c>
      <c r="H394" s="24">
        <f t="shared" si="6"/>
        <v>9458.7696688981287</v>
      </c>
      <c r="I394" s="20">
        <f t="shared" si="2"/>
        <v>45600.074016724255</v>
      </c>
      <c r="J394" s="17">
        <f t="shared" si="7"/>
        <v>4.5600074016724248</v>
      </c>
    </row>
    <row r="395" spans="1:10" ht="12" customHeight="1" x14ac:dyDescent="0.3">
      <c r="A395" s="1">
        <f t="shared" si="3"/>
        <v>44070</v>
      </c>
      <c r="B395" s="20">
        <v>12228.260869565218</v>
      </c>
      <c r="C395" s="20">
        <f t="shared" si="4"/>
        <v>36209.23913043482</v>
      </c>
      <c r="D395" s="21" t="str">
        <f t="shared" si="0"/>
        <v>200827</v>
      </c>
      <c r="E395" s="22">
        <f t="shared" si="5"/>
        <v>0.45861200000000002</v>
      </c>
      <c r="F395" s="9">
        <v>0</v>
      </c>
      <c r="G395" s="14">
        <f t="shared" si="1"/>
        <v>101.0183588420736</v>
      </c>
      <c r="H395" s="24">
        <f t="shared" si="6"/>
        <v>9402.3384207359577</v>
      </c>
      <c r="I395" s="20">
        <f t="shared" si="2"/>
        <v>45611.577551170776</v>
      </c>
      <c r="J395" s="17">
        <f t="shared" si="7"/>
        <v>4.5611577551170779</v>
      </c>
    </row>
    <row r="396" spans="1:10" ht="12" customHeight="1" x14ac:dyDescent="0.3">
      <c r="A396" s="1">
        <f t="shared" si="3"/>
        <v>44071</v>
      </c>
      <c r="B396" s="20">
        <v>12296.195652173914</v>
      </c>
      <c r="C396" s="20">
        <f t="shared" si="4"/>
        <v>36277.173913043516</v>
      </c>
      <c r="D396" s="21" t="str">
        <f t="shared" si="0"/>
        <v>200828</v>
      </c>
      <c r="E396" s="22">
        <f t="shared" si="5"/>
        <v>0.45861200000000002</v>
      </c>
      <c r="F396" s="9">
        <v>0</v>
      </c>
      <c r="G396" s="14">
        <f t="shared" si="1"/>
        <v>101.01271573381632</v>
      </c>
      <c r="H396" s="24">
        <f t="shared" si="6"/>
        <v>9345.9073381632152</v>
      </c>
      <c r="I396" s="20">
        <f t="shared" si="2"/>
        <v>45623.081251206735</v>
      </c>
      <c r="J396" s="17">
        <f t="shared" si="7"/>
        <v>4.5623081251206727</v>
      </c>
    </row>
    <row r="397" spans="1:10" ht="12" customHeight="1" x14ac:dyDescent="0.3">
      <c r="A397" s="1">
        <f t="shared" si="3"/>
        <v>44074</v>
      </c>
      <c r="B397" s="20">
        <v>0</v>
      </c>
      <c r="C397" s="20">
        <f t="shared" si="4"/>
        <v>36480.978260869604</v>
      </c>
      <c r="D397" s="21" t="str">
        <f t="shared" si="0"/>
        <v>200831</v>
      </c>
      <c r="E397" s="22">
        <f t="shared" si="5"/>
        <v>0.45861200000000002</v>
      </c>
      <c r="F397" s="9">
        <v>0</v>
      </c>
      <c r="G397" s="14">
        <f t="shared" si="1"/>
        <v>101.0183588420736</v>
      </c>
      <c r="H397" s="24">
        <f t="shared" si="6"/>
        <v>9402.3384207359577</v>
      </c>
      <c r="I397" s="20">
        <f t="shared" si="2"/>
        <v>45883.31668160556</v>
      </c>
      <c r="J397" s="17">
        <f t="shared" si="7"/>
        <v>4.5883316681605555</v>
      </c>
    </row>
    <row r="398" spans="1:10" ht="12" customHeight="1" x14ac:dyDescent="0.3">
      <c r="A398" s="1">
        <f t="shared" si="3"/>
        <v>44075</v>
      </c>
      <c r="B398" s="20">
        <v>69.060773480662988</v>
      </c>
      <c r="C398" s="20">
        <f t="shared" si="4"/>
        <v>36550.039034350266</v>
      </c>
      <c r="D398" s="21" t="str">
        <f t="shared" si="0"/>
        <v>200901</v>
      </c>
      <c r="E398" s="22">
        <f t="shared" si="5"/>
        <v>0.45861200000000002</v>
      </c>
      <c r="F398" s="9">
        <v>0</v>
      </c>
      <c r="G398" s="14">
        <f t="shared" si="1"/>
        <v>101.01269836509329</v>
      </c>
      <c r="H398" s="24">
        <f t="shared" si="6"/>
        <v>9345.7336509328561</v>
      </c>
      <c r="I398" s="20">
        <f t="shared" si="2"/>
        <v>45895.772685283126</v>
      </c>
      <c r="J398" s="17">
        <f t="shared" si="7"/>
        <v>4.5895772685283127</v>
      </c>
    </row>
    <row r="399" spans="1:10" ht="12" customHeight="1" x14ac:dyDescent="0.3">
      <c r="A399" s="1">
        <f t="shared" si="3"/>
        <v>44076</v>
      </c>
      <c r="B399" s="20">
        <v>138.12154696132598</v>
      </c>
      <c r="C399" s="20">
        <f t="shared" si="4"/>
        <v>36619.099807830928</v>
      </c>
      <c r="D399" s="21" t="str">
        <f t="shared" si="0"/>
        <v>200902</v>
      </c>
      <c r="E399" s="22">
        <f t="shared" si="5"/>
        <v>0.45861200000000002</v>
      </c>
      <c r="F399" s="9">
        <v>0</v>
      </c>
      <c r="G399" s="14">
        <f t="shared" si="1"/>
        <v>101.00703792075245</v>
      </c>
      <c r="H399" s="24">
        <f t="shared" si="6"/>
        <v>9289.1292075245237</v>
      </c>
      <c r="I399" s="20">
        <f t="shared" si="2"/>
        <v>45908.22901535545</v>
      </c>
      <c r="J399" s="17">
        <f t="shared" si="7"/>
        <v>4.5908229015355451</v>
      </c>
    </row>
    <row r="400" spans="1:10" ht="12" customHeight="1" x14ac:dyDescent="0.3">
      <c r="A400" s="1">
        <f t="shared" si="3"/>
        <v>44077</v>
      </c>
      <c r="B400" s="20">
        <v>207.18232044198896</v>
      </c>
      <c r="C400" s="20">
        <f t="shared" si="4"/>
        <v>36688.160581311589</v>
      </c>
      <c r="D400" s="21" t="str">
        <f t="shared" si="0"/>
        <v>200903</v>
      </c>
      <c r="E400" s="22">
        <f t="shared" si="5"/>
        <v>0.45861200000000002</v>
      </c>
      <c r="F400" s="9">
        <v>0</v>
      </c>
      <c r="G400" s="14">
        <f t="shared" si="1"/>
        <v>101.00137750905233</v>
      </c>
      <c r="H400" s="24">
        <f t="shared" si="6"/>
        <v>9232.5250905233243</v>
      </c>
      <c r="I400" s="20">
        <f t="shared" si="2"/>
        <v>45920.685671834915</v>
      </c>
      <c r="J400" s="17">
        <f t="shared" si="7"/>
        <v>4.5920685671834915</v>
      </c>
    </row>
    <row r="401" spans="1:10" ht="12" customHeight="1" x14ac:dyDescent="0.3">
      <c r="A401" s="1">
        <f t="shared" si="3"/>
        <v>44078</v>
      </c>
      <c r="B401" s="20">
        <v>276.24309392265195</v>
      </c>
      <c r="C401" s="20">
        <f t="shared" si="4"/>
        <v>36757.221354792251</v>
      </c>
      <c r="D401" s="21" t="str">
        <f t="shared" si="0"/>
        <v>200904</v>
      </c>
      <c r="E401" s="22">
        <f t="shared" si="5"/>
        <v>0.45861200000000002</v>
      </c>
      <c r="F401" s="9">
        <v>0</v>
      </c>
      <c r="G401" s="14">
        <f t="shared" si="1"/>
        <v>100.9957171299942</v>
      </c>
      <c r="H401" s="24">
        <f t="shared" si="6"/>
        <v>9175.921299942047</v>
      </c>
      <c r="I401" s="20">
        <f t="shared" si="2"/>
        <v>45933.1426547343</v>
      </c>
      <c r="J401" s="17">
        <f t="shared" si="7"/>
        <v>4.5933142654734294</v>
      </c>
    </row>
    <row r="402" spans="1:10" ht="12" customHeight="1" x14ac:dyDescent="0.3">
      <c r="A402" s="1">
        <f t="shared" si="3"/>
        <v>44081</v>
      </c>
      <c r="B402" s="20">
        <v>483.42541436464091</v>
      </c>
      <c r="C402" s="20">
        <f t="shared" si="4"/>
        <v>36964.403675234244</v>
      </c>
      <c r="D402" s="21" t="str">
        <f t="shared" si="0"/>
        <v>200907</v>
      </c>
      <c r="E402" s="22">
        <f t="shared" si="5"/>
        <v>0.45861200000000002</v>
      </c>
      <c r="F402" s="9">
        <v>0</v>
      </c>
      <c r="G402" s="14">
        <f t="shared" si="1"/>
        <v>100.97873618868404</v>
      </c>
      <c r="H402" s="24">
        <f t="shared" si="6"/>
        <v>9006.1118868403864</v>
      </c>
      <c r="I402" s="20">
        <f t="shared" si="2"/>
        <v>45970.51556207463</v>
      </c>
      <c r="J402" s="17">
        <f t="shared" si="7"/>
        <v>4.5970515562074636</v>
      </c>
    </row>
    <row r="403" spans="1:10" ht="12" customHeight="1" x14ac:dyDescent="0.3">
      <c r="A403" s="1">
        <f t="shared" si="3"/>
        <v>44082</v>
      </c>
      <c r="B403" s="20">
        <v>552.4861878453039</v>
      </c>
      <c r="C403" s="20">
        <f t="shared" si="4"/>
        <v>37033.464448714905</v>
      </c>
      <c r="D403" s="21" t="str">
        <f t="shared" si="0"/>
        <v>200908</v>
      </c>
      <c r="E403" s="22">
        <f t="shared" si="5"/>
        <v>0.45861200000000002</v>
      </c>
      <c r="F403" s="9">
        <v>0</v>
      </c>
      <c r="G403" s="14">
        <f t="shared" si="1"/>
        <v>100.97307594020623</v>
      </c>
      <c r="H403" s="24">
        <f t="shared" si="6"/>
        <v>8949.5094020622892</v>
      </c>
      <c r="I403" s="20">
        <f t="shared" si="2"/>
        <v>45982.973850777198</v>
      </c>
      <c r="J403" s="17">
        <f t="shared" si="7"/>
        <v>4.5982973850777196</v>
      </c>
    </row>
    <row r="404" spans="1:10" ht="12" customHeight="1" x14ac:dyDescent="0.3">
      <c r="A404" s="1">
        <f t="shared" si="3"/>
        <v>44083</v>
      </c>
      <c r="B404" s="20">
        <v>621.54696132596678</v>
      </c>
      <c r="C404" s="20">
        <f t="shared" si="4"/>
        <v>37102.525222195567</v>
      </c>
      <c r="D404" s="21" t="str">
        <f t="shared" si="0"/>
        <v>200909</v>
      </c>
      <c r="E404" s="22">
        <f t="shared" si="5"/>
        <v>0.45861200000000002</v>
      </c>
      <c r="F404" s="9">
        <v>0</v>
      </c>
      <c r="G404" s="14">
        <f t="shared" si="1"/>
        <v>100.96741572437661</v>
      </c>
      <c r="H404" s="24">
        <f t="shared" si="6"/>
        <v>8892.9072437660743</v>
      </c>
      <c r="I404" s="20">
        <f t="shared" si="2"/>
        <v>45995.43246596164</v>
      </c>
      <c r="J404" s="17">
        <f t="shared" si="7"/>
        <v>4.5995432465961636</v>
      </c>
    </row>
    <row r="405" spans="1:10" ht="12" customHeight="1" x14ac:dyDescent="0.3">
      <c r="A405" s="1">
        <f t="shared" si="3"/>
        <v>44084</v>
      </c>
      <c r="B405" s="20">
        <v>690.60773480662976</v>
      </c>
      <c r="C405" s="20">
        <f t="shared" si="4"/>
        <v>37171.585995676229</v>
      </c>
      <c r="D405" s="21" t="str">
        <f t="shared" si="0"/>
        <v>200910</v>
      </c>
      <c r="E405" s="22">
        <f t="shared" si="5"/>
        <v>0.45861200000000002</v>
      </c>
      <c r="F405" s="9">
        <v>0</v>
      </c>
      <c r="G405" s="14">
        <f t="shared" si="1"/>
        <v>100.96175554119644</v>
      </c>
      <c r="H405" s="24">
        <f t="shared" si="6"/>
        <v>8836.3054119643894</v>
      </c>
      <c r="I405" s="20">
        <f t="shared" si="2"/>
        <v>46007.891407640622</v>
      </c>
      <c r="J405" s="17">
        <f t="shared" si="7"/>
        <v>4.6007891407640624</v>
      </c>
    </row>
    <row r="406" spans="1:10" ht="12" customHeight="1" x14ac:dyDescent="0.3">
      <c r="A406" s="1">
        <f t="shared" si="3"/>
        <v>44085</v>
      </c>
      <c r="B406" s="20">
        <v>759.66850828729275</v>
      </c>
      <c r="C406" s="20">
        <f t="shared" si="4"/>
        <v>37240.646769156891</v>
      </c>
      <c r="D406" s="21" t="str">
        <f t="shared" si="0"/>
        <v>200911</v>
      </c>
      <c r="E406" s="22">
        <f t="shared" si="5"/>
        <v>0.45861200000000002</v>
      </c>
      <c r="F406" s="9">
        <v>0</v>
      </c>
      <c r="G406" s="14">
        <f t="shared" si="1"/>
        <v>100.95609539066695</v>
      </c>
      <c r="H406" s="24">
        <f t="shared" si="6"/>
        <v>8779.7039066694542</v>
      </c>
      <c r="I406" s="20">
        <f t="shared" si="2"/>
        <v>46020.350675826347</v>
      </c>
      <c r="J406" s="17">
        <f t="shared" si="7"/>
        <v>4.6020350675826345</v>
      </c>
    </row>
    <row r="407" spans="1:10" ht="12" customHeight="1" x14ac:dyDescent="0.3">
      <c r="A407" s="1">
        <f t="shared" si="3"/>
        <v>44088</v>
      </c>
      <c r="B407" s="20">
        <v>966.85082872928183</v>
      </c>
      <c r="C407" s="20">
        <f t="shared" si="4"/>
        <v>37447.829089598883</v>
      </c>
      <c r="D407" s="21" t="str">
        <f t="shared" si="0"/>
        <v>200914</v>
      </c>
      <c r="E407" s="22">
        <f t="shared" si="5"/>
        <v>0.45861200000000002</v>
      </c>
      <c r="F407" s="9">
        <v>0</v>
      </c>
      <c r="G407" s="14">
        <f t="shared" si="1"/>
        <v>100.93911513499502</v>
      </c>
      <c r="H407" s="24">
        <f t="shared" si="6"/>
        <v>8609.9013499502071</v>
      </c>
      <c r="I407" s="20">
        <f t="shared" si="2"/>
        <v>46057.730439549094</v>
      </c>
      <c r="J407" s="17">
        <f t="shared" si="7"/>
        <v>4.6057730439549101</v>
      </c>
    </row>
    <row r="408" spans="1:10" ht="12" customHeight="1" x14ac:dyDescent="0.3">
      <c r="A408" s="1">
        <f t="shared" si="3"/>
        <v>44089</v>
      </c>
      <c r="B408" s="20">
        <v>1035.9116022099447</v>
      </c>
      <c r="C408" s="20">
        <f t="shared" si="4"/>
        <v>37516.889863079545</v>
      </c>
      <c r="D408" s="21" t="str">
        <f t="shared" si="0"/>
        <v>200915</v>
      </c>
      <c r="E408" s="22">
        <f t="shared" si="5"/>
        <v>0.45861200000000002</v>
      </c>
      <c r="F408" s="9">
        <v>0</v>
      </c>
      <c r="G408" s="14">
        <f t="shared" si="1"/>
        <v>100.93345511508072</v>
      </c>
      <c r="H408" s="24">
        <f t="shared" si="6"/>
        <v>8553.3011508071868</v>
      </c>
      <c r="I408" s="20">
        <f t="shared" si="2"/>
        <v>46070.191013886732</v>
      </c>
      <c r="J408" s="17">
        <f t="shared" si="7"/>
        <v>4.6070191013886728</v>
      </c>
    </row>
    <row r="409" spans="1:10" ht="12" customHeight="1" x14ac:dyDescent="0.3">
      <c r="A409" s="1">
        <f t="shared" si="3"/>
        <v>44090</v>
      </c>
      <c r="B409" s="20">
        <v>1104.9723756906078</v>
      </c>
      <c r="C409" s="20">
        <f t="shared" si="4"/>
        <v>37585.950636560206</v>
      </c>
      <c r="D409" s="21" t="str">
        <f t="shared" si="0"/>
        <v>200916</v>
      </c>
      <c r="E409" s="22">
        <f t="shared" si="5"/>
        <v>0.45861200000000002</v>
      </c>
      <c r="F409" s="9">
        <v>0</v>
      </c>
      <c r="G409" s="14">
        <f t="shared" si="1"/>
        <v>100.92779512782333</v>
      </c>
      <c r="H409" s="24">
        <f t="shared" si="6"/>
        <v>8496.701278233304</v>
      </c>
      <c r="I409" s="20">
        <f t="shared" si="2"/>
        <v>46082.651914793511</v>
      </c>
      <c r="J409" s="17">
        <f t="shared" si="7"/>
        <v>4.6082651914793509</v>
      </c>
    </row>
    <row r="410" spans="1:10" ht="12" customHeight="1" x14ac:dyDescent="0.3">
      <c r="A410" s="1">
        <f t="shared" si="3"/>
        <v>44091</v>
      </c>
      <c r="B410" s="20">
        <v>1174.0331491712707</v>
      </c>
      <c r="C410" s="20">
        <f t="shared" si="4"/>
        <v>37655.011410040868</v>
      </c>
      <c r="D410" s="21" t="str">
        <f t="shared" si="0"/>
        <v>200917</v>
      </c>
      <c r="E410" s="22">
        <f t="shared" si="5"/>
        <v>0.45861200000000002</v>
      </c>
      <c r="F410" s="9">
        <v>0</v>
      </c>
      <c r="G410" s="14">
        <f t="shared" si="1"/>
        <v>100.92213517322411</v>
      </c>
      <c r="H410" s="24">
        <f t="shared" si="6"/>
        <v>8440.1017322410607</v>
      </c>
      <c r="I410" s="20">
        <f t="shared" si="2"/>
        <v>46095.113142281931</v>
      </c>
      <c r="J410" s="17">
        <f t="shared" si="7"/>
        <v>4.6095113142281932</v>
      </c>
    </row>
    <row r="411" spans="1:10" ht="12" customHeight="1" x14ac:dyDescent="0.3">
      <c r="A411" s="1">
        <f t="shared" si="3"/>
        <v>44092</v>
      </c>
      <c r="B411" s="20">
        <v>1243.0939226519336</v>
      </c>
      <c r="C411" s="20">
        <f t="shared" si="4"/>
        <v>37724.07218352153</v>
      </c>
      <c r="D411" s="21" t="str">
        <f t="shared" si="0"/>
        <v>200918</v>
      </c>
      <c r="E411" s="22">
        <f t="shared" si="5"/>
        <v>0.45861200000000002</v>
      </c>
      <c r="F411" s="9">
        <v>0</v>
      </c>
      <c r="G411" s="14">
        <f t="shared" si="1"/>
        <v>100.91647525128427</v>
      </c>
      <c r="H411" s="24">
        <f t="shared" si="6"/>
        <v>8383.5025128426823</v>
      </c>
      <c r="I411" s="20">
        <f t="shared" si="2"/>
        <v>46107.574696364216</v>
      </c>
      <c r="J411" s="17">
        <f t="shared" si="7"/>
        <v>4.6107574696364217</v>
      </c>
    </row>
    <row r="412" spans="1:10" ht="12" customHeight="1" x14ac:dyDescent="0.3">
      <c r="A412" s="1">
        <f t="shared" si="3"/>
        <v>44095</v>
      </c>
      <c r="B412" s="20">
        <v>1450.2762430939226</v>
      </c>
      <c r="C412" s="20">
        <f t="shared" si="4"/>
        <v>37931.254503963522</v>
      </c>
      <c r="D412" s="21" t="str">
        <f t="shared" si="0"/>
        <v>200921</v>
      </c>
      <c r="E412" s="22">
        <f t="shared" si="5"/>
        <v>0.45861200000000002</v>
      </c>
      <c r="F412" s="9">
        <v>0</v>
      </c>
      <c r="G412" s="14">
        <f t="shared" si="1"/>
        <v>100.89949568143365</v>
      </c>
      <c r="H412" s="24">
        <f t="shared" si="6"/>
        <v>8213.7068143364904</v>
      </c>
      <c r="I412" s="20">
        <f t="shared" si="2"/>
        <v>46144.961318300011</v>
      </c>
      <c r="J412" s="17">
        <f t="shared" si="7"/>
        <v>4.6144961318300011</v>
      </c>
    </row>
    <row r="413" spans="1:10" ht="12" customHeight="1" x14ac:dyDescent="0.3">
      <c r="A413" s="1">
        <f t="shared" si="3"/>
        <v>44096</v>
      </c>
      <c r="B413" s="20">
        <v>1519.3370165745855</v>
      </c>
      <c r="C413" s="20">
        <f t="shared" si="4"/>
        <v>38000.315277444184</v>
      </c>
      <c r="D413" s="21" t="str">
        <f t="shared" si="0"/>
        <v>200922</v>
      </c>
      <c r="E413" s="22">
        <f t="shared" si="5"/>
        <v>0.45861200000000002</v>
      </c>
      <c r="F413" s="9">
        <v>0</v>
      </c>
      <c r="G413" s="14">
        <f t="shared" si="1"/>
        <v>100.89383589014389</v>
      </c>
      <c r="H413" s="24">
        <f t="shared" si="6"/>
        <v>8157.1089014389026</v>
      </c>
      <c r="I413" s="20">
        <f t="shared" si="2"/>
        <v>46157.424178883084</v>
      </c>
      <c r="J413" s="17">
        <f t="shared" si="7"/>
        <v>4.6157424178883089</v>
      </c>
    </row>
    <row r="414" spans="1:10" ht="12" customHeight="1" x14ac:dyDescent="0.3">
      <c r="A414" s="1">
        <f t="shared" si="3"/>
        <v>44097</v>
      </c>
      <c r="B414" s="20">
        <v>1588.3977900552488</v>
      </c>
      <c r="C414" s="20">
        <f t="shared" si="4"/>
        <v>38069.376050924846</v>
      </c>
      <c r="D414" s="21" t="str">
        <f t="shared" si="0"/>
        <v>200923</v>
      </c>
      <c r="E414" s="22">
        <f t="shared" si="5"/>
        <v>0.45861200000000002</v>
      </c>
      <c r="F414" s="9">
        <v>0</v>
      </c>
      <c r="G414" s="14">
        <f t="shared" si="1"/>
        <v>100.88817613151974</v>
      </c>
      <c r="H414" s="24">
        <f t="shared" si="6"/>
        <v>8100.5113151974228</v>
      </c>
      <c r="I414" s="20">
        <f t="shared" si="2"/>
        <v>46169.887366122268</v>
      </c>
      <c r="J414" s="17">
        <f t="shared" si="7"/>
        <v>4.6169887366122273</v>
      </c>
    </row>
    <row r="415" spans="1:10" ht="12" customHeight="1" x14ac:dyDescent="0.3">
      <c r="A415" s="1">
        <f t="shared" si="3"/>
        <v>44098</v>
      </c>
      <c r="B415" s="20">
        <v>1657.4585635359117</v>
      </c>
      <c r="C415" s="20">
        <f t="shared" si="4"/>
        <v>38138.436824405508</v>
      </c>
      <c r="D415" s="21" t="str">
        <f t="shared" si="0"/>
        <v>200924</v>
      </c>
      <c r="E415" s="22">
        <f t="shared" si="5"/>
        <v>0.45861200000000002</v>
      </c>
      <c r="F415" s="9">
        <v>0</v>
      </c>
      <c r="G415" s="14">
        <f t="shared" si="1"/>
        <v>100.88251640556248</v>
      </c>
      <c r="H415" s="24">
        <f t="shared" si="6"/>
        <v>8043.9140556248394</v>
      </c>
      <c r="I415" s="20">
        <f t="shared" si="2"/>
        <v>46182.350880030346</v>
      </c>
      <c r="J415" s="17">
        <f t="shared" si="7"/>
        <v>4.6182350880030345</v>
      </c>
    </row>
    <row r="416" spans="1:10" ht="12" customHeight="1" x14ac:dyDescent="0.3">
      <c r="A416" s="1">
        <f t="shared" si="3"/>
        <v>44099</v>
      </c>
      <c r="B416" s="20">
        <v>1726.5193370165746</v>
      </c>
      <c r="C416" s="20">
        <f t="shared" si="4"/>
        <v>38207.497597886169</v>
      </c>
      <c r="D416" s="21" t="str">
        <f t="shared" si="0"/>
        <v>200925</v>
      </c>
      <c r="E416" s="22">
        <f t="shared" si="5"/>
        <v>0.45861200000000002</v>
      </c>
      <c r="F416" s="9">
        <v>0</v>
      </c>
      <c r="G416" s="14">
        <f t="shared" si="1"/>
        <v>100.87685671227335</v>
      </c>
      <c r="H416" s="24">
        <f t="shared" si="6"/>
        <v>7987.3171227335151</v>
      </c>
      <c r="I416" s="20">
        <f t="shared" si="2"/>
        <v>46194.814720619688</v>
      </c>
      <c r="J416" s="17">
        <f t="shared" si="7"/>
        <v>4.6194814720619686</v>
      </c>
    </row>
    <row r="417" spans="1:10" ht="12" customHeight="1" x14ac:dyDescent="0.3">
      <c r="A417" s="1">
        <f t="shared" si="3"/>
        <v>44102</v>
      </c>
      <c r="B417" s="20">
        <v>1933.7016574585637</v>
      </c>
      <c r="C417" s="20">
        <f t="shared" si="4"/>
        <v>38414.679918328162</v>
      </c>
      <c r="D417" s="21" t="str">
        <f t="shared" si="0"/>
        <v>200928</v>
      </c>
      <c r="E417" s="22">
        <f t="shared" si="5"/>
        <v>0.45861200000000002</v>
      </c>
      <c r="F417" s="9">
        <v>0</v>
      </c>
      <c r="G417" s="14">
        <f t="shared" si="1"/>
        <v>100.85987782842714</v>
      </c>
      <c r="H417" s="24">
        <f t="shared" si="6"/>
        <v>7817.5282842714469</v>
      </c>
      <c r="I417" s="20">
        <f t="shared" si="2"/>
        <v>46232.208202599606</v>
      </c>
      <c r="J417" s="17">
        <f t="shared" si="7"/>
        <v>4.6232208202599612</v>
      </c>
    </row>
    <row r="418" spans="1:10" ht="12" customHeight="1" x14ac:dyDescent="0.3">
      <c r="A418" s="1">
        <f t="shared" si="3"/>
        <v>44103</v>
      </c>
      <c r="B418" s="20">
        <v>2002.7624309392268</v>
      </c>
      <c r="C418" s="20">
        <f t="shared" si="4"/>
        <v>38483.740691808824</v>
      </c>
      <c r="D418" s="21" t="str">
        <f t="shared" si="0"/>
        <v>200929</v>
      </c>
      <c r="E418" s="22">
        <f t="shared" si="5"/>
        <v>0.45861200000000002</v>
      </c>
      <c r="F418" s="9">
        <v>0</v>
      </c>
      <c r="G418" s="14">
        <f t="shared" si="1"/>
        <v>100.85421826582296</v>
      </c>
      <c r="H418" s="24">
        <f t="shared" si="6"/>
        <v>7760.9326582296499</v>
      </c>
      <c r="I418" s="20">
        <f t="shared" si="2"/>
        <v>46244.673350038473</v>
      </c>
      <c r="J418" s="17">
        <f t="shared" si="7"/>
        <v>4.624467335003847</v>
      </c>
    </row>
    <row r="419" spans="1:10" ht="12" customHeight="1" x14ac:dyDescent="0.3">
      <c r="A419" s="1">
        <f t="shared" si="3"/>
        <v>44104</v>
      </c>
      <c r="B419" s="20">
        <v>2071.8232044198894</v>
      </c>
      <c r="C419" s="20">
        <f t="shared" si="4"/>
        <v>38552.801465289485</v>
      </c>
      <c r="D419" s="21" t="str">
        <f t="shared" si="0"/>
        <v>200930</v>
      </c>
      <c r="E419" s="22">
        <f t="shared" si="5"/>
        <v>0.45861200000000002</v>
      </c>
      <c r="F419" s="9">
        <v>0</v>
      </c>
      <c r="G419" s="14">
        <f t="shared" si="1"/>
        <v>100.84855873589314</v>
      </c>
      <c r="H419" s="24">
        <f t="shared" si="6"/>
        <v>7704.3373589313542</v>
      </c>
      <c r="I419" s="20">
        <f t="shared" si="2"/>
        <v>46257.138824220841</v>
      </c>
      <c r="J419" s="17">
        <f t="shared" si="7"/>
        <v>4.625713882422084</v>
      </c>
    </row>
    <row r="420" spans="1:10" ht="12" customHeight="1" x14ac:dyDescent="0.3">
      <c r="A420" s="1">
        <f t="shared" si="3"/>
        <v>44105</v>
      </c>
      <c r="B420" s="20">
        <v>2140.8839779005525</v>
      </c>
      <c r="C420" s="20">
        <f t="shared" si="4"/>
        <v>38621.862238770147</v>
      </c>
      <c r="D420" s="21" t="str">
        <f t="shared" si="0"/>
        <v>201001</v>
      </c>
      <c r="E420" s="22">
        <f t="shared" si="5"/>
        <v>0.45861200000000002</v>
      </c>
      <c r="F420" s="9">
        <v>0</v>
      </c>
      <c r="G420" s="14">
        <f t="shared" si="1"/>
        <v>100.84289923863888</v>
      </c>
      <c r="H420" s="24">
        <f t="shared" si="6"/>
        <v>7647.7423863887843</v>
      </c>
      <c r="I420" s="20">
        <f t="shared" si="2"/>
        <v>46269.604625158929</v>
      </c>
      <c r="J420" s="17">
        <f t="shared" si="7"/>
        <v>4.6269604625158927</v>
      </c>
    </row>
    <row r="421" spans="1:10" ht="12" customHeight="1" x14ac:dyDescent="0.3">
      <c r="A421" s="1">
        <f t="shared" si="3"/>
        <v>44106</v>
      </c>
      <c r="B421" s="20">
        <v>2209.9447513812156</v>
      </c>
      <c r="C421" s="20">
        <f t="shared" si="4"/>
        <v>38690.923012250809</v>
      </c>
      <c r="D421" s="21" t="str">
        <f t="shared" si="0"/>
        <v>201002</v>
      </c>
      <c r="E421" s="22">
        <f t="shared" si="5"/>
        <v>0.45861200000000002</v>
      </c>
      <c r="F421" s="9">
        <v>0</v>
      </c>
      <c r="G421" s="14">
        <f t="shared" si="1"/>
        <v>100.83723977406149</v>
      </c>
      <c r="H421" s="24">
        <f t="shared" si="6"/>
        <v>7591.1477406148715</v>
      </c>
      <c r="I421" s="20">
        <f t="shared" si="2"/>
        <v>46282.070752865679</v>
      </c>
      <c r="J421" s="17">
        <f t="shared" si="7"/>
        <v>4.6282070752865678</v>
      </c>
    </row>
    <row r="422" spans="1:10" ht="12" customHeight="1" x14ac:dyDescent="0.3">
      <c r="A422" s="1">
        <f t="shared" si="3"/>
        <v>44109</v>
      </c>
      <c r="B422" s="20">
        <v>2417.1270718232049</v>
      </c>
      <c r="C422" s="20">
        <f t="shared" si="4"/>
        <v>38898.105332692801</v>
      </c>
      <c r="D422" s="21" t="str">
        <f t="shared" si="0"/>
        <v>201005</v>
      </c>
      <c r="E422" s="22">
        <f t="shared" si="5"/>
        <v>0.45861200000000002</v>
      </c>
      <c r="F422" s="9">
        <v>0</v>
      </c>
      <c r="G422" s="14">
        <f t="shared" si="1"/>
        <v>100.82026157640288</v>
      </c>
      <c r="H422" s="24">
        <f t="shared" si="6"/>
        <v>7421.3657640288493</v>
      </c>
      <c r="I422" s="20">
        <f t="shared" si="2"/>
        <v>46319.471096721652</v>
      </c>
      <c r="J422" s="17">
        <f t="shared" si="7"/>
        <v>4.6319471096721649</v>
      </c>
    </row>
    <row r="423" spans="1:10" ht="12" customHeight="1" x14ac:dyDescent="0.3">
      <c r="A423" s="1">
        <f t="shared" si="3"/>
        <v>44110</v>
      </c>
      <c r="B423" s="20">
        <v>2486.1878453038671</v>
      </c>
      <c r="C423" s="20">
        <f t="shared" si="4"/>
        <v>38967.166106173463</v>
      </c>
      <c r="D423" s="21" t="str">
        <f t="shared" si="0"/>
        <v>201006</v>
      </c>
      <c r="E423" s="22">
        <f t="shared" si="5"/>
        <v>0.45861200000000002</v>
      </c>
      <c r="F423" s="9">
        <v>0</v>
      </c>
      <c r="G423" s="14">
        <f t="shared" si="1"/>
        <v>100.81460224254536</v>
      </c>
      <c r="H423" s="24">
        <f t="shared" si="6"/>
        <v>7364.7724254536233</v>
      </c>
      <c r="I423" s="20">
        <f t="shared" si="2"/>
        <v>46331.938531627085</v>
      </c>
      <c r="J423" s="17">
        <f t="shared" si="7"/>
        <v>4.6331938531627088</v>
      </c>
    </row>
    <row r="424" spans="1:10" ht="12" customHeight="1" x14ac:dyDescent="0.3">
      <c r="A424" s="1">
        <f t="shared" si="3"/>
        <v>44111</v>
      </c>
      <c r="B424" s="20">
        <v>2555.2486187845302</v>
      </c>
      <c r="C424" s="20">
        <f t="shared" si="4"/>
        <v>39036.226879654125</v>
      </c>
      <c r="D424" s="21" t="str">
        <f t="shared" si="0"/>
        <v>201007</v>
      </c>
      <c r="E424" s="22">
        <f t="shared" si="5"/>
        <v>0.45861200000000002</v>
      </c>
      <c r="F424" s="9">
        <v>0</v>
      </c>
      <c r="G424" s="14">
        <f t="shared" si="1"/>
        <v>100.8089429413709</v>
      </c>
      <c r="H424" s="24">
        <f t="shared" si="6"/>
        <v>7308.1794137090128</v>
      </c>
      <c r="I424" s="20">
        <f t="shared" si="2"/>
        <v>46344.406293363136</v>
      </c>
      <c r="J424" s="17">
        <f t="shared" si="7"/>
        <v>4.6344406293363134</v>
      </c>
    </row>
    <row r="425" spans="1:10" ht="12" customHeight="1" x14ac:dyDescent="0.3">
      <c r="A425" s="1">
        <f t="shared" si="3"/>
        <v>44112</v>
      </c>
      <c r="B425" s="20">
        <v>2624.3093922651933</v>
      </c>
      <c r="C425" s="20">
        <f t="shared" si="4"/>
        <v>39105.287653134787</v>
      </c>
      <c r="D425" s="21" t="str">
        <f t="shared" si="0"/>
        <v>201008</v>
      </c>
      <c r="E425" s="22">
        <f t="shared" si="5"/>
        <v>0.45861200000000002</v>
      </c>
      <c r="F425" s="9">
        <v>0</v>
      </c>
      <c r="G425" s="14">
        <f t="shared" si="1"/>
        <v>100.80328367288078</v>
      </c>
      <c r="H425" s="24">
        <f t="shared" si="6"/>
        <v>7251.5867288078089</v>
      </c>
      <c r="I425" s="20">
        <f t="shared" si="2"/>
        <v>46356.874381942594</v>
      </c>
      <c r="J425" s="17">
        <f t="shared" si="7"/>
        <v>4.6356874381942594</v>
      </c>
    </row>
    <row r="426" spans="1:10" ht="12" customHeight="1" x14ac:dyDescent="0.3">
      <c r="A426" s="1">
        <f t="shared" si="3"/>
        <v>44113</v>
      </c>
      <c r="B426" s="20">
        <v>2693.3701657458564</v>
      </c>
      <c r="C426" s="20">
        <f t="shared" si="4"/>
        <v>39174.348426615448</v>
      </c>
      <c r="D426" s="21" t="str">
        <f t="shared" si="0"/>
        <v>201009</v>
      </c>
      <c r="E426" s="22">
        <f t="shared" si="5"/>
        <v>0.45861200000000002</v>
      </c>
      <c r="F426" s="9">
        <v>0</v>
      </c>
      <c r="G426" s="14">
        <f t="shared" si="1"/>
        <v>100.79762443707624</v>
      </c>
      <c r="H426" s="24">
        <f t="shared" si="6"/>
        <v>7194.9943707623725</v>
      </c>
      <c r="I426" s="20">
        <f t="shared" si="2"/>
        <v>46369.342797377823</v>
      </c>
      <c r="J426" s="17">
        <f t="shared" si="7"/>
        <v>4.6369342797377824</v>
      </c>
    </row>
    <row r="427" spans="1:10" ht="12" customHeight="1" x14ac:dyDescent="0.3">
      <c r="A427" s="1">
        <f t="shared" si="3"/>
        <v>44116</v>
      </c>
      <c r="B427" s="20">
        <v>2900.5524861878453</v>
      </c>
      <c r="C427" s="20">
        <f t="shared" si="4"/>
        <v>39381.530747057433</v>
      </c>
      <c r="D427" s="21" t="str">
        <f t="shared" si="0"/>
        <v>201012</v>
      </c>
      <c r="E427" s="22">
        <f t="shared" si="5"/>
        <v>0.45861200000000002</v>
      </c>
      <c r="F427" s="9">
        <v>0</v>
      </c>
      <c r="G427" s="14">
        <f t="shared" si="1"/>
        <v>100.78064692578847</v>
      </c>
      <c r="H427" s="24">
        <f t="shared" si="6"/>
        <v>7025.2192578847425</v>
      </c>
      <c r="I427" s="20">
        <f t="shared" si="2"/>
        <v>46406.75000494218</v>
      </c>
      <c r="J427" s="17">
        <f t="shared" si="7"/>
        <v>4.6406750004942179</v>
      </c>
    </row>
    <row r="428" spans="1:10" ht="12" customHeight="1" x14ac:dyDescent="0.3">
      <c r="A428" s="1">
        <f t="shared" si="3"/>
        <v>44117</v>
      </c>
      <c r="B428" s="20">
        <v>2969.6132596685079</v>
      </c>
      <c r="C428" s="20">
        <f t="shared" si="4"/>
        <v>39450.591520538095</v>
      </c>
      <c r="D428" s="21" t="str">
        <f t="shared" si="0"/>
        <v>201013</v>
      </c>
      <c r="E428" s="22">
        <f t="shared" si="5"/>
        <v>0.45861200000000002</v>
      </c>
      <c r="F428" s="9">
        <v>0</v>
      </c>
      <c r="G428" s="14">
        <f t="shared" si="1"/>
        <v>100.77498782073869</v>
      </c>
      <c r="H428" s="24">
        <f t="shared" si="6"/>
        <v>6968.6282073868706</v>
      </c>
      <c r="I428" s="20">
        <f t="shared" si="2"/>
        <v>46419.219727924967</v>
      </c>
      <c r="J428" s="17">
        <f t="shared" si="7"/>
        <v>4.6419219727924972</v>
      </c>
    </row>
    <row r="429" spans="1:10" ht="12" customHeight="1" x14ac:dyDescent="0.3">
      <c r="A429" s="1">
        <f t="shared" si="3"/>
        <v>44118</v>
      </c>
      <c r="B429" s="20">
        <v>3038.674033149171</v>
      </c>
      <c r="C429" s="20">
        <f t="shared" si="4"/>
        <v>39519.652294018757</v>
      </c>
      <c r="D429" s="21" t="str">
        <f t="shared" si="0"/>
        <v>201014</v>
      </c>
      <c r="E429" s="22">
        <f t="shared" si="5"/>
        <v>0.45861200000000002</v>
      </c>
      <c r="F429" s="9">
        <v>0</v>
      </c>
      <c r="G429" s="14">
        <f t="shared" si="1"/>
        <v>100.76932874838072</v>
      </c>
      <c r="H429" s="24">
        <f t="shared" si="6"/>
        <v>6912.0374838071539</v>
      </c>
      <c r="I429" s="20">
        <f t="shared" si="2"/>
        <v>46431.689777825908</v>
      </c>
      <c r="J429" s="17">
        <f t="shared" si="7"/>
        <v>4.6431689777825902</v>
      </c>
    </row>
    <row r="430" spans="1:10" ht="12" customHeight="1" x14ac:dyDescent="0.3">
      <c r="A430" s="1">
        <f t="shared" si="3"/>
        <v>44119</v>
      </c>
      <c r="B430" s="20">
        <v>3107.7348066298346</v>
      </c>
      <c r="C430" s="20">
        <f t="shared" si="4"/>
        <v>39588.713067499419</v>
      </c>
      <c r="D430" s="21" t="str">
        <f t="shared" si="0"/>
        <v>201015</v>
      </c>
      <c r="E430" s="22">
        <f t="shared" si="5"/>
        <v>0.45861200000000002</v>
      </c>
      <c r="F430" s="9">
        <v>0</v>
      </c>
      <c r="G430" s="14">
        <f t="shared" si="1"/>
        <v>100.7636697087158</v>
      </c>
      <c r="H430" s="24">
        <f t="shared" si="6"/>
        <v>6855.4470871579551</v>
      </c>
      <c r="I430" s="20">
        <f t="shared" si="2"/>
        <v>46444.160154657373</v>
      </c>
      <c r="J430" s="17">
        <f t="shared" si="7"/>
        <v>4.6444160154657377</v>
      </c>
    </row>
    <row r="431" spans="1:10" ht="12" customHeight="1" x14ac:dyDescent="0.3">
      <c r="A431" s="1">
        <f t="shared" si="3"/>
        <v>44120</v>
      </c>
      <c r="B431" s="20">
        <v>3176.7955801104977</v>
      </c>
      <c r="C431" s="20">
        <f t="shared" si="4"/>
        <v>39657.77384098008</v>
      </c>
      <c r="D431" s="21" t="str">
        <f t="shared" si="0"/>
        <v>201016</v>
      </c>
      <c r="E431" s="22">
        <f t="shared" si="5"/>
        <v>0.45861200000000002</v>
      </c>
      <c r="F431" s="9">
        <v>0</v>
      </c>
      <c r="G431" s="14">
        <f t="shared" si="1"/>
        <v>100.75801070174518</v>
      </c>
      <c r="H431" s="24">
        <f t="shared" si="6"/>
        <v>6798.8570174517808</v>
      </c>
      <c r="I431" s="20">
        <f t="shared" si="2"/>
        <v>46456.630858431861</v>
      </c>
      <c r="J431" s="17">
        <f t="shared" si="7"/>
        <v>4.6456630858431858</v>
      </c>
    </row>
    <row r="432" spans="1:10" ht="12" customHeight="1" x14ac:dyDescent="0.3">
      <c r="A432" s="1">
        <f t="shared" si="3"/>
        <v>44123</v>
      </c>
      <c r="B432" s="20">
        <v>3383.9779005524861</v>
      </c>
      <c r="C432" s="20">
        <f t="shared" si="4"/>
        <v>39864.956161422066</v>
      </c>
      <c r="D432" s="21" t="str">
        <f t="shared" si="0"/>
        <v>201019</v>
      </c>
      <c r="E432" s="22">
        <f t="shared" si="5"/>
        <v>0.45861200000000002</v>
      </c>
      <c r="F432" s="9">
        <v>0</v>
      </c>
      <c r="G432" s="14">
        <f t="shared" si="1"/>
        <v>100.7410338770116</v>
      </c>
      <c r="H432" s="24">
        <f t="shared" si="6"/>
        <v>6629.0887701160273</v>
      </c>
      <c r="I432" s="20">
        <f t="shared" si="2"/>
        <v>46494.04493153809</v>
      </c>
      <c r="J432" s="17">
        <f t="shared" si="7"/>
        <v>4.649404493153809</v>
      </c>
    </row>
    <row r="433" spans="1:10" ht="12" customHeight="1" x14ac:dyDescent="0.3">
      <c r="A433" s="1">
        <f t="shared" si="3"/>
        <v>44124</v>
      </c>
      <c r="B433" s="20">
        <v>3453.0386740331492</v>
      </c>
      <c r="C433" s="20">
        <f t="shared" si="4"/>
        <v>39934.016934902727</v>
      </c>
      <c r="D433" s="21" t="str">
        <f t="shared" si="0"/>
        <v>201020</v>
      </c>
      <c r="E433" s="22">
        <f t="shared" si="5"/>
        <v>0.45861200000000002</v>
      </c>
      <c r="F433" s="9">
        <v>0</v>
      </c>
      <c r="G433" s="14">
        <f t="shared" si="1"/>
        <v>100.73537500083066</v>
      </c>
      <c r="H433" s="24">
        <f t="shared" si="6"/>
        <v>6572.500008306577</v>
      </c>
      <c r="I433" s="20">
        <f t="shared" si="2"/>
        <v>46506.516943209303</v>
      </c>
      <c r="J433" s="17">
        <f t="shared" si="7"/>
        <v>4.6506516943209304</v>
      </c>
    </row>
    <row r="434" spans="1:10" ht="12" customHeight="1" x14ac:dyDescent="0.3">
      <c r="A434" s="1">
        <f t="shared" si="3"/>
        <v>44125</v>
      </c>
      <c r="B434" s="20">
        <v>3522.0994475138123</v>
      </c>
      <c r="C434" s="20">
        <f t="shared" si="4"/>
        <v>40003.077708383389</v>
      </c>
      <c r="D434" s="21" t="str">
        <f t="shared" si="0"/>
        <v>201021</v>
      </c>
      <c r="E434" s="22">
        <f t="shared" si="5"/>
        <v>0.45861200000000002</v>
      </c>
      <c r="F434" s="9">
        <v>0</v>
      </c>
      <c r="G434" s="14">
        <f t="shared" si="1"/>
        <v>100.72971615735027</v>
      </c>
      <c r="H434" s="24">
        <f t="shared" si="6"/>
        <v>6515.9115735026771</v>
      </c>
      <c r="I434" s="20">
        <f t="shared" si="2"/>
        <v>46518.989281886068</v>
      </c>
      <c r="J434" s="17">
        <f t="shared" si="7"/>
        <v>4.651898928188607</v>
      </c>
    </row>
    <row r="435" spans="1:10" ht="12" customHeight="1" x14ac:dyDescent="0.3">
      <c r="A435" s="1">
        <f t="shared" si="3"/>
        <v>44126</v>
      </c>
      <c r="B435" s="20">
        <v>3591.1602209944749</v>
      </c>
      <c r="C435" s="20">
        <f t="shared" si="4"/>
        <v>40072.138481864051</v>
      </c>
      <c r="D435" s="21" t="str">
        <f t="shared" si="0"/>
        <v>201022</v>
      </c>
      <c r="E435" s="22">
        <f t="shared" si="5"/>
        <v>0.45861200000000002</v>
      </c>
      <c r="F435" s="9">
        <v>0</v>
      </c>
      <c r="G435" s="14">
        <f t="shared" si="1"/>
        <v>100.72405734657167</v>
      </c>
      <c r="H435" s="24">
        <f t="shared" si="6"/>
        <v>6459.3234657166931</v>
      </c>
      <c r="I435" s="20">
        <f t="shared" si="2"/>
        <v>46531.461947580741</v>
      </c>
      <c r="J435" s="17">
        <f t="shared" si="7"/>
        <v>4.6531461947580741</v>
      </c>
    </row>
    <row r="436" spans="1:10" ht="12" customHeight="1" x14ac:dyDescent="0.3">
      <c r="A436" s="1">
        <f t="shared" si="3"/>
        <v>44127</v>
      </c>
      <c r="B436" s="20">
        <v>3660.220994475138</v>
      </c>
      <c r="C436" s="20">
        <f t="shared" si="4"/>
        <v>40141.199255344713</v>
      </c>
      <c r="D436" s="21" t="str">
        <f t="shared" si="0"/>
        <v>201023</v>
      </c>
      <c r="E436" s="22">
        <f t="shared" si="5"/>
        <v>0.45861200000000002</v>
      </c>
      <c r="F436" s="9">
        <v>0</v>
      </c>
      <c r="G436" s="14">
        <f t="shared" si="1"/>
        <v>100.7183985684961</v>
      </c>
      <c r="H436" s="24">
        <f t="shared" si="6"/>
        <v>6402.7356849609878</v>
      </c>
      <c r="I436" s="20">
        <f t="shared" si="2"/>
        <v>46543.934940305699</v>
      </c>
      <c r="J436" s="17">
        <f t="shared" si="7"/>
        <v>4.65439349403057</v>
      </c>
    </row>
    <row r="437" spans="1:10" ht="12" customHeight="1" x14ac:dyDescent="0.3">
      <c r="A437" s="1">
        <f t="shared" si="3"/>
        <v>44130</v>
      </c>
      <c r="B437" s="20">
        <v>3867.4033149171273</v>
      </c>
      <c r="C437" s="20">
        <f t="shared" si="4"/>
        <v>40348.381575786705</v>
      </c>
      <c r="D437" s="21" t="str">
        <f t="shared" si="0"/>
        <v>201026</v>
      </c>
      <c r="E437" s="22">
        <f t="shared" si="5"/>
        <v>0.45861200000000002</v>
      </c>
      <c r="F437" s="9">
        <v>0</v>
      </c>
      <c r="G437" s="14">
        <f t="shared" si="1"/>
        <v>100.7014224305001</v>
      </c>
      <c r="H437" s="24">
        <f t="shared" si="6"/>
        <v>6232.974305001022</v>
      </c>
      <c r="I437" s="20">
        <f t="shared" si="2"/>
        <v>46581.355880787727</v>
      </c>
      <c r="J437" s="17">
        <f t="shared" si="7"/>
        <v>4.6581355880787729</v>
      </c>
    </row>
    <row r="438" spans="1:10" ht="12" customHeight="1" x14ac:dyDescent="0.3">
      <c r="A438" s="1">
        <f t="shared" si="3"/>
        <v>44131</v>
      </c>
      <c r="B438" s="20">
        <v>3936.46408839779</v>
      </c>
      <c r="C438" s="20">
        <f t="shared" si="4"/>
        <v>40417.442349267367</v>
      </c>
      <c r="D438" s="21" t="str">
        <f t="shared" si="0"/>
        <v>201027</v>
      </c>
      <c r="E438" s="22">
        <f t="shared" si="5"/>
        <v>0.45861200000000002</v>
      </c>
      <c r="F438" s="9">
        <v>0</v>
      </c>
      <c r="G438" s="14">
        <f t="shared" si="1"/>
        <v>100.69576378324916</v>
      </c>
      <c r="H438" s="24">
        <f t="shared" si="6"/>
        <v>6176.3878324916268</v>
      </c>
      <c r="I438" s="20">
        <f t="shared" si="2"/>
        <v>46593.830181758996</v>
      </c>
      <c r="J438" s="17">
        <f t="shared" si="7"/>
        <v>4.6593830181758999</v>
      </c>
    </row>
    <row r="439" spans="1:10" ht="12" customHeight="1" x14ac:dyDescent="0.3">
      <c r="A439" s="1">
        <f t="shared" si="3"/>
        <v>44132</v>
      </c>
      <c r="B439" s="20">
        <v>4005.5248618784535</v>
      </c>
      <c r="C439" s="20">
        <f t="shared" si="4"/>
        <v>40486.503122748029</v>
      </c>
      <c r="D439" s="21" t="str">
        <f t="shared" si="0"/>
        <v>201028</v>
      </c>
      <c r="E439" s="22">
        <f t="shared" si="5"/>
        <v>0.45861200000000002</v>
      </c>
      <c r="F439" s="9">
        <v>0</v>
      </c>
      <c r="G439" s="14">
        <f t="shared" si="1"/>
        <v>100.6901051687075</v>
      </c>
      <c r="H439" s="24">
        <f t="shared" si="6"/>
        <v>6119.8016870750398</v>
      </c>
      <c r="I439" s="20">
        <f t="shared" si="2"/>
        <v>46606.304809823065</v>
      </c>
      <c r="J439" s="17">
        <f t="shared" si="7"/>
        <v>4.6606304809823067</v>
      </c>
    </row>
    <row r="440" spans="1:10" ht="12" customHeight="1" x14ac:dyDescent="0.3">
      <c r="A440" s="1">
        <f t="shared" si="3"/>
        <v>44133</v>
      </c>
      <c r="B440" s="20">
        <v>4074.5856353591162</v>
      </c>
      <c r="C440" s="20">
        <f t="shared" si="4"/>
        <v>40555.56389622869</v>
      </c>
      <c r="D440" s="21" t="str">
        <f t="shared" si="0"/>
        <v>201029</v>
      </c>
      <c r="E440" s="22">
        <f t="shared" si="5"/>
        <v>0.45861200000000002</v>
      </c>
      <c r="F440" s="9">
        <v>0</v>
      </c>
      <c r="G440" s="14">
        <f t="shared" si="1"/>
        <v>100.68444658687635</v>
      </c>
      <c r="H440" s="24">
        <f t="shared" si="6"/>
        <v>6063.2158687634792</v>
      </c>
      <c r="I440" s="20">
        <f t="shared" si="2"/>
        <v>46618.77976499217</v>
      </c>
      <c r="J440" s="17">
        <f t="shared" si="7"/>
        <v>4.6618779764992171</v>
      </c>
    </row>
    <row r="441" spans="1:10" ht="12" customHeight="1" x14ac:dyDescent="0.3">
      <c r="A441" s="1">
        <f t="shared" si="3"/>
        <v>44134</v>
      </c>
      <c r="B441" s="20">
        <v>4143.6464088397788</v>
      </c>
      <c r="C441" s="20">
        <f t="shared" si="4"/>
        <v>40624.624669709352</v>
      </c>
      <c r="D441" s="21" t="str">
        <f t="shared" si="0"/>
        <v>201030</v>
      </c>
      <c r="E441" s="22">
        <f t="shared" si="5"/>
        <v>0.45861200000000002</v>
      </c>
      <c r="F441" s="9">
        <v>0</v>
      </c>
      <c r="G441" s="14">
        <f t="shared" si="1"/>
        <v>100.67878803775697</v>
      </c>
      <c r="H441" s="24">
        <f t="shared" si="6"/>
        <v>6006.6303775697352</v>
      </c>
      <c r="I441" s="20">
        <f t="shared" si="2"/>
        <v>46631.25504727909</v>
      </c>
      <c r="J441" s="17">
        <f t="shared" si="7"/>
        <v>4.6631255047279083</v>
      </c>
    </row>
    <row r="442" spans="1:10" ht="12" customHeight="1" x14ac:dyDescent="0.3">
      <c r="A442" s="1">
        <f t="shared" si="3"/>
        <v>44137</v>
      </c>
      <c r="B442" s="20">
        <v>4350.8287292817686</v>
      </c>
      <c r="C442" s="20">
        <f t="shared" si="4"/>
        <v>40831.806990151345</v>
      </c>
      <c r="D442" s="21" t="str">
        <f t="shared" si="0"/>
        <v>201102</v>
      </c>
      <c r="E442" s="22">
        <f t="shared" si="5"/>
        <v>0.45861200000000002</v>
      </c>
      <c r="F442" s="9">
        <v>0</v>
      </c>
      <c r="G442" s="14">
        <f t="shared" si="1"/>
        <v>100.66181258668199</v>
      </c>
      <c r="H442" s="24">
        <f t="shared" si="6"/>
        <v>5836.8758668198952</v>
      </c>
      <c r="I442" s="20">
        <f t="shared" si="2"/>
        <v>46668.682856971238</v>
      </c>
      <c r="J442" s="17">
        <f t="shared" si="7"/>
        <v>4.6668682856971238</v>
      </c>
    </row>
    <row r="443" spans="1:10" ht="12" customHeight="1" x14ac:dyDescent="0.3">
      <c r="A443" s="1">
        <f t="shared" si="3"/>
        <v>44138</v>
      </c>
      <c r="B443" s="20">
        <v>4419.8895027624312</v>
      </c>
      <c r="C443" s="20">
        <f t="shared" si="4"/>
        <v>40900.867763632006</v>
      </c>
      <c r="D443" s="21" t="str">
        <f t="shared" si="0"/>
        <v>201103</v>
      </c>
      <c r="E443" s="22">
        <f t="shared" si="5"/>
        <v>0.45861200000000002</v>
      </c>
      <c r="F443" s="9">
        <v>0</v>
      </c>
      <c r="G443" s="14">
        <f t="shared" si="1"/>
        <v>100.65615416842219</v>
      </c>
      <c r="H443" s="24">
        <f t="shared" si="6"/>
        <v>5780.2916842219083</v>
      </c>
      <c r="I443" s="20">
        <f t="shared" si="2"/>
        <v>46681.159447853912</v>
      </c>
      <c r="J443" s="17">
        <f t="shared" si="7"/>
        <v>4.6681159447853915</v>
      </c>
    </row>
    <row r="444" spans="1:10" ht="12" customHeight="1" x14ac:dyDescent="0.3">
      <c r="A444" s="1">
        <f t="shared" si="3"/>
        <v>44139</v>
      </c>
      <c r="B444" s="20">
        <v>4488.9502762430939</v>
      </c>
      <c r="C444" s="20">
        <f t="shared" si="4"/>
        <v>40969.928537112668</v>
      </c>
      <c r="D444" s="21" t="str">
        <f t="shared" si="0"/>
        <v>201104</v>
      </c>
      <c r="E444" s="22">
        <f t="shared" si="5"/>
        <v>0.45861200000000002</v>
      </c>
      <c r="F444" s="9">
        <v>0</v>
      </c>
      <c r="G444" s="14">
        <f t="shared" si="1"/>
        <v>100.65049578288041</v>
      </c>
      <c r="H444" s="24">
        <f t="shared" si="6"/>
        <v>5723.707828804123</v>
      </c>
      <c r="I444" s="20">
        <f t="shared" si="2"/>
        <v>46693.636365916791</v>
      </c>
      <c r="J444" s="17">
        <f t="shared" si="7"/>
        <v>4.6693636365916795</v>
      </c>
    </row>
    <row r="445" spans="1:10" ht="12" customHeight="1" x14ac:dyDescent="0.3">
      <c r="A445" s="1">
        <f t="shared" si="3"/>
        <v>44140</v>
      </c>
      <c r="B445" s="20">
        <v>4558.0110497237565</v>
      </c>
      <c r="C445" s="20">
        <f t="shared" si="4"/>
        <v>41038.98931059333</v>
      </c>
      <c r="D445" s="21" t="str">
        <f t="shared" si="0"/>
        <v>201105</v>
      </c>
      <c r="E445" s="22">
        <f t="shared" si="5"/>
        <v>0.45861200000000002</v>
      </c>
      <c r="F445" s="9">
        <v>0</v>
      </c>
      <c r="G445" s="14">
        <f t="shared" si="1"/>
        <v>100.64483743005789</v>
      </c>
      <c r="H445" s="24">
        <f t="shared" si="6"/>
        <v>5667.1243005789047</v>
      </c>
      <c r="I445" s="20">
        <f t="shared" si="2"/>
        <v>46706.113611172237</v>
      </c>
      <c r="J445" s="17">
        <f t="shared" si="7"/>
        <v>4.6706113611172242</v>
      </c>
    </row>
    <row r="446" spans="1:10" ht="12" customHeight="1" x14ac:dyDescent="0.3">
      <c r="A446" s="1">
        <f t="shared" si="3"/>
        <v>44141</v>
      </c>
      <c r="B446" s="20">
        <v>4627.0718232044201</v>
      </c>
      <c r="C446" s="20">
        <f t="shared" si="4"/>
        <v>41108.050084073991</v>
      </c>
      <c r="D446" s="21" t="str">
        <f t="shared" si="0"/>
        <v>201106</v>
      </c>
      <c r="E446" s="22">
        <f t="shared" si="5"/>
        <v>0.45861200000000002</v>
      </c>
      <c r="F446" s="9">
        <v>0</v>
      </c>
      <c r="G446" s="14">
        <f t="shared" si="1"/>
        <v>100.63917910995589</v>
      </c>
      <c r="H446" s="24">
        <f t="shared" si="6"/>
        <v>5610.5410995589009</v>
      </c>
      <c r="I446" s="20">
        <f t="shared" si="2"/>
        <v>46718.591183632889</v>
      </c>
      <c r="J446" s="17">
        <f t="shared" si="7"/>
        <v>4.6718591183632894</v>
      </c>
    </row>
    <row r="447" spans="1:10" ht="12" customHeight="1" x14ac:dyDescent="0.3">
      <c r="A447" s="1">
        <f t="shared" si="3"/>
        <v>44144</v>
      </c>
      <c r="B447" s="20">
        <v>4834.2541436464098</v>
      </c>
      <c r="C447" s="20">
        <f t="shared" si="4"/>
        <v>41315.232404515984</v>
      </c>
      <c r="D447" s="21" t="str">
        <f t="shared" si="0"/>
        <v>201109</v>
      </c>
      <c r="E447" s="22">
        <f t="shared" si="5"/>
        <v>0.45861200000000002</v>
      </c>
      <c r="F447" s="9">
        <v>0</v>
      </c>
      <c r="G447" s="14">
        <f t="shared" si="1"/>
        <v>100.62220434598541</v>
      </c>
      <c r="H447" s="24">
        <f t="shared" si="6"/>
        <v>5440.7934598540924</v>
      </c>
      <c r="I447" s="20">
        <f t="shared" si="2"/>
        <v>46756.02586437008</v>
      </c>
      <c r="J447" s="17">
        <f t="shared" si="7"/>
        <v>4.6756025864370079</v>
      </c>
    </row>
    <row r="448" spans="1:10" ht="12" customHeight="1" x14ac:dyDescent="0.3">
      <c r="A448" s="1">
        <f t="shared" si="3"/>
        <v>44145</v>
      </c>
      <c r="B448" s="20">
        <v>4903.3149171270716</v>
      </c>
      <c r="C448" s="20">
        <f t="shared" si="4"/>
        <v>41384.293177996646</v>
      </c>
      <c r="D448" s="21" t="str">
        <f t="shared" si="0"/>
        <v>201110</v>
      </c>
      <c r="E448" s="22">
        <f t="shared" si="5"/>
        <v>0.45861200000000002</v>
      </c>
      <c r="F448" s="9">
        <v>0</v>
      </c>
      <c r="G448" s="14">
        <f t="shared" si="1"/>
        <v>100.61654615677794</v>
      </c>
      <c r="H448" s="24">
        <f t="shared" si="6"/>
        <v>5384.2115677794318</v>
      </c>
      <c r="I448" s="20">
        <f t="shared" si="2"/>
        <v>46768.504745776081</v>
      </c>
      <c r="J448" s="17">
        <f t="shared" si="7"/>
        <v>4.6768504745776083</v>
      </c>
    </row>
    <row r="449" spans="1:10" ht="12" customHeight="1" x14ac:dyDescent="0.3">
      <c r="A449" s="1">
        <f t="shared" si="3"/>
        <v>44146</v>
      </c>
      <c r="B449" s="20">
        <v>4972.3756906077342</v>
      </c>
      <c r="C449" s="20">
        <f t="shared" si="4"/>
        <v>41453.353951477307</v>
      </c>
      <c r="D449" s="21" t="str">
        <f t="shared" si="0"/>
        <v>201111</v>
      </c>
      <c r="E449" s="22">
        <f t="shared" si="5"/>
        <v>0.45861200000000002</v>
      </c>
      <c r="F449" s="9">
        <v>0</v>
      </c>
      <c r="G449" s="14">
        <f t="shared" si="1"/>
        <v>100.61088800029722</v>
      </c>
      <c r="H449" s="24">
        <f t="shared" si="6"/>
        <v>5327.6300029722279</v>
      </c>
      <c r="I449" s="20">
        <f t="shared" si="2"/>
        <v>46780.983954449533</v>
      </c>
      <c r="J449" s="17">
        <f t="shared" si="7"/>
        <v>4.6780983954449535</v>
      </c>
    </row>
    <row r="450" spans="1:10" ht="12" customHeight="1" x14ac:dyDescent="0.3">
      <c r="A450" s="1">
        <f t="shared" si="3"/>
        <v>44147</v>
      </c>
      <c r="B450" s="20">
        <v>5041.4364640883978</v>
      </c>
      <c r="C450" s="20">
        <f t="shared" si="4"/>
        <v>41522.414724957969</v>
      </c>
      <c r="D450" s="21" t="str">
        <f t="shared" si="0"/>
        <v>201112</v>
      </c>
      <c r="E450" s="22">
        <f t="shared" si="5"/>
        <v>0.45861200000000002</v>
      </c>
      <c r="F450" s="9">
        <v>0</v>
      </c>
      <c r="G450" s="14">
        <f t="shared" si="1"/>
        <v>100.60522987654451</v>
      </c>
      <c r="H450" s="24">
        <f t="shared" si="6"/>
        <v>5271.0487654451308</v>
      </c>
      <c r="I450" s="20">
        <f t="shared" si="2"/>
        <v>46793.463490403097</v>
      </c>
      <c r="J450" s="17">
        <f t="shared" si="7"/>
        <v>4.6793463490403102</v>
      </c>
    </row>
    <row r="451" spans="1:10" ht="12" customHeight="1" x14ac:dyDescent="0.3">
      <c r="A451" s="1">
        <f t="shared" si="3"/>
        <v>44148</v>
      </c>
      <c r="B451" s="20">
        <v>5110.4972375690604</v>
      </c>
      <c r="C451" s="20">
        <f t="shared" si="4"/>
        <v>41591.475498438631</v>
      </c>
      <c r="D451" s="21" t="str">
        <f t="shared" si="0"/>
        <v>201113</v>
      </c>
      <c r="E451" s="22">
        <f t="shared" si="5"/>
        <v>0.45861200000000002</v>
      </c>
      <c r="F451" s="9">
        <v>0</v>
      </c>
      <c r="G451" s="14">
        <f t="shared" si="1"/>
        <v>100.59957178552105</v>
      </c>
      <c r="H451" s="24">
        <f t="shared" si="6"/>
        <v>5214.4678552105006</v>
      </c>
      <c r="I451" s="20">
        <f t="shared" si="2"/>
        <v>46805.943353649134</v>
      </c>
      <c r="J451" s="17">
        <f t="shared" si="7"/>
        <v>4.6805943353649138</v>
      </c>
    </row>
    <row r="452" spans="1:10" ht="12" customHeight="1" x14ac:dyDescent="0.3">
      <c r="A452" s="1">
        <f t="shared" si="3"/>
        <v>44151</v>
      </c>
      <c r="B452" s="20">
        <v>5317.6795580110502</v>
      </c>
      <c r="C452" s="20">
        <f t="shared" si="4"/>
        <v>41798.657818880623</v>
      </c>
      <c r="D452" s="21" t="str">
        <f t="shared" si="0"/>
        <v>201116</v>
      </c>
      <c r="E452" s="22">
        <f t="shared" si="5"/>
        <v>0.45861200000000002</v>
      </c>
      <c r="F452" s="9">
        <v>0</v>
      </c>
      <c r="G452" s="14">
        <f t="shared" si="1"/>
        <v>100.58259770883869</v>
      </c>
      <c r="H452" s="24">
        <f t="shared" si="6"/>
        <v>5044.7270883869069</v>
      </c>
      <c r="I452" s="20">
        <f t="shared" si="2"/>
        <v>46843.384907267529</v>
      </c>
      <c r="J452" s="17">
        <f t="shared" si="7"/>
        <v>4.6843384907267529</v>
      </c>
    </row>
    <row r="453" spans="1:10" ht="12" customHeight="1" x14ac:dyDescent="0.3">
      <c r="A453" s="1">
        <f t="shared" si="3"/>
        <v>44152</v>
      </c>
      <c r="B453" s="20">
        <v>5386.7403314917128</v>
      </c>
      <c r="C453" s="20">
        <f t="shared" si="4"/>
        <v>41867.718592361285</v>
      </c>
      <c r="D453" s="21" t="str">
        <f t="shared" si="0"/>
        <v>201117</v>
      </c>
      <c r="E453" s="22">
        <f t="shared" si="5"/>
        <v>0.45861200000000002</v>
      </c>
      <c r="F453" s="9">
        <v>0</v>
      </c>
      <c r="G453" s="14">
        <f t="shared" si="1"/>
        <v>100.57693974874473</v>
      </c>
      <c r="H453" s="24">
        <f t="shared" si="6"/>
        <v>4988.1474874473497</v>
      </c>
      <c r="I453" s="20">
        <f t="shared" si="2"/>
        <v>46855.866079808635</v>
      </c>
      <c r="J453" s="17">
        <f t="shared" si="7"/>
        <v>4.6855866079808637</v>
      </c>
    </row>
    <row r="454" spans="1:10" ht="12" customHeight="1" x14ac:dyDescent="0.3">
      <c r="A454" s="1">
        <f t="shared" si="3"/>
        <v>44153</v>
      </c>
      <c r="B454" s="20">
        <v>5455.8011049723755</v>
      </c>
      <c r="C454" s="20">
        <f t="shared" si="4"/>
        <v>41936.779365841947</v>
      </c>
      <c r="D454" s="21" t="str">
        <f t="shared" si="0"/>
        <v>201118</v>
      </c>
      <c r="E454" s="22">
        <f t="shared" si="5"/>
        <v>0.45861200000000002</v>
      </c>
      <c r="F454" s="9">
        <v>0</v>
      </c>
      <c r="G454" s="14">
        <f t="shared" si="1"/>
        <v>100.57128182138629</v>
      </c>
      <c r="H454" s="24">
        <f t="shared" si="6"/>
        <v>4931.5682138629318</v>
      </c>
      <c r="I454" s="20">
        <f t="shared" si="2"/>
        <v>46868.347579704881</v>
      </c>
      <c r="J454" s="17">
        <f t="shared" si="7"/>
        <v>4.6868347579704883</v>
      </c>
    </row>
    <row r="455" spans="1:10" ht="12" customHeight="1" x14ac:dyDescent="0.3">
      <c r="A455" s="1">
        <f t="shared" si="3"/>
        <v>44154</v>
      </c>
      <c r="B455" s="20">
        <v>5524.8618784530381</v>
      </c>
      <c r="C455" s="20">
        <f t="shared" si="4"/>
        <v>42005.840139322609</v>
      </c>
      <c r="D455" s="21" t="str">
        <f t="shared" si="0"/>
        <v>201119</v>
      </c>
      <c r="E455" s="22">
        <f t="shared" si="5"/>
        <v>0.45861200000000002</v>
      </c>
      <c r="F455" s="9">
        <v>0</v>
      </c>
      <c r="G455" s="14">
        <f t="shared" si="1"/>
        <v>100.56562392676459</v>
      </c>
      <c r="H455" s="24">
        <f t="shared" si="6"/>
        <v>4874.989267645873</v>
      </c>
      <c r="I455" s="20">
        <f t="shared" si="2"/>
        <v>46880.829406968478</v>
      </c>
      <c r="J455" s="17">
        <f t="shared" si="7"/>
        <v>4.6880829406968481</v>
      </c>
    </row>
    <row r="456" spans="1:10" ht="12" customHeight="1" x14ac:dyDescent="0.3">
      <c r="A456" s="1">
        <f t="shared" si="3"/>
        <v>44155</v>
      </c>
      <c r="B456" s="20">
        <v>5593.9226519337017</v>
      </c>
      <c r="C456" s="20">
        <f t="shared" si="4"/>
        <v>42074.90091280327</v>
      </c>
      <c r="D456" s="21" t="str">
        <f t="shared" si="0"/>
        <v>201120</v>
      </c>
      <c r="E456" s="22">
        <f t="shared" si="5"/>
        <v>0.45861200000000002</v>
      </c>
      <c r="F456" s="9">
        <v>0</v>
      </c>
      <c r="G456" s="14">
        <f t="shared" si="1"/>
        <v>100.5599660648809</v>
      </c>
      <c r="H456" s="24">
        <f t="shared" si="6"/>
        <v>4818.4106488089637</v>
      </c>
      <c r="I456" s="20">
        <f t="shared" si="2"/>
        <v>46893.311561612238</v>
      </c>
      <c r="J456" s="17">
        <f t="shared" si="7"/>
        <v>4.6893311561612236</v>
      </c>
    </row>
    <row r="457" spans="1:10" ht="12" customHeight="1" x14ac:dyDescent="0.3">
      <c r="A457" s="1">
        <f t="shared" si="3"/>
        <v>44158</v>
      </c>
      <c r="B457" s="20">
        <v>5801.1049723756905</v>
      </c>
      <c r="C457" s="20">
        <f t="shared" si="4"/>
        <v>42282.083233245256</v>
      </c>
      <c r="D457" s="21" t="str">
        <f t="shared" si="0"/>
        <v>201123</v>
      </c>
      <c r="E457" s="22">
        <f t="shared" si="5"/>
        <v>0.45861200000000002</v>
      </c>
      <c r="F457" s="9">
        <v>0</v>
      </c>
      <c r="G457" s="14">
        <f t="shared" si="1"/>
        <v>100.54299267567029</v>
      </c>
      <c r="H457" s="24">
        <f t="shared" si="6"/>
        <v>4648.6767567029119</v>
      </c>
      <c r="I457" s="20">
        <f t="shared" si="2"/>
        <v>46930.759989948165</v>
      </c>
      <c r="J457" s="17">
        <f t="shared" si="7"/>
        <v>4.693075998994817</v>
      </c>
    </row>
    <row r="458" spans="1:10" ht="12" customHeight="1" x14ac:dyDescent="0.3">
      <c r="A458" s="1">
        <f t="shared" si="3"/>
        <v>44159</v>
      </c>
      <c r="B458" s="20">
        <v>5870.1657458563532</v>
      </c>
      <c r="C458" s="20">
        <f t="shared" si="4"/>
        <v>42351.144006725917</v>
      </c>
      <c r="D458" s="21" t="str">
        <f t="shared" si="0"/>
        <v>201124</v>
      </c>
      <c r="E458" s="22">
        <f t="shared" si="5"/>
        <v>0.45861200000000002</v>
      </c>
      <c r="F458" s="9">
        <v>0</v>
      </c>
      <c r="G458" s="14">
        <f t="shared" si="1"/>
        <v>100.53733494475109</v>
      </c>
      <c r="H458" s="24">
        <f t="shared" si="6"/>
        <v>4592.0994475109464</v>
      </c>
      <c r="I458" s="20">
        <f t="shared" si="2"/>
        <v>46943.243454236865</v>
      </c>
      <c r="J458" s="17">
        <f t="shared" si="7"/>
        <v>4.6943243454236869</v>
      </c>
    </row>
    <row r="459" spans="1:10" ht="12" customHeight="1" x14ac:dyDescent="0.3">
      <c r="A459" s="1">
        <f t="shared" si="3"/>
        <v>44160</v>
      </c>
      <c r="B459" s="20">
        <v>5939.2265193370158</v>
      </c>
      <c r="C459" s="20">
        <f t="shared" si="4"/>
        <v>42420.204780206579</v>
      </c>
      <c r="D459" s="21" t="str">
        <f t="shared" si="0"/>
        <v>201125</v>
      </c>
      <c r="E459" s="22">
        <f t="shared" si="5"/>
        <v>0.45861200000000002</v>
      </c>
      <c r="F459" s="9">
        <v>0</v>
      </c>
      <c r="G459" s="14">
        <f t="shared" si="1"/>
        <v>100.53167724657612</v>
      </c>
      <c r="H459" s="24">
        <f t="shared" si="6"/>
        <v>4535.5224657612325</v>
      </c>
      <c r="I459" s="20">
        <f t="shared" si="2"/>
        <v>46955.727245967813</v>
      </c>
      <c r="J459" s="17">
        <f t="shared" si="7"/>
        <v>4.6955727245967811</v>
      </c>
    </row>
    <row r="460" spans="1:10" ht="12" customHeight="1" x14ac:dyDescent="0.3">
      <c r="A460" s="1">
        <f t="shared" si="3"/>
        <v>44161</v>
      </c>
      <c r="B460" s="20">
        <v>6008.2872928176794</v>
      </c>
      <c r="C460" s="20">
        <f t="shared" si="4"/>
        <v>42489.265553687241</v>
      </c>
      <c r="D460" s="21" t="str">
        <f t="shared" si="0"/>
        <v>201126</v>
      </c>
      <c r="E460" s="22">
        <f t="shared" si="5"/>
        <v>0.45861200000000002</v>
      </c>
      <c r="F460" s="9">
        <v>0</v>
      </c>
      <c r="G460" s="14">
        <f t="shared" si="1"/>
        <v>100.52601958114667</v>
      </c>
      <c r="H460" s="24">
        <f t="shared" si="6"/>
        <v>4478.9458114667013</v>
      </c>
      <c r="I460" s="20">
        <f t="shared" si="2"/>
        <v>46968.21136515394</v>
      </c>
      <c r="J460" s="17">
        <f t="shared" si="7"/>
        <v>4.6968211365153936</v>
      </c>
    </row>
    <row r="461" spans="1:10" ht="12" customHeight="1" x14ac:dyDescent="0.3">
      <c r="A461" s="1">
        <f t="shared" si="3"/>
        <v>44162</v>
      </c>
      <c r="B461" s="20">
        <v>6077.348066298342</v>
      </c>
      <c r="C461" s="20">
        <f t="shared" si="4"/>
        <v>42558.326327167902</v>
      </c>
      <c r="D461" s="21" t="str">
        <f t="shared" si="0"/>
        <v>201127</v>
      </c>
      <c r="E461" s="22">
        <f t="shared" si="5"/>
        <v>0.45861200000000002</v>
      </c>
      <c r="F461" s="9">
        <v>0</v>
      </c>
      <c r="G461" s="14">
        <f t="shared" si="1"/>
        <v>100.52036194846396</v>
      </c>
      <c r="H461" s="24">
        <f t="shared" si="6"/>
        <v>4422.3694846395747</v>
      </c>
      <c r="I461" s="20">
        <f t="shared" si="2"/>
        <v>46980.695811807476</v>
      </c>
      <c r="J461" s="17">
        <f t="shared" si="7"/>
        <v>4.6980695811807482</v>
      </c>
    </row>
    <row r="462" spans="1:10" ht="12" customHeight="1" x14ac:dyDescent="0.3">
      <c r="A462" s="1">
        <f t="shared" si="3"/>
        <v>44165</v>
      </c>
      <c r="B462" s="20">
        <v>6284.5303867403327</v>
      </c>
      <c r="C462" s="20">
        <f t="shared" si="4"/>
        <v>42765.508647609895</v>
      </c>
      <c r="D462" s="21" t="str">
        <f t="shared" si="0"/>
        <v>201130</v>
      </c>
      <c r="E462" s="22">
        <f t="shared" si="5"/>
        <v>0.45861200000000002</v>
      </c>
      <c r="F462" s="9">
        <v>0</v>
      </c>
      <c r="G462" s="14">
        <f t="shared" si="1"/>
        <v>100.50338924690882</v>
      </c>
      <c r="H462" s="24">
        <f t="shared" si="6"/>
        <v>4252.6424690882441</v>
      </c>
      <c r="I462" s="20">
        <f t="shared" si="2"/>
        <v>47018.151116698136</v>
      </c>
      <c r="J462" s="17">
        <f t="shared" si="7"/>
        <v>4.7018151116698137</v>
      </c>
    </row>
    <row r="463" spans="1:10" ht="12" customHeight="1" x14ac:dyDescent="0.3">
      <c r="A463" s="1">
        <f t="shared" si="3"/>
        <v>44166</v>
      </c>
      <c r="B463" s="20">
        <v>6353.5911602209953</v>
      </c>
      <c r="C463" s="20">
        <f t="shared" si="4"/>
        <v>42834.569421090557</v>
      </c>
      <c r="D463" s="21" t="str">
        <f t="shared" si="0"/>
        <v>201201</v>
      </c>
      <c r="E463" s="22">
        <f t="shared" si="5"/>
        <v>0.45861200000000002</v>
      </c>
      <c r="F463" s="9">
        <v>0</v>
      </c>
      <c r="G463" s="14">
        <f t="shared" si="1"/>
        <v>100.49773174522561</v>
      </c>
      <c r="H463" s="24">
        <f t="shared" si="6"/>
        <v>4196.0674522560739</v>
      </c>
      <c r="I463" s="20">
        <f t="shared" si="2"/>
        <v>47030.63687334663</v>
      </c>
      <c r="J463" s="17">
        <f t="shared" si="7"/>
        <v>4.7030636873346632</v>
      </c>
    </row>
    <row r="464" spans="1:10" ht="12" customHeight="1" x14ac:dyDescent="0.3">
      <c r="A464" s="1">
        <f t="shared" si="3"/>
        <v>44167</v>
      </c>
      <c r="B464" s="20">
        <v>6422.651933701658</v>
      </c>
      <c r="C464" s="20">
        <f t="shared" si="4"/>
        <v>42903.630194571218</v>
      </c>
      <c r="D464" s="21" t="str">
        <f t="shared" si="0"/>
        <v>201202</v>
      </c>
      <c r="E464" s="22">
        <f t="shared" si="5"/>
        <v>0.45861200000000002</v>
      </c>
      <c r="F464" s="9">
        <v>0</v>
      </c>
      <c r="G464" s="14">
        <f t="shared" si="1"/>
        <v>100.4920742762954</v>
      </c>
      <c r="H464" s="24">
        <f t="shared" si="6"/>
        <v>4139.4927629539779</v>
      </c>
      <c r="I464" s="20">
        <f t="shared" si="2"/>
        <v>47043.122957525193</v>
      </c>
      <c r="J464" s="17">
        <f t="shared" si="7"/>
        <v>4.7043122957525192</v>
      </c>
    </row>
    <row r="465" spans="1:10" ht="12" customHeight="1" x14ac:dyDescent="0.3">
      <c r="A465" s="1">
        <f t="shared" si="3"/>
        <v>44168</v>
      </c>
      <c r="B465" s="20">
        <v>6491.7127071823206</v>
      </c>
      <c r="C465" s="20">
        <f t="shared" si="4"/>
        <v>42972.69096805188</v>
      </c>
      <c r="D465" s="21" t="str">
        <f t="shared" si="0"/>
        <v>201203</v>
      </c>
      <c r="E465" s="22">
        <f t="shared" si="5"/>
        <v>0.45861200000000002</v>
      </c>
      <c r="F465" s="9">
        <v>0</v>
      </c>
      <c r="G465" s="14">
        <f t="shared" si="1"/>
        <v>100.48641684011943</v>
      </c>
      <c r="H465" s="24">
        <f t="shared" si="6"/>
        <v>4082.9184011943198</v>
      </c>
      <c r="I465" s="20">
        <f t="shared" si="2"/>
        <v>47055.609369246202</v>
      </c>
      <c r="J465" s="17">
        <f t="shared" si="7"/>
        <v>4.7055609369246199</v>
      </c>
    </row>
    <row r="466" spans="1:10" ht="12" customHeight="1" x14ac:dyDescent="0.3">
      <c r="A466" s="1">
        <f t="shared" si="3"/>
        <v>44169</v>
      </c>
      <c r="B466" s="20">
        <v>6560.7734806629842</v>
      </c>
      <c r="C466" s="20">
        <f t="shared" si="4"/>
        <v>43041.751741532542</v>
      </c>
      <c r="D466" s="21" t="str">
        <f t="shared" si="0"/>
        <v>201204</v>
      </c>
      <c r="E466" s="22">
        <f t="shared" si="5"/>
        <v>0.45861200000000002</v>
      </c>
      <c r="F466" s="9">
        <v>0</v>
      </c>
      <c r="G466" s="14">
        <f t="shared" si="1"/>
        <v>100.48075943669895</v>
      </c>
      <c r="H466" s="24">
        <f t="shared" si="6"/>
        <v>4026.3443669894627</v>
      </c>
      <c r="I466" s="20">
        <f t="shared" si="2"/>
        <v>47068.096108522004</v>
      </c>
      <c r="J466" s="17">
        <f t="shared" si="7"/>
        <v>4.7068096108522006</v>
      </c>
    </row>
    <row r="467" spans="1:10" ht="12" customHeight="1" x14ac:dyDescent="0.3">
      <c r="A467" s="1">
        <f t="shared" si="3"/>
        <v>44172</v>
      </c>
      <c r="B467" s="20">
        <v>6767.9558011049721</v>
      </c>
      <c r="C467" s="20">
        <f t="shared" si="4"/>
        <v>43248.934061974527</v>
      </c>
      <c r="D467" s="21" t="str">
        <f t="shared" si="0"/>
        <v>201207</v>
      </c>
      <c r="E467" s="22">
        <f t="shared" si="5"/>
        <v>0.45861200000000002</v>
      </c>
      <c r="F467" s="9">
        <v>0</v>
      </c>
      <c r="G467" s="14">
        <f t="shared" si="1"/>
        <v>100.46378742298306</v>
      </c>
      <c r="H467" s="24">
        <f t="shared" si="6"/>
        <v>3856.6242298306006</v>
      </c>
      <c r="I467" s="20">
        <f t="shared" si="2"/>
        <v>47105.55829180513</v>
      </c>
      <c r="J467" s="17">
        <f t="shared" si="7"/>
        <v>4.710555829180513</v>
      </c>
    </row>
    <row r="468" spans="1:10" ht="12" customHeight="1" x14ac:dyDescent="0.3">
      <c r="A468" s="1">
        <f t="shared" si="3"/>
        <v>44173</v>
      </c>
      <c r="B468" s="20">
        <v>6837.0165745856357</v>
      </c>
      <c r="C468" s="20">
        <f t="shared" si="4"/>
        <v>43317.994835455189</v>
      </c>
      <c r="D468" s="21" t="str">
        <f t="shared" si="0"/>
        <v>201208</v>
      </c>
      <c r="E468" s="22">
        <f t="shared" si="5"/>
        <v>0.45861200000000002</v>
      </c>
      <c r="F468" s="9">
        <v>0</v>
      </c>
      <c r="G468" s="14">
        <f t="shared" si="1"/>
        <v>100.4581301505971</v>
      </c>
      <c r="H468" s="24">
        <f t="shared" si="6"/>
        <v>3800.0515059709987</v>
      </c>
      <c r="I468" s="20">
        <f t="shared" si="2"/>
        <v>47118.04634142619</v>
      </c>
      <c r="J468" s="17">
        <f t="shared" si="7"/>
        <v>4.7118046341426192</v>
      </c>
    </row>
    <row r="469" spans="1:10" ht="12" customHeight="1" x14ac:dyDescent="0.3">
      <c r="A469" s="1">
        <f t="shared" si="3"/>
        <v>44174</v>
      </c>
      <c r="B469" s="20">
        <v>6906.0773480662983</v>
      </c>
      <c r="C469" s="20">
        <f t="shared" si="4"/>
        <v>43387.055608935851</v>
      </c>
      <c r="D469" s="21" t="str">
        <f t="shared" si="0"/>
        <v>201209</v>
      </c>
      <c r="E469" s="22">
        <f t="shared" si="5"/>
        <v>0.45861200000000002</v>
      </c>
      <c r="F469" s="9">
        <v>0</v>
      </c>
      <c r="G469" s="14">
        <f t="shared" si="1"/>
        <v>100.45247291097289</v>
      </c>
      <c r="H469" s="24">
        <f t="shared" si="6"/>
        <v>3743.4791097288667</v>
      </c>
      <c r="I469" s="20">
        <f t="shared" si="2"/>
        <v>47130.53471866472</v>
      </c>
      <c r="J469" s="17">
        <f t="shared" si="7"/>
        <v>4.7130534718664716</v>
      </c>
    </row>
    <row r="470" spans="1:10" ht="12" customHeight="1" x14ac:dyDescent="0.3">
      <c r="A470" s="1">
        <f t="shared" si="3"/>
        <v>44175</v>
      </c>
      <c r="B470" s="20">
        <v>6975.1381215469619</v>
      </c>
      <c r="C470" s="20">
        <f t="shared" si="4"/>
        <v>43456.116382416512</v>
      </c>
      <c r="D470" s="21" t="str">
        <f t="shared" si="0"/>
        <v>201210</v>
      </c>
      <c r="E470" s="22">
        <f t="shared" si="5"/>
        <v>0.45861200000000002</v>
      </c>
      <c r="F470" s="9">
        <v>0</v>
      </c>
      <c r="G470" s="14">
        <f t="shared" si="1"/>
        <v>100.44681570411169</v>
      </c>
      <c r="H470" s="24">
        <f t="shared" si="6"/>
        <v>3686.9070411168532</v>
      </c>
      <c r="I470" s="20">
        <f t="shared" si="2"/>
        <v>47143.023423533363</v>
      </c>
      <c r="J470" s="17">
        <f t="shared" si="7"/>
        <v>4.7143023423533359</v>
      </c>
    </row>
    <row r="471" spans="1:10" ht="12" customHeight="1" x14ac:dyDescent="0.3">
      <c r="A471" s="1">
        <f t="shared" si="3"/>
        <v>44176</v>
      </c>
      <c r="B471" s="20">
        <v>7044.1988950276245</v>
      </c>
      <c r="C471" s="20">
        <f t="shared" si="4"/>
        <v>43525.177155897174</v>
      </c>
      <c r="D471" s="21" t="str">
        <f t="shared" si="0"/>
        <v>201211</v>
      </c>
      <c r="E471" s="22">
        <f t="shared" si="5"/>
        <v>0.45861200000000002</v>
      </c>
      <c r="F471" s="9">
        <v>0</v>
      </c>
      <c r="G471" s="14">
        <f t="shared" si="1"/>
        <v>100.44115853001473</v>
      </c>
      <c r="H471" s="24">
        <f t="shared" si="6"/>
        <v>3630.3353001473229</v>
      </c>
      <c r="I471" s="20">
        <f t="shared" si="2"/>
        <v>47155.512456044497</v>
      </c>
      <c r="J471" s="17">
        <f t="shared" si="7"/>
        <v>4.7155512456044502</v>
      </c>
    </row>
    <row r="472" spans="1:10" ht="12" customHeight="1" x14ac:dyDescent="0.3">
      <c r="A472" s="1">
        <f t="shared" si="3"/>
        <v>44179</v>
      </c>
      <c r="B472" s="20">
        <v>7251.3812154696125</v>
      </c>
      <c r="C472" s="20">
        <f t="shared" si="4"/>
        <v>43732.359476339159</v>
      </c>
      <c r="D472" s="21" t="str">
        <f t="shared" si="0"/>
        <v>201214</v>
      </c>
      <c r="E472" s="22">
        <f t="shared" si="5"/>
        <v>0.45861200000000002</v>
      </c>
      <c r="F472" s="9">
        <v>0</v>
      </c>
      <c r="G472" s="14">
        <f t="shared" si="1"/>
        <v>100.42418720432191</v>
      </c>
      <c r="H472" s="24">
        <f t="shared" si="6"/>
        <v>3460.6220432191039</v>
      </c>
      <c r="I472" s="20">
        <f t="shared" si="2"/>
        <v>47192.981519558263</v>
      </c>
      <c r="J472" s="17">
        <f t="shared" si="7"/>
        <v>4.7192981519558268</v>
      </c>
    </row>
    <row r="473" spans="1:10" ht="12" customHeight="1" x14ac:dyDescent="0.3">
      <c r="A473" s="1">
        <f t="shared" si="3"/>
        <v>44180</v>
      </c>
      <c r="B473" s="20">
        <v>7320.441988950276</v>
      </c>
      <c r="C473" s="20">
        <f t="shared" si="4"/>
        <v>43801.420249819821</v>
      </c>
      <c r="D473" s="21" t="str">
        <f t="shared" si="0"/>
        <v>201215</v>
      </c>
      <c r="E473" s="22">
        <f t="shared" si="5"/>
        <v>0.45861200000000002</v>
      </c>
      <c r="F473" s="9">
        <v>0</v>
      </c>
      <c r="G473" s="14">
        <f t="shared" si="1"/>
        <v>100.4185301612945</v>
      </c>
      <c r="H473" s="24">
        <f t="shared" si="6"/>
        <v>3404.0516129449825</v>
      </c>
      <c r="I473" s="20">
        <f t="shared" si="2"/>
        <v>47205.471862764804</v>
      </c>
      <c r="J473" s="17">
        <f t="shared" si="7"/>
        <v>4.7205471862764803</v>
      </c>
    </row>
    <row r="474" spans="1:10" ht="12" customHeight="1" x14ac:dyDescent="0.3">
      <c r="A474" s="1">
        <f t="shared" si="3"/>
        <v>44181</v>
      </c>
      <c r="B474" s="20">
        <v>7389.5027624309405</v>
      </c>
      <c r="C474" s="20">
        <f t="shared" si="4"/>
        <v>43870.481023300483</v>
      </c>
      <c r="D474" s="21" t="str">
        <f t="shared" si="0"/>
        <v>201216</v>
      </c>
      <c r="E474" s="22">
        <f t="shared" si="5"/>
        <v>0.45861200000000002</v>
      </c>
      <c r="F474" s="9">
        <v>0</v>
      </c>
      <c r="G474" s="14">
        <f t="shared" si="1"/>
        <v>100.41287315103759</v>
      </c>
      <c r="H474" s="24">
        <f t="shared" si="6"/>
        <v>3347.4815103758715</v>
      </c>
      <c r="I474" s="20">
        <f t="shared" si="2"/>
        <v>47217.962533676357</v>
      </c>
      <c r="J474" s="17">
        <f t="shared" si="7"/>
        <v>4.7217962533676356</v>
      </c>
    </row>
    <row r="475" spans="1:10" ht="12" customHeight="1" x14ac:dyDescent="0.3">
      <c r="A475" s="1">
        <f t="shared" si="3"/>
        <v>44182</v>
      </c>
      <c r="B475" s="20">
        <v>7458.5635359116013</v>
      </c>
      <c r="C475" s="20">
        <f t="shared" si="4"/>
        <v>43939.541796781145</v>
      </c>
      <c r="D475" s="21" t="str">
        <f t="shared" si="0"/>
        <v>201217</v>
      </c>
      <c r="E475" s="22">
        <f t="shared" si="5"/>
        <v>0.45861200000000002</v>
      </c>
      <c r="F475" s="9">
        <v>0</v>
      </c>
      <c r="G475" s="14">
        <f t="shared" si="1"/>
        <v>100.40721617355244</v>
      </c>
      <c r="H475" s="24">
        <f t="shared" si="6"/>
        <v>3290.9117355244175</v>
      </c>
      <c r="I475" s="20">
        <f t="shared" si="2"/>
        <v>47230.453532305561</v>
      </c>
      <c r="J475" s="17">
        <f t="shared" si="7"/>
        <v>4.7230453532305559</v>
      </c>
    </row>
    <row r="476" spans="1:10" ht="12" customHeight="1" x14ac:dyDescent="0.3">
      <c r="A476" s="1">
        <f t="shared" si="3"/>
        <v>44183</v>
      </c>
      <c r="B476" s="20">
        <v>7527.6243093922649</v>
      </c>
      <c r="C476" s="20">
        <f t="shared" si="4"/>
        <v>44008.602570261806</v>
      </c>
      <c r="D476" s="21" t="str">
        <f t="shared" si="0"/>
        <v>201218</v>
      </c>
      <c r="E476" s="22">
        <f t="shared" si="5"/>
        <v>0.45861200000000002</v>
      </c>
      <c r="F476" s="9">
        <v>0</v>
      </c>
      <c r="G476" s="14">
        <f t="shared" si="1"/>
        <v>100.4015592288403</v>
      </c>
      <c r="H476" s="24">
        <f t="shared" si="6"/>
        <v>3234.3422884029847</v>
      </c>
      <c r="I476" s="20">
        <f t="shared" si="2"/>
        <v>47242.944858664792</v>
      </c>
      <c r="J476" s="17">
        <f t="shared" si="7"/>
        <v>4.724294485866479</v>
      </c>
    </row>
    <row r="477" spans="1:10" ht="12" customHeight="1" x14ac:dyDescent="0.3">
      <c r="A477" s="1">
        <f t="shared" si="3"/>
        <v>44186</v>
      </c>
      <c r="B477" s="20">
        <v>7734.8066298342546</v>
      </c>
      <c r="C477" s="20">
        <f t="shared" si="4"/>
        <v>44215.784890703799</v>
      </c>
      <c r="D477" s="21" t="str">
        <f t="shared" si="0"/>
        <v>201221</v>
      </c>
      <c r="E477" s="22">
        <f t="shared" si="5"/>
        <v>0.45861200000000002</v>
      </c>
      <c r="F477" s="9">
        <v>0</v>
      </c>
      <c r="G477" s="14">
        <f t="shared" si="1"/>
        <v>100.38458859135449</v>
      </c>
      <c r="H477" s="24">
        <f t="shared" si="6"/>
        <v>3064.635913544862</v>
      </c>
      <c r="I477" s="20">
        <f t="shared" si="2"/>
        <v>47280.420804248657</v>
      </c>
      <c r="J477" s="17">
        <f t="shared" si="7"/>
        <v>4.7280420804248653</v>
      </c>
    </row>
    <row r="478" spans="1:10" ht="12" customHeight="1" x14ac:dyDescent="0.3">
      <c r="A478" s="1">
        <f t="shared" si="3"/>
        <v>44187</v>
      </c>
      <c r="B478" s="20">
        <v>7803.8674033149173</v>
      </c>
      <c r="C478" s="20">
        <f t="shared" si="4"/>
        <v>44284.84566418446</v>
      </c>
      <c r="D478" s="21" t="str">
        <f t="shared" si="0"/>
        <v>201222</v>
      </c>
      <c r="E478" s="22">
        <f t="shared" si="5"/>
        <v>0.45861200000000002</v>
      </c>
      <c r="F478" s="9">
        <v>0</v>
      </c>
      <c r="G478" s="14">
        <f t="shared" si="1"/>
        <v>100.3789317777469</v>
      </c>
      <c r="H478" s="24">
        <f t="shared" si="6"/>
        <v>3008.0677774689948</v>
      </c>
      <c r="I478" s="20">
        <f t="shared" si="2"/>
        <v>47292.913441653458</v>
      </c>
      <c r="J478" s="17">
        <f t="shared" si="7"/>
        <v>4.7292913441653459</v>
      </c>
    </row>
    <row r="479" spans="1:10" ht="12" customHeight="1" x14ac:dyDescent="0.3">
      <c r="A479" s="1">
        <f t="shared" si="3"/>
        <v>44188</v>
      </c>
      <c r="B479" s="20">
        <v>7872.9281767955799</v>
      </c>
      <c r="C479" s="20">
        <f t="shared" si="4"/>
        <v>44353.906437665122</v>
      </c>
      <c r="D479" s="21" t="str">
        <f t="shared" si="0"/>
        <v>201223</v>
      </c>
      <c r="E479" s="22">
        <f t="shared" si="5"/>
        <v>0.45861200000000002</v>
      </c>
      <c r="F479" s="9">
        <v>0</v>
      </c>
      <c r="G479" s="14">
        <f t="shared" si="1"/>
        <v>100.3732749969186</v>
      </c>
      <c r="H479" s="24">
        <f t="shared" si="6"/>
        <v>2951.4999691859598</v>
      </c>
      <c r="I479" s="20">
        <f t="shared" si="2"/>
        <v>47305.406406851085</v>
      </c>
      <c r="J479" s="17">
        <f t="shared" si="7"/>
        <v>4.730540640685108</v>
      </c>
    </row>
    <row r="480" spans="1:10" ht="12" customHeight="1" x14ac:dyDescent="0.3">
      <c r="A480" s="1">
        <f t="shared" si="3"/>
        <v>44189</v>
      </c>
      <c r="B480" s="20">
        <v>7941.9889502762444</v>
      </c>
      <c r="C480" s="20">
        <f t="shared" si="4"/>
        <v>44422.967211145784</v>
      </c>
      <c r="D480" s="21" t="str">
        <f t="shared" si="0"/>
        <v>201224</v>
      </c>
      <c r="E480" s="22">
        <f t="shared" si="5"/>
        <v>0.45861200000000002</v>
      </c>
      <c r="F480" s="9">
        <v>0</v>
      </c>
      <c r="G480" s="14">
        <f t="shared" si="1"/>
        <v>100.36761824887083</v>
      </c>
      <c r="H480" s="24">
        <f t="shared" si="6"/>
        <v>2894.9324887082639</v>
      </c>
      <c r="I480" s="20">
        <f t="shared" si="2"/>
        <v>47317.899699854046</v>
      </c>
      <c r="J480" s="17">
        <f t="shared" si="7"/>
        <v>4.7317899699854049</v>
      </c>
    </row>
    <row r="481" spans="1:10" ht="12" customHeight="1" x14ac:dyDescent="0.3">
      <c r="A481" s="1">
        <f t="shared" si="3"/>
        <v>44190</v>
      </c>
      <c r="B481" s="20">
        <v>8011.049723756907</v>
      </c>
      <c r="C481" s="20">
        <f t="shared" si="4"/>
        <v>44492.027984626446</v>
      </c>
      <c r="D481" s="21" t="str">
        <f t="shared" si="0"/>
        <v>201225</v>
      </c>
      <c r="E481" s="22">
        <f t="shared" si="5"/>
        <v>0.45861200000000002</v>
      </c>
      <c r="F481" s="9">
        <v>0</v>
      </c>
      <c r="G481" s="14">
        <f t="shared" si="1"/>
        <v>100.36196153360481</v>
      </c>
      <c r="H481" s="24">
        <f t="shared" si="6"/>
        <v>2838.3653360481276</v>
      </c>
      <c r="I481" s="20">
        <f t="shared" si="2"/>
        <v>47330.393320674571</v>
      </c>
      <c r="J481" s="17">
        <f t="shared" si="7"/>
        <v>4.7330393320674569</v>
      </c>
    </row>
    <row r="482" spans="1:10" ht="12" customHeight="1" x14ac:dyDescent="0.3">
      <c r="A482" s="1">
        <f t="shared" si="3"/>
        <v>44193</v>
      </c>
      <c r="B482" s="20">
        <v>8218.2320441988941</v>
      </c>
      <c r="C482" s="20">
        <f t="shared" si="4"/>
        <v>44699.210305068431</v>
      </c>
      <c r="D482" s="21" t="str">
        <f t="shared" si="0"/>
        <v>201228</v>
      </c>
      <c r="E482" s="22">
        <f t="shared" si="5"/>
        <v>0.45861200000000002</v>
      </c>
      <c r="F482" s="9">
        <v>0</v>
      </c>
      <c r="G482" s="14">
        <f t="shared" si="1"/>
        <v>100.34499158450997</v>
      </c>
      <c r="H482" s="24">
        <f t="shared" si="6"/>
        <v>2668.6658450996956</v>
      </c>
      <c r="I482" s="20">
        <f t="shared" si="2"/>
        <v>47367.876150168129</v>
      </c>
      <c r="J482" s="17">
        <f t="shared" si="7"/>
        <v>4.7367876150168131</v>
      </c>
    </row>
    <row r="483" spans="1:10" ht="12" customHeight="1" x14ac:dyDescent="0.3">
      <c r="A483" s="1">
        <f t="shared" si="3"/>
        <v>44194</v>
      </c>
      <c r="B483" s="20">
        <v>8287.2928176795576</v>
      </c>
      <c r="C483" s="20">
        <f t="shared" si="4"/>
        <v>44768.271078549093</v>
      </c>
      <c r="D483" s="21" t="str">
        <f t="shared" si="0"/>
        <v>201229</v>
      </c>
      <c r="E483" s="22">
        <f t="shared" si="5"/>
        <v>0.45861200000000002</v>
      </c>
      <c r="F483" s="9">
        <v>0</v>
      </c>
      <c r="G483" s="14">
        <f t="shared" si="1"/>
        <v>100.33933500038357</v>
      </c>
      <c r="H483" s="24">
        <f t="shared" si="6"/>
        <v>2612.100003835707</v>
      </c>
      <c r="I483" s="20">
        <f t="shared" si="2"/>
        <v>47380.371082384801</v>
      </c>
      <c r="J483" s="17">
        <f t="shared" si="7"/>
        <v>4.7380371082384807</v>
      </c>
    </row>
    <row r="484" spans="1:10" ht="12" customHeight="1" x14ac:dyDescent="0.3">
      <c r="A484" s="1">
        <f t="shared" si="3"/>
        <v>44195</v>
      </c>
      <c r="B484" s="20">
        <v>8356.3535911602194</v>
      </c>
      <c r="C484" s="20">
        <f t="shared" si="4"/>
        <v>44837.331852029754</v>
      </c>
      <c r="D484" s="21" t="str">
        <f t="shared" si="0"/>
        <v>201230</v>
      </c>
      <c r="E484" s="22">
        <f t="shared" si="5"/>
        <v>0.45861200000000002</v>
      </c>
      <c r="F484" s="9">
        <v>0</v>
      </c>
      <c r="G484" s="14">
        <f t="shared" si="1"/>
        <v>100.33367844904522</v>
      </c>
      <c r="H484" s="24">
        <f t="shared" si="6"/>
        <v>2555.5344904522317</v>
      </c>
      <c r="I484" s="20">
        <f t="shared" si="2"/>
        <v>47392.866342481982</v>
      </c>
      <c r="J484" s="17">
        <f t="shared" si="7"/>
        <v>4.7392866342481978</v>
      </c>
    </row>
    <row r="485" spans="1:10" ht="12" customHeight="1" x14ac:dyDescent="0.3">
      <c r="A485" s="1">
        <f t="shared" si="3"/>
        <v>44196</v>
      </c>
      <c r="B485" s="20">
        <v>8425.4143646408847</v>
      </c>
      <c r="C485" s="20">
        <f t="shared" si="4"/>
        <v>44906.392625510416</v>
      </c>
      <c r="D485" s="21" t="str">
        <f t="shared" si="0"/>
        <v>201231</v>
      </c>
      <c r="E485" s="22">
        <f t="shared" si="5"/>
        <v>0.45861200000000002</v>
      </c>
      <c r="F485" s="9">
        <v>0</v>
      </c>
      <c r="G485" s="14">
        <f t="shared" si="1"/>
        <v>100.32802193049613</v>
      </c>
      <c r="H485" s="24">
        <f t="shared" si="6"/>
        <v>2498.9693049613493</v>
      </c>
      <c r="I485" s="20">
        <f t="shared" si="2"/>
        <v>47405.361930471765</v>
      </c>
      <c r="J485" s="17">
        <f t="shared" si="7"/>
        <v>4.7405361930471761</v>
      </c>
    </row>
    <row r="486" spans="1:10" ht="12" customHeight="1" x14ac:dyDescent="0.3">
      <c r="A486" s="1">
        <f t="shared" si="3"/>
        <v>44197</v>
      </c>
      <c r="B486" s="20">
        <v>8494.4751381215483</v>
      </c>
      <c r="C486" s="20">
        <f t="shared" si="4"/>
        <v>44975.453398991078</v>
      </c>
      <c r="D486" s="21" t="str">
        <f t="shared" si="0"/>
        <v>210101</v>
      </c>
      <c r="E486" s="22">
        <f t="shared" si="5"/>
        <v>0.45861200000000002</v>
      </c>
      <c r="F486" s="9">
        <v>0</v>
      </c>
      <c r="G486" s="14">
        <f t="shared" si="1"/>
        <v>100.3223654447376</v>
      </c>
      <c r="H486" s="24">
        <f t="shared" si="6"/>
        <v>2442.4044473759918</v>
      </c>
      <c r="I486" s="20">
        <f t="shared" si="2"/>
        <v>47417.857846367071</v>
      </c>
      <c r="J486" s="17">
        <f t="shared" si="7"/>
        <v>4.7417857846367077</v>
      </c>
    </row>
    <row r="487" spans="1:10" ht="12" customHeight="1" x14ac:dyDescent="0.3">
      <c r="A487" s="1">
        <f t="shared" si="3"/>
        <v>44200</v>
      </c>
      <c r="B487" s="20">
        <v>8701.6574585635371</v>
      </c>
      <c r="C487" s="20">
        <f t="shared" si="4"/>
        <v>45182.635719433063</v>
      </c>
      <c r="D487" s="21" t="str">
        <f t="shared" si="0"/>
        <v>210104</v>
      </c>
      <c r="E487" s="22">
        <f t="shared" si="5"/>
        <v>0.45861200000000002</v>
      </c>
      <c r="F487" s="9">
        <v>0</v>
      </c>
      <c r="G487" s="14">
        <f t="shared" si="1"/>
        <v>100.30539618421776</v>
      </c>
      <c r="H487" s="24">
        <f t="shared" si="6"/>
        <v>2272.7118421775572</v>
      </c>
      <c r="I487" s="20">
        <f t="shared" si="2"/>
        <v>47455.347561610623</v>
      </c>
      <c r="J487" s="17">
        <f t="shared" si="7"/>
        <v>4.7455347561610619</v>
      </c>
    </row>
    <row r="488" spans="1:10" ht="12" customHeight="1" x14ac:dyDescent="0.3">
      <c r="A488" s="1">
        <f t="shared" si="3"/>
        <v>44201</v>
      </c>
      <c r="B488" s="20">
        <v>8770.7182320441989</v>
      </c>
      <c r="C488" s="20">
        <f t="shared" si="4"/>
        <v>45251.696492913725</v>
      </c>
      <c r="D488" s="21" t="str">
        <f t="shared" si="0"/>
        <v>210105</v>
      </c>
      <c r="E488" s="22">
        <f t="shared" si="5"/>
        <v>0.45861200000000002</v>
      </c>
      <c r="F488" s="9">
        <v>0</v>
      </c>
      <c r="G488" s="14">
        <f t="shared" si="1"/>
        <v>100.29973982963389</v>
      </c>
      <c r="H488" s="24">
        <f t="shared" si="6"/>
        <v>2216.148296338929</v>
      </c>
      <c r="I488" s="20">
        <f t="shared" si="2"/>
        <v>47467.844789252653</v>
      </c>
      <c r="J488" s="17">
        <f t="shared" si="7"/>
        <v>4.7467844789252656</v>
      </c>
    </row>
    <row r="489" spans="1:10" ht="12" customHeight="1" x14ac:dyDescent="0.3">
      <c r="A489" s="1">
        <f t="shared" si="3"/>
        <v>44202</v>
      </c>
      <c r="B489" s="20">
        <v>8839.7790055248624</v>
      </c>
      <c r="C489" s="20">
        <f t="shared" si="4"/>
        <v>45320.757266394387</v>
      </c>
      <c r="D489" s="21" t="str">
        <f t="shared" si="0"/>
        <v>210106</v>
      </c>
      <c r="E489" s="22">
        <f t="shared" si="5"/>
        <v>0.45861200000000002</v>
      </c>
      <c r="F489" s="9">
        <v>0</v>
      </c>
      <c r="G489" s="14">
        <f t="shared" si="1"/>
        <v>100.29408350784684</v>
      </c>
      <c r="H489" s="24">
        <f t="shared" si="6"/>
        <v>2159.5850784683535</v>
      </c>
      <c r="I489" s="20">
        <f t="shared" si="2"/>
        <v>47480.342344862744</v>
      </c>
      <c r="J489" s="17">
        <f t="shared" si="7"/>
        <v>4.7480342344862745</v>
      </c>
    </row>
    <row r="490" spans="1:10" ht="12" customHeight="1" x14ac:dyDescent="0.3">
      <c r="A490" s="1">
        <f t="shared" si="3"/>
        <v>44203</v>
      </c>
      <c r="B490" s="20">
        <v>8908.8397790055242</v>
      </c>
      <c r="C490" s="20">
        <f t="shared" si="4"/>
        <v>45389.818039875048</v>
      </c>
      <c r="D490" s="21" t="str">
        <f t="shared" si="0"/>
        <v>210107</v>
      </c>
      <c r="E490" s="22">
        <f t="shared" si="5"/>
        <v>0.45861200000000002</v>
      </c>
      <c r="F490" s="9">
        <v>0</v>
      </c>
      <c r="G490" s="14">
        <f t="shared" si="1"/>
        <v>100.28842721885783</v>
      </c>
      <c r="H490" s="24">
        <f t="shared" si="6"/>
        <v>2103.0221885783362</v>
      </c>
      <c r="I490" s="20">
        <f t="shared" si="2"/>
        <v>47492.840228453388</v>
      </c>
      <c r="J490" s="17">
        <f t="shared" si="7"/>
        <v>4.7492840228453392</v>
      </c>
    </row>
    <row r="491" spans="1:10" ht="12" customHeight="1" x14ac:dyDescent="0.3">
      <c r="A491" s="1">
        <f t="shared" si="3"/>
        <v>44204</v>
      </c>
      <c r="B491" s="20">
        <v>8977.9005524861877</v>
      </c>
      <c r="C491" s="20">
        <f t="shared" si="4"/>
        <v>45458.87881335571</v>
      </c>
      <c r="D491" s="21" t="str">
        <f t="shared" si="0"/>
        <v>210108</v>
      </c>
      <c r="E491" s="22">
        <f t="shared" si="5"/>
        <v>0.45861200000000002</v>
      </c>
      <c r="F491" s="9">
        <v>0</v>
      </c>
      <c r="G491" s="14">
        <f t="shared" si="1"/>
        <v>100.28277096266814</v>
      </c>
      <c r="H491" s="24">
        <f t="shared" si="6"/>
        <v>2046.459626681383</v>
      </c>
      <c r="I491" s="20">
        <f t="shared" si="2"/>
        <v>47505.338440037092</v>
      </c>
      <c r="J491" s="17">
        <f t="shared" si="7"/>
        <v>4.7505338440037095</v>
      </c>
    </row>
    <row r="492" spans="1:10" ht="12" customHeight="1" x14ac:dyDescent="0.3">
      <c r="A492" s="1">
        <f t="shared" si="3"/>
        <v>44207</v>
      </c>
      <c r="B492" s="20">
        <v>9185.0828729281766</v>
      </c>
      <c r="C492" s="20">
        <f t="shared" si="4"/>
        <v>45666.061133797702</v>
      </c>
      <c r="D492" s="21" t="str">
        <f t="shared" si="0"/>
        <v>210111</v>
      </c>
      <c r="E492" s="22">
        <f t="shared" si="5"/>
        <v>0.45861200000000002</v>
      </c>
      <c r="F492" s="9">
        <v>0</v>
      </c>
      <c r="G492" s="14">
        <f t="shared" si="1"/>
        <v>100.26580239090737</v>
      </c>
      <c r="H492" s="24">
        <f t="shared" si="6"/>
        <v>1876.7739090736768</v>
      </c>
      <c r="I492" s="20">
        <f t="shared" si="2"/>
        <v>47542.835042871382</v>
      </c>
      <c r="J492" s="17">
        <f t="shared" si="7"/>
        <v>4.7542835042871374</v>
      </c>
    </row>
    <row r="493" spans="1:10" ht="12" customHeight="1" x14ac:dyDescent="0.3">
      <c r="A493" s="1">
        <f t="shared" si="3"/>
        <v>44208</v>
      </c>
      <c r="B493" s="20">
        <v>9254.1436464088401</v>
      </c>
      <c r="C493" s="20">
        <f t="shared" si="4"/>
        <v>45735.121907278364</v>
      </c>
      <c r="D493" s="21" t="str">
        <f t="shared" si="0"/>
        <v>210112</v>
      </c>
      <c r="E493" s="22">
        <f t="shared" si="5"/>
        <v>0.45861200000000002</v>
      </c>
      <c r="F493" s="9">
        <v>0</v>
      </c>
      <c r="G493" s="14">
        <f t="shared" si="1"/>
        <v>100.26014626592742</v>
      </c>
      <c r="H493" s="24">
        <f t="shared" si="6"/>
        <v>1820.2126592741763</v>
      </c>
      <c r="I493" s="20">
        <f t="shared" si="2"/>
        <v>47555.334566552541</v>
      </c>
      <c r="J493" s="17">
        <f t="shared" si="7"/>
        <v>4.7555334566552538</v>
      </c>
    </row>
    <row r="494" spans="1:10" ht="12" customHeight="1" x14ac:dyDescent="0.3">
      <c r="A494" s="1">
        <f t="shared" si="3"/>
        <v>44209</v>
      </c>
      <c r="B494" s="20">
        <v>9323.2044198895019</v>
      </c>
      <c r="C494" s="20">
        <f t="shared" si="4"/>
        <v>45804.182680759026</v>
      </c>
      <c r="D494" s="21" t="str">
        <f t="shared" si="0"/>
        <v>210113</v>
      </c>
      <c r="E494" s="22">
        <f t="shared" si="5"/>
        <v>0.45861200000000002</v>
      </c>
      <c r="F494" s="9">
        <v>0</v>
      </c>
      <c r="G494" s="14">
        <f t="shared" si="1"/>
        <v>100.25449017375303</v>
      </c>
      <c r="H494" s="24">
        <f t="shared" si="6"/>
        <v>1763.6517375302674</v>
      </c>
      <c r="I494" s="20">
        <f t="shared" si="2"/>
        <v>47567.834418289291</v>
      </c>
      <c r="J494" s="17">
        <f t="shared" si="7"/>
        <v>4.7567834418289285</v>
      </c>
    </row>
    <row r="495" spans="1:10" ht="12" customHeight="1" x14ac:dyDescent="0.3">
      <c r="A495" s="1">
        <f t="shared" si="3"/>
        <v>44210</v>
      </c>
      <c r="B495" s="20">
        <v>9392.2651933701654</v>
      </c>
      <c r="C495" s="20">
        <f t="shared" si="4"/>
        <v>45873.243454239688</v>
      </c>
      <c r="D495" s="21" t="str">
        <f t="shared" si="0"/>
        <v>210114</v>
      </c>
      <c r="E495" s="22">
        <f t="shared" si="5"/>
        <v>0.45861200000000002</v>
      </c>
      <c r="F495" s="9">
        <v>0</v>
      </c>
      <c r="G495" s="14">
        <f t="shared" si="1"/>
        <v>100.24883411438547</v>
      </c>
      <c r="H495" s="24">
        <f t="shared" si="6"/>
        <v>1707.0911438547398</v>
      </c>
      <c r="I495" s="20">
        <f t="shared" si="2"/>
        <v>47580.334598094429</v>
      </c>
      <c r="J495" s="17">
        <f t="shared" si="7"/>
        <v>4.7580334598094431</v>
      </c>
    </row>
    <row r="496" spans="1:10" ht="12" customHeight="1" x14ac:dyDescent="0.3">
      <c r="A496" s="1">
        <f t="shared" si="3"/>
        <v>44211</v>
      </c>
      <c r="B496" s="20">
        <v>9461.325966850829</v>
      </c>
      <c r="C496" s="20">
        <f t="shared" si="4"/>
        <v>45942.304227720349</v>
      </c>
      <c r="D496" s="21" t="str">
        <f t="shared" si="0"/>
        <v>210115</v>
      </c>
      <c r="E496" s="22">
        <f t="shared" si="5"/>
        <v>0.45861200000000002</v>
      </c>
      <c r="F496" s="9">
        <v>0</v>
      </c>
      <c r="G496" s="14">
        <f t="shared" si="1"/>
        <v>100.243178087826</v>
      </c>
      <c r="H496" s="24">
        <f t="shared" si="6"/>
        <v>1650.530878259957</v>
      </c>
      <c r="I496" s="20">
        <f t="shared" si="2"/>
        <v>47592.83510598031</v>
      </c>
      <c r="J496" s="17">
        <f t="shared" si="7"/>
        <v>4.7592835105980305</v>
      </c>
    </row>
    <row r="497" spans="1:10" ht="12" customHeight="1" x14ac:dyDescent="0.3">
      <c r="A497" s="1">
        <f t="shared" si="3"/>
        <v>44214</v>
      </c>
      <c r="B497" s="20">
        <v>9668.5082872928197</v>
      </c>
      <c r="C497" s="20">
        <f t="shared" si="4"/>
        <v>46149.486548162342</v>
      </c>
      <c r="D497" s="21" t="str">
        <f t="shared" si="0"/>
        <v>210118</v>
      </c>
      <c r="E497" s="22">
        <f t="shared" si="5"/>
        <v>0.45861200000000002</v>
      </c>
      <c r="F497" s="9">
        <v>0</v>
      </c>
      <c r="G497" s="14">
        <f t="shared" si="1"/>
        <v>100.22621020500853</v>
      </c>
      <c r="H497" s="24">
        <f t="shared" si="6"/>
        <v>1480.8520500852749</v>
      </c>
      <c r="I497" s="20">
        <f t="shared" si="2"/>
        <v>47630.338598247617</v>
      </c>
      <c r="J497" s="17">
        <f t="shared" si="7"/>
        <v>4.7630338598247617</v>
      </c>
    </row>
    <row r="498" spans="1:10" ht="12" customHeight="1" x14ac:dyDescent="0.3">
      <c r="A498" s="1">
        <f t="shared" si="3"/>
        <v>44215</v>
      </c>
      <c r="B498" s="20">
        <v>9737.5690607734814</v>
      </c>
      <c r="C498" s="20">
        <f t="shared" si="4"/>
        <v>46218.547321643004</v>
      </c>
      <c r="D498" s="21" t="str">
        <f t="shared" si="0"/>
        <v>210119</v>
      </c>
      <c r="E498" s="22">
        <f t="shared" si="5"/>
        <v>0.45861200000000002</v>
      </c>
      <c r="F498" s="9">
        <v>0</v>
      </c>
      <c r="G498" s="14">
        <f t="shared" si="1"/>
        <v>100.22055430969388</v>
      </c>
      <c r="H498" s="24">
        <f t="shared" si="6"/>
        <v>1424.2930969388115</v>
      </c>
      <c r="I498" s="20">
        <f t="shared" si="2"/>
        <v>47642.840418581814</v>
      </c>
      <c r="J498" s="17">
        <f t="shared" si="7"/>
        <v>4.7642840418581818</v>
      </c>
    </row>
    <row r="499" spans="1:10" ht="12" customHeight="1" x14ac:dyDescent="0.3">
      <c r="A499" s="1">
        <f t="shared" si="3"/>
        <v>44216</v>
      </c>
      <c r="B499" s="20">
        <v>9806.6298342541431</v>
      </c>
      <c r="C499" s="20">
        <f t="shared" si="4"/>
        <v>46287.608095123665</v>
      </c>
      <c r="D499" s="21" t="str">
        <f t="shared" si="0"/>
        <v>210120</v>
      </c>
      <c r="E499" s="22">
        <f t="shared" si="5"/>
        <v>0.45861200000000002</v>
      </c>
      <c r="F499" s="9">
        <v>0</v>
      </c>
      <c r="G499" s="14">
        <f t="shared" si="1"/>
        <v>100.21489844719358</v>
      </c>
      <c r="H499" s="24">
        <f t="shared" si="6"/>
        <v>1367.734471935762</v>
      </c>
      <c r="I499" s="20">
        <f t="shared" si="2"/>
        <v>47655.34256705943</v>
      </c>
      <c r="J499" s="17">
        <f t="shared" si="7"/>
        <v>4.7655342567059433</v>
      </c>
    </row>
    <row r="500" spans="1:10" ht="12" customHeight="1" x14ac:dyDescent="0.3">
      <c r="A500" s="1">
        <f t="shared" si="3"/>
        <v>44217</v>
      </c>
      <c r="B500" s="20">
        <v>9875.6906077348049</v>
      </c>
      <c r="C500" s="20">
        <f t="shared" si="4"/>
        <v>46356.668868604327</v>
      </c>
      <c r="D500" s="21" t="str">
        <f t="shared" si="0"/>
        <v>210121</v>
      </c>
      <c r="E500" s="22">
        <f t="shared" si="5"/>
        <v>0.45861200000000002</v>
      </c>
      <c r="F500" s="9">
        <v>0</v>
      </c>
      <c r="G500" s="14">
        <f t="shared" si="1"/>
        <v>100.20924261750886</v>
      </c>
      <c r="H500" s="24">
        <f t="shared" si="6"/>
        <v>1311.176175088633</v>
      </c>
      <c r="I500" s="20">
        <f t="shared" si="2"/>
        <v>47667.845043692963</v>
      </c>
      <c r="J500" s="17">
        <f t="shared" si="7"/>
        <v>4.7667845043692969</v>
      </c>
    </row>
    <row r="501" spans="1:10" ht="12" customHeight="1" x14ac:dyDescent="0.3">
      <c r="A501" s="1">
        <f t="shared" si="3"/>
        <v>44218</v>
      </c>
      <c r="B501" s="20">
        <v>9944.7513812154684</v>
      </c>
      <c r="C501" s="20">
        <f t="shared" si="4"/>
        <v>46425.729642084989</v>
      </c>
      <c r="D501" s="21" t="str">
        <f t="shared" si="0"/>
        <v>210122</v>
      </c>
      <c r="E501" s="22">
        <f t="shared" si="5"/>
        <v>0.45861200000000002</v>
      </c>
      <c r="F501" s="9">
        <v>0</v>
      </c>
      <c r="G501" s="14">
        <f t="shared" si="1"/>
        <v>100.20358682064101</v>
      </c>
      <c r="H501" s="24">
        <f t="shared" si="6"/>
        <v>1254.6182064100719</v>
      </c>
      <c r="I501" s="20">
        <f t="shared" si="2"/>
        <v>47680.347848495061</v>
      </c>
      <c r="J501" s="17">
        <f t="shared" si="7"/>
        <v>4.7680347848495064</v>
      </c>
    </row>
    <row r="502" spans="1:10" ht="12" customHeight="1" x14ac:dyDescent="0.3">
      <c r="A502" s="1">
        <f t="shared" si="3"/>
        <v>44221</v>
      </c>
      <c r="B502" s="20">
        <v>10151.933701657459</v>
      </c>
      <c r="C502" s="20">
        <f t="shared" si="4"/>
        <v>46632.911962526981</v>
      </c>
      <c r="D502" s="21" t="str">
        <f t="shared" si="0"/>
        <v>210125</v>
      </c>
      <c r="E502" s="22">
        <f t="shared" si="5"/>
        <v>0.45861200000000002</v>
      </c>
      <c r="F502" s="9">
        <v>0</v>
      </c>
      <c r="G502" s="14">
        <f t="shared" si="1"/>
        <v>100.18661962695106</v>
      </c>
      <c r="H502" s="24">
        <f t="shared" si="6"/>
        <v>1084.9462695105672</v>
      </c>
      <c r="I502" s="20">
        <f t="shared" si="2"/>
        <v>47717.85823203755</v>
      </c>
      <c r="J502" s="17">
        <f t="shared" si="7"/>
        <v>4.7717858232037553</v>
      </c>
    </row>
    <row r="503" spans="1:10" ht="12" customHeight="1" x14ac:dyDescent="0.3">
      <c r="A503" s="1">
        <f t="shared" si="3"/>
        <v>44222</v>
      </c>
      <c r="B503" s="20">
        <v>10220.994475138121</v>
      </c>
      <c r="C503" s="20">
        <f t="shared" si="4"/>
        <v>46701.972736007643</v>
      </c>
      <c r="D503" s="21" t="str">
        <f t="shared" si="0"/>
        <v>210126</v>
      </c>
      <c r="E503" s="22">
        <f t="shared" si="5"/>
        <v>0.45861200000000002</v>
      </c>
      <c r="F503" s="9">
        <v>0</v>
      </c>
      <c r="G503" s="14">
        <f t="shared" si="1"/>
        <v>100.18096396136313</v>
      </c>
      <c r="H503" s="24">
        <f t="shared" si="6"/>
        <v>1028.3896136313331</v>
      </c>
      <c r="I503" s="20">
        <f t="shared" si="2"/>
        <v>47730.362349638977</v>
      </c>
      <c r="J503" s="17">
        <f t="shared" si="7"/>
        <v>4.7730362349638975</v>
      </c>
    </row>
    <row r="504" spans="1:10" ht="12" customHeight="1" x14ac:dyDescent="0.3">
      <c r="A504" s="1">
        <f t="shared" si="3"/>
        <v>44223</v>
      </c>
      <c r="B504" s="20">
        <v>10290.055248618786</v>
      </c>
      <c r="C504" s="20">
        <f t="shared" si="4"/>
        <v>46771.033509488305</v>
      </c>
      <c r="D504" s="21" t="str">
        <f t="shared" si="0"/>
        <v>210127</v>
      </c>
      <c r="E504" s="22">
        <f t="shared" si="5"/>
        <v>0.45861200000000002</v>
      </c>
      <c r="F504" s="9">
        <v>0</v>
      </c>
      <c r="G504" s="14">
        <f t="shared" si="1"/>
        <v>100.17530832859832</v>
      </c>
      <c r="H504" s="24">
        <f t="shared" si="6"/>
        <v>971.83328598319463</v>
      </c>
      <c r="I504" s="20">
        <f t="shared" si="2"/>
        <v>47742.866795471498</v>
      </c>
      <c r="J504" s="17">
        <f t="shared" si="7"/>
        <v>4.7742866795471492</v>
      </c>
    </row>
    <row r="505" spans="1:10" ht="12" customHeight="1" x14ac:dyDescent="0.3">
      <c r="A505" s="1">
        <f t="shared" si="3"/>
        <v>44224</v>
      </c>
      <c r="B505" s="20">
        <v>10359.116022099448</v>
      </c>
      <c r="C505" s="20">
        <f t="shared" si="4"/>
        <v>46840.094282968967</v>
      </c>
      <c r="D505" s="21" t="str">
        <f t="shared" si="0"/>
        <v>210128</v>
      </c>
      <c r="E505" s="22">
        <f t="shared" si="5"/>
        <v>0.45861200000000002</v>
      </c>
      <c r="F505" s="9">
        <v>0</v>
      </c>
      <c r="G505" s="14">
        <f t="shared" si="1"/>
        <v>100.16965272865788</v>
      </c>
      <c r="H505" s="24">
        <f t="shared" si="6"/>
        <v>915.27728657879959</v>
      </c>
      <c r="I505" s="20">
        <f t="shared" si="2"/>
        <v>47755.371569547766</v>
      </c>
      <c r="J505" s="17">
        <f t="shared" si="7"/>
        <v>4.7755371569547771</v>
      </c>
    </row>
    <row r="506" spans="1:10" ht="12" customHeight="1" x14ac:dyDescent="0.3">
      <c r="A506" s="1">
        <f t="shared" si="3"/>
        <v>44225</v>
      </c>
      <c r="B506" s="20">
        <v>10428.176795580112</v>
      </c>
      <c r="C506" s="20">
        <f t="shared" si="4"/>
        <v>46909.155056449628</v>
      </c>
      <c r="D506" s="21" t="str">
        <f t="shared" si="0"/>
        <v>210129</v>
      </c>
      <c r="E506" s="22">
        <f t="shared" si="5"/>
        <v>0.45861200000000002</v>
      </c>
      <c r="F506" s="9">
        <v>0</v>
      </c>
      <c r="G506" s="14">
        <f t="shared" si="1"/>
        <v>100.16399716154308</v>
      </c>
      <c r="H506" s="24">
        <f t="shared" si="6"/>
        <v>858.7216154307954</v>
      </c>
      <c r="I506" s="20">
        <f t="shared" si="2"/>
        <v>47767.876671880425</v>
      </c>
      <c r="J506" s="17">
        <f t="shared" si="7"/>
        <v>4.7767876671880423</v>
      </c>
    </row>
    <row r="507" spans="1:10" ht="12" customHeight="1" x14ac:dyDescent="0.3">
      <c r="A507" s="1">
        <f t="shared" si="3"/>
        <v>44228</v>
      </c>
      <c r="B507" s="20">
        <v>10635.3591160221</v>
      </c>
      <c r="C507" s="20">
        <f t="shared" si="4"/>
        <v>47116.337376891621</v>
      </c>
      <c r="D507" s="21" t="str">
        <f t="shared" si="0"/>
        <v>210201</v>
      </c>
      <c r="E507" s="22">
        <f t="shared" si="5"/>
        <v>0.45861200000000002</v>
      </c>
      <c r="F507" s="9">
        <v>0</v>
      </c>
      <c r="G507" s="14">
        <f t="shared" si="1"/>
        <v>100.14703065716495</v>
      </c>
      <c r="H507" s="24">
        <f t="shared" si="6"/>
        <v>689.05657164947343</v>
      </c>
      <c r="I507" s="20">
        <f t="shared" si="2"/>
        <v>47805.393948541096</v>
      </c>
      <c r="J507" s="17">
        <f t="shared" si="7"/>
        <v>4.7805393948541095</v>
      </c>
    </row>
    <row r="508" spans="1:10" ht="12" customHeight="1" x14ac:dyDescent="0.3">
      <c r="A508" s="1">
        <f t="shared" si="3"/>
        <v>44229</v>
      </c>
      <c r="B508" s="20">
        <v>10704.419889502762</v>
      </c>
      <c r="C508" s="20">
        <f t="shared" si="4"/>
        <v>47185.398150372283</v>
      </c>
      <c r="D508" s="21" t="str">
        <f t="shared" si="0"/>
        <v>210202</v>
      </c>
      <c r="E508" s="22">
        <f t="shared" si="5"/>
        <v>0.45861200000000002</v>
      </c>
      <c r="F508" s="9">
        <v>0</v>
      </c>
      <c r="G508" s="14">
        <f t="shared" si="1"/>
        <v>100.14137522136518</v>
      </c>
      <c r="H508" s="24">
        <f t="shared" si="6"/>
        <v>632.50221365180437</v>
      </c>
      <c r="I508" s="20">
        <f t="shared" si="2"/>
        <v>47817.900364024084</v>
      </c>
      <c r="J508" s="17">
        <f t="shared" si="7"/>
        <v>4.7817900364024082</v>
      </c>
    </row>
    <row r="509" spans="1:10" ht="12" customHeight="1" x14ac:dyDescent="0.3">
      <c r="A509" s="1">
        <f t="shared" si="3"/>
        <v>44230</v>
      </c>
      <c r="B509" s="20">
        <v>10773.480662983426</v>
      </c>
      <c r="C509" s="20">
        <f t="shared" si="4"/>
        <v>47254.458923852944</v>
      </c>
      <c r="D509" s="21" t="str">
        <f t="shared" si="0"/>
        <v>210203</v>
      </c>
      <c r="E509" s="22">
        <f t="shared" si="5"/>
        <v>0.45861200000000002</v>
      </c>
      <c r="F509" s="9">
        <v>0</v>
      </c>
      <c r="G509" s="14">
        <f t="shared" si="1"/>
        <v>100.13571981839732</v>
      </c>
      <c r="H509" s="24">
        <f t="shared" si="6"/>
        <v>575.94818397319614</v>
      </c>
      <c r="I509" s="20">
        <f t="shared" si="2"/>
        <v>47830.40710782614</v>
      </c>
      <c r="J509" s="17">
        <f t="shared" si="7"/>
        <v>4.7830407107826138</v>
      </c>
    </row>
    <row r="510" spans="1:10" ht="12" customHeight="1" x14ac:dyDescent="0.3">
      <c r="A510" s="1">
        <f t="shared" si="3"/>
        <v>44231</v>
      </c>
      <c r="B510" s="20">
        <v>10842.541436464087</v>
      </c>
      <c r="C510" s="20">
        <f t="shared" si="4"/>
        <v>47323.519697333606</v>
      </c>
      <c r="D510" s="21" t="str">
        <f t="shared" si="0"/>
        <v>210204</v>
      </c>
      <c r="E510" s="22">
        <f t="shared" si="5"/>
        <v>0.45861200000000002</v>
      </c>
      <c r="F510" s="9">
        <v>0</v>
      </c>
      <c r="G510" s="14">
        <f t="shared" si="1"/>
        <v>100.1300644482626</v>
      </c>
      <c r="H510" s="24">
        <f t="shared" si="6"/>
        <v>519.39448262601218</v>
      </c>
      <c r="I510" s="20">
        <f t="shared" si="2"/>
        <v>47842.914179959618</v>
      </c>
      <c r="J510" s="17">
        <f t="shared" si="7"/>
        <v>4.7842914179959619</v>
      </c>
    </row>
    <row r="511" spans="1:10" ht="12" customHeight="1" x14ac:dyDescent="0.3">
      <c r="A511" s="1">
        <f t="shared" si="3"/>
        <v>44232</v>
      </c>
      <c r="B511" s="20">
        <v>10911.602209944751</v>
      </c>
      <c r="C511" s="20">
        <f t="shared" si="4"/>
        <v>47392.580470814268</v>
      </c>
      <c r="D511" s="21" t="str">
        <f t="shared" si="0"/>
        <v>210205</v>
      </c>
      <c r="E511" s="22">
        <f t="shared" si="5"/>
        <v>0.45861200000000002</v>
      </c>
      <c r="F511" s="9">
        <v>0</v>
      </c>
      <c r="G511" s="14">
        <f t="shared" si="1"/>
        <v>100.12440911096228</v>
      </c>
      <c r="H511" s="24">
        <f t="shared" si="6"/>
        <v>462.84110962275804</v>
      </c>
      <c r="I511" s="20">
        <f t="shared" si="2"/>
        <v>47855.421580437025</v>
      </c>
      <c r="J511" s="17">
        <f t="shared" si="7"/>
        <v>4.785542158043703</v>
      </c>
    </row>
    <row r="512" spans="1:10" ht="12" customHeight="1" x14ac:dyDescent="0.3">
      <c r="A512" s="1">
        <f t="shared" si="3"/>
        <v>44235</v>
      </c>
      <c r="B512" s="20">
        <v>11118.784530386742</v>
      </c>
      <c r="C512" s="20">
        <f t="shared" si="4"/>
        <v>47599.76279125626</v>
      </c>
      <c r="D512" s="21" t="str">
        <f t="shared" si="0"/>
        <v>210208</v>
      </c>
      <c r="E512" s="22">
        <f t="shared" si="5"/>
        <v>0.45861200000000002</v>
      </c>
      <c r="F512" s="9">
        <v>0</v>
      </c>
      <c r="G512" s="14">
        <f t="shared" si="1"/>
        <v>100.10744329608033</v>
      </c>
      <c r="H512" s="24">
        <f t="shared" si="6"/>
        <v>293.18296080333539</v>
      </c>
      <c r="I512" s="20">
        <f t="shared" si="2"/>
        <v>47892.945752059597</v>
      </c>
      <c r="J512" s="17">
        <f t="shared" si="7"/>
        <v>4.7892945752059592</v>
      </c>
    </row>
    <row r="513" spans="1:11" ht="12" customHeight="1" x14ac:dyDescent="0.3">
      <c r="A513" s="1">
        <f t="shared" si="3"/>
        <v>44236</v>
      </c>
      <c r="B513" s="20">
        <v>11187.845303867403</v>
      </c>
      <c r="C513" s="20">
        <f t="shared" si="4"/>
        <v>47668.823564736922</v>
      </c>
      <c r="D513" s="21" t="str">
        <f t="shared" si="0"/>
        <v>210209</v>
      </c>
      <c r="E513" s="22">
        <f t="shared" si="5"/>
        <v>0.45861200000000002</v>
      </c>
      <c r="F513" s="9">
        <v>0</v>
      </c>
      <c r="G513" s="14">
        <f t="shared" si="1"/>
        <v>100.1017880901302</v>
      </c>
      <c r="H513" s="24">
        <f t="shared" si="6"/>
        <v>236.63090130199294</v>
      </c>
      <c r="I513" s="20">
        <f t="shared" si="2"/>
        <v>47905.454466038915</v>
      </c>
      <c r="J513" s="17">
        <f t="shared" si="7"/>
        <v>4.7905454466038915</v>
      </c>
    </row>
    <row r="514" spans="1:11" ht="12" customHeight="1" x14ac:dyDescent="0.3">
      <c r="A514" s="1">
        <f t="shared" si="3"/>
        <v>44237</v>
      </c>
      <c r="B514" s="20">
        <v>11256.906077348067</v>
      </c>
      <c r="C514" s="20">
        <f t="shared" si="4"/>
        <v>47737.884338217584</v>
      </c>
      <c r="D514" s="21" t="str">
        <f t="shared" si="0"/>
        <v>210210</v>
      </c>
      <c r="E514" s="22">
        <f t="shared" si="5"/>
        <v>0.45861200000000002</v>
      </c>
      <c r="F514" s="9">
        <v>0</v>
      </c>
      <c r="G514" s="14">
        <f t="shared" si="1"/>
        <v>100.09613291702074</v>
      </c>
      <c r="H514" s="24">
        <f t="shared" si="6"/>
        <v>180.07917020739228</v>
      </c>
      <c r="I514" s="20">
        <f t="shared" si="2"/>
        <v>47917.963508424975</v>
      </c>
      <c r="J514" s="17">
        <f t="shared" si="7"/>
        <v>4.7917963508424979</v>
      </c>
    </row>
    <row r="515" spans="1:11" ht="12" customHeight="1" x14ac:dyDescent="0.3">
      <c r="A515" s="1">
        <f t="shared" si="3"/>
        <v>44238</v>
      </c>
      <c r="B515" s="20">
        <v>11325.96685082873</v>
      </c>
      <c r="C515" s="20">
        <f t="shared" si="4"/>
        <v>47806.945111698245</v>
      </c>
      <c r="D515" s="21" t="str">
        <f t="shared" si="0"/>
        <v>210211</v>
      </c>
      <c r="E515" s="22">
        <f t="shared" si="5"/>
        <v>0.45861200000000002</v>
      </c>
      <c r="F515" s="9">
        <v>0</v>
      </c>
      <c r="G515" s="14">
        <f t="shared" si="1"/>
        <v>100.09047777675322</v>
      </c>
      <c r="H515" s="24">
        <f t="shared" si="6"/>
        <v>123.5277675321811</v>
      </c>
      <c r="I515" s="20">
        <f t="shared" si="2"/>
        <v>47930.472879230423</v>
      </c>
      <c r="J515" s="17">
        <f t="shared" si="7"/>
        <v>4.7930472879230424</v>
      </c>
    </row>
    <row r="516" spans="1:11" ht="12" customHeight="1" x14ac:dyDescent="0.3">
      <c r="A516" s="1">
        <f t="shared" si="3"/>
        <v>44239</v>
      </c>
      <c r="B516" s="20">
        <v>11395.027624309394</v>
      </c>
      <c r="C516" s="20">
        <f t="shared" si="4"/>
        <v>47876.005885178907</v>
      </c>
      <c r="D516" s="21" t="str">
        <f t="shared" si="0"/>
        <v>210212</v>
      </c>
      <c r="E516" s="22">
        <f t="shared" si="5"/>
        <v>0.45861200000000002</v>
      </c>
      <c r="F516" s="9">
        <v>0</v>
      </c>
      <c r="G516" s="14">
        <f t="shared" si="1"/>
        <v>100.08482266932887</v>
      </c>
      <c r="H516" s="24">
        <f t="shared" si="6"/>
        <v>66.976693288722799</v>
      </c>
      <c r="I516" s="20">
        <f t="shared" si="2"/>
        <v>47942.982578467629</v>
      </c>
      <c r="J516" s="17">
        <f t="shared" si="7"/>
        <v>4.794298257846763</v>
      </c>
    </row>
    <row r="517" spans="1:11" ht="12" customHeight="1" x14ac:dyDescent="0.3">
      <c r="A517" s="1">
        <f t="shared" si="3"/>
        <v>44242</v>
      </c>
      <c r="B517" s="20">
        <v>11602.209944751381</v>
      </c>
      <c r="C517" s="20">
        <f t="shared" si="4"/>
        <v>48083.188205620892</v>
      </c>
      <c r="D517" s="21" t="str">
        <f t="shared" si="0"/>
        <v>210215</v>
      </c>
      <c r="E517" s="22">
        <f t="shared" si="5"/>
        <v>0.45861200000000002</v>
      </c>
      <c r="F517" s="9">
        <v>0</v>
      </c>
      <c r="G517" s="14">
        <f t="shared" si="1"/>
        <v>100.06785754412753</v>
      </c>
      <c r="H517" s="24">
        <f t="shared" si="6"/>
        <v>-102.67455872465801</v>
      </c>
      <c r="I517" s="20">
        <f t="shared" si="2"/>
        <v>47980.513646896237</v>
      </c>
      <c r="J517" s="17">
        <f t="shared" si="7"/>
        <v>4.7980513646896243</v>
      </c>
    </row>
    <row r="518" spans="1:11" ht="12" customHeight="1" x14ac:dyDescent="0.3">
      <c r="A518" s="1">
        <f t="shared" si="3"/>
        <v>44243</v>
      </c>
      <c r="B518" s="20">
        <v>11671.270718232045</v>
      </c>
      <c r="C518" s="20">
        <f t="shared" si="4"/>
        <v>48152.248979101554</v>
      </c>
      <c r="D518" s="21" t="str">
        <f t="shared" si="0"/>
        <v>210216</v>
      </c>
      <c r="E518" s="22">
        <f t="shared" si="5"/>
        <v>0.45861200000000002</v>
      </c>
      <c r="F518" s="9">
        <v>0</v>
      </c>
      <c r="G518" s="14">
        <f t="shared" si="1"/>
        <v>100.06220256808851</v>
      </c>
      <c r="H518" s="24">
        <f t="shared" si="6"/>
        <v>-159.2243191149123</v>
      </c>
      <c r="I518" s="20">
        <f t="shared" si="2"/>
        <v>47993.024659986644</v>
      </c>
      <c r="J518" s="17">
        <f t="shared" si="7"/>
        <v>4.7993024659986645</v>
      </c>
    </row>
    <row r="519" spans="1:11" ht="12" customHeight="1" x14ac:dyDescent="0.3">
      <c r="A519" s="1">
        <f t="shared" si="3"/>
        <v>44244</v>
      </c>
      <c r="B519" s="20">
        <v>11740.331491712706</v>
      </c>
      <c r="C519" s="20">
        <f t="shared" si="4"/>
        <v>48221.309752582216</v>
      </c>
      <c r="D519" s="21" t="str">
        <f t="shared" si="0"/>
        <v>210217</v>
      </c>
      <c r="E519" s="22">
        <f t="shared" si="5"/>
        <v>0.45861200000000002</v>
      </c>
      <c r="F519" s="9">
        <v>0</v>
      </c>
      <c r="G519" s="14">
        <f t="shared" si="1"/>
        <v>100.05654762489894</v>
      </c>
      <c r="H519" s="24">
        <f t="shared" si="6"/>
        <v>-215.7737510106017</v>
      </c>
      <c r="I519" s="20">
        <f t="shared" si="2"/>
        <v>48005.536001571614</v>
      </c>
      <c r="J519" s="17">
        <f t="shared" si="7"/>
        <v>4.8005536001571611</v>
      </c>
    </row>
    <row r="520" spans="1:11" ht="12" customHeight="1" x14ac:dyDescent="0.3">
      <c r="A520" s="1">
        <f t="shared" si="3"/>
        <v>44245</v>
      </c>
      <c r="B520" s="20">
        <v>11809.39226519337</v>
      </c>
      <c r="C520" s="20">
        <f t="shared" si="4"/>
        <v>48290.370526062878</v>
      </c>
      <c r="D520" s="21" t="str">
        <f t="shared" si="0"/>
        <v>210218</v>
      </c>
      <c r="E520" s="22">
        <f t="shared" si="5"/>
        <v>0.45861200000000002</v>
      </c>
      <c r="F520" s="9">
        <v>0</v>
      </c>
      <c r="G520" s="14">
        <f t="shared" si="1"/>
        <v>100.05089271456009</v>
      </c>
      <c r="H520" s="24">
        <f t="shared" si="6"/>
        <v>-272.32285439907855</v>
      </c>
      <c r="I520" s="20">
        <f t="shared" si="2"/>
        <v>48018.0476716638</v>
      </c>
      <c r="J520" s="17">
        <f t="shared" si="7"/>
        <v>4.8018047671663799</v>
      </c>
    </row>
    <row r="521" spans="1:11" ht="12" customHeight="1" x14ac:dyDescent="0.3">
      <c r="A521" s="1">
        <f t="shared" si="3"/>
        <v>44246</v>
      </c>
      <c r="B521" s="20">
        <v>11878.453038674032</v>
      </c>
      <c r="C521" s="20">
        <f t="shared" si="4"/>
        <v>48359.431299543539</v>
      </c>
      <c r="D521" s="21" t="str">
        <f t="shared" si="0"/>
        <v>210219</v>
      </c>
      <c r="E521" s="22">
        <f t="shared" si="5"/>
        <v>0.45861200000000002</v>
      </c>
      <c r="F521" s="9">
        <v>0</v>
      </c>
      <c r="G521" s="14">
        <f t="shared" si="1"/>
        <v>100.04523783707323</v>
      </c>
      <c r="H521" s="24">
        <f t="shared" si="6"/>
        <v>-328.8716292676952</v>
      </c>
      <c r="I521" s="20">
        <f t="shared" si="2"/>
        <v>48030.559670275841</v>
      </c>
      <c r="J521" s="17">
        <f t="shared" si="7"/>
        <v>4.8030559670275839</v>
      </c>
    </row>
    <row r="522" spans="1:11" ht="12" customHeight="1" x14ac:dyDescent="0.3">
      <c r="A522" s="1">
        <f t="shared" si="3"/>
        <v>44249</v>
      </c>
      <c r="B522" s="20">
        <v>12085.635359116022</v>
      </c>
      <c r="C522" s="20">
        <f t="shared" si="4"/>
        <v>48566.613619985532</v>
      </c>
      <c r="D522" s="21" t="str">
        <f t="shared" si="0"/>
        <v>210222</v>
      </c>
      <c r="E522" s="22">
        <f t="shared" si="5"/>
        <v>0.45861200000000002</v>
      </c>
      <c r="F522" s="9">
        <v>0</v>
      </c>
      <c r="G522" s="14">
        <f t="shared" si="1"/>
        <v>100.02827340173701</v>
      </c>
      <c r="H522" s="24">
        <f t="shared" si="6"/>
        <v>-498.51598262989683</v>
      </c>
      <c r="I522" s="20">
        <f t="shared" si="2"/>
        <v>48068.097637355633</v>
      </c>
      <c r="J522" s="17">
        <f t="shared" si="7"/>
        <v>4.8068097637355631</v>
      </c>
    </row>
    <row r="523" spans="1:11" ht="12" customHeight="1" x14ac:dyDescent="0.3">
      <c r="A523" s="1">
        <f t="shared" si="3"/>
        <v>44250</v>
      </c>
      <c r="B523" s="20">
        <v>12154.696132596684</v>
      </c>
      <c r="C523" s="20">
        <f t="shared" si="4"/>
        <v>48635.674393466194</v>
      </c>
      <c r="D523" s="21" t="str">
        <f t="shared" si="0"/>
        <v>210223</v>
      </c>
      <c r="E523" s="22">
        <f t="shared" si="5"/>
        <v>0.45861200000000002</v>
      </c>
      <c r="F523" s="9">
        <v>0</v>
      </c>
      <c r="G523" s="14">
        <f t="shared" si="1"/>
        <v>100.02261865567058</v>
      </c>
      <c r="H523" s="24">
        <f t="shared" si="6"/>
        <v>-555.06344329415924</v>
      </c>
      <c r="I523" s="20">
        <f t="shared" si="2"/>
        <v>48080.610950172035</v>
      </c>
      <c r="J523" s="17">
        <f t="shared" si="7"/>
        <v>4.8080610950172034</v>
      </c>
    </row>
    <row r="524" spans="1:11" ht="12" customHeight="1" x14ac:dyDescent="0.3">
      <c r="A524" s="1">
        <f t="shared" si="3"/>
        <v>44251</v>
      </c>
      <c r="B524" s="20">
        <v>12223.756906077348</v>
      </c>
      <c r="C524" s="20">
        <f t="shared" si="4"/>
        <v>48704.735166946855</v>
      </c>
      <c r="D524" s="21" t="str">
        <f t="shared" si="0"/>
        <v>210224</v>
      </c>
      <c r="E524" s="22">
        <f t="shared" si="5"/>
        <v>0.45861200000000002</v>
      </c>
      <c r="F524" s="9">
        <v>0</v>
      </c>
      <c r="G524" s="14">
        <f t="shared" si="1"/>
        <v>100.01696394246243</v>
      </c>
      <c r="H524" s="24">
        <f t="shared" si="6"/>
        <v>-611.61057537574948</v>
      </c>
      <c r="I524" s="20">
        <f t="shared" si="2"/>
        <v>48093.124591571104</v>
      </c>
      <c r="J524" s="17">
        <f t="shared" si="7"/>
        <v>4.8093124591571108</v>
      </c>
    </row>
    <row r="525" spans="1:11" ht="12" customHeight="1" x14ac:dyDescent="0.3">
      <c r="A525" s="1">
        <f t="shared" si="3"/>
        <v>44252</v>
      </c>
      <c r="B525" s="20">
        <v>12292.817679558013</v>
      </c>
      <c r="C525" s="20">
        <f t="shared" si="4"/>
        <v>48773.795940427517</v>
      </c>
      <c r="D525" s="21" t="str">
        <f t="shared" si="0"/>
        <v>210225</v>
      </c>
      <c r="E525" s="22">
        <f t="shared" si="5"/>
        <v>0.45861200000000002</v>
      </c>
      <c r="F525" s="9">
        <v>0</v>
      </c>
      <c r="G525" s="14">
        <f t="shared" si="1"/>
        <v>100.01130926211377</v>
      </c>
      <c r="H525" s="24">
        <f t="shared" si="6"/>
        <v>-668.15737886230409</v>
      </c>
      <c r="I525" s="20">
        <f t="shared" si="2"/>
        <v>48105.638561565211</v>
      </c>
      <c r="J525" s="17">
        <f t="shared" si="7"/>
        <v>4.8105638561565209</v>
      </c>
    </row>
    <row r="526" spans="1:11" ht="12" customHeight="1" x14ac:dyDescent="0.3">
      <c r="A526" s="1">
        <f t="shared" si="3"/>
        <v>44253</v>
      </c>
      <c r="B526" s="20">
        <v>12361.878453038675</v>
      </c>
      <c r="C526" s="20">
        <f t="shared" si="4"/>
        <v>48842.856713908179</v>
      </c>
      <c r="D526" s="21" t="str">
        <f t="shared" si="0"/>
        <v>210226</v>
      </c>
      <c r="E526" s="22">
        <f t="shared" si="5"/>
        <v>0.45861200000000002</v>
      </c>
      <c r="F526" s="9">
        <v>0</v>
      </c>
      <c r="G526" s="14">
        <f t="shared" si="1"/>
        <v>100.00565461462587</v>
      </c>
      <c r="H526" s="24">
        <f t="shared" si="6"/>
        <v>-724.70385374131763</v>
      </c>
      <c r="I526" s="20">
        <f t="shared" si="2"/>
        <v>48118.152860166862</v>
      </c>
      <c r="J526" s="17">
        <f t="shared" si="7"/>
        <v>4.8118152860166861</v>
      </c>
      <c r="K526" s="9">
        <f>WEEKDAY(A526)</f>
        <v>6</v>
      </c>
    </row>
    <row r="527" spans="1:11" ht="12" customHeight="1" x14ac:dyDescent="0.3">
      <c r="A527" s="1">
        <f t="shared" si="3"/>
        <v>44256</v>
      </c>
      <c r="B527" s="20">
        <v>0</v>
      </c>
      <c r="C527" s="20">
        <f t="shared" si="4"/>
        <v>48980.978260869502</v>
      </c>
      <c r="D527" s="21" t="str">
        <f t="shared" si="0"/>
        <v>210301</v>
      </c>
      <c r="E527" s="22">
        <f t="shared" si="5"/>
        <v>0.45861200000000002</v>
      </c>
      <c r="F527" s="9">
        <v>0</v>
      </c>
      <c r="G527" s="25">
        <v>100</v>
      </c>
      <c r="H527" s="24">
        <f t="shared" si="6"/>
        <v>-781.25</v>
      </c>
      <c r="I527" s="20">
        <f t="shared" si="2"/>
        <v>48199.728260869502</v>
      </c>
      <c r="J527" s="17">
        <f t="shared" si="7"/>
        <v>4.8199728260869508</v>
      </c>
    </row>
    <row r="528" spans="1:11" ht="12" customHeight="1" x14ac:dyDescent="0.25">
      <c r="A528" s="1"/>
      <c r="B528" s="3"/>
      <c r="C528" s="21"/>
      <c r="D528" s="3"/>
      <c r="E528" s="3"/>
      <c r="F528" s="3"/>
      <c r="G528" s="24"/>
      <c r="H528" s="20"/>
      <c r="I528" s="17"/>
    </row>
    <row r="529" spans="1:10" ht="12" customHeight="1" x14ac:dyDescent="0.25">
      <c r="A529" s="1"/>
      <c r="B529" s="3"/>
      <c r="C529" s="21"/>
      <c r="D529" s="3"/>
      <c r="E529" s="3"/>
      <c r="F529" s="3"/>
      <c r="G529" s="24"/>
      <c r="H529" s="20"/>
      <c r="I529" s="17"/>
    </row>
    <row r="530" spans="1:10" ht="12" customHeight="1" x14ac:dyDescent="0.25">
      <c r="A530" s="1"/>
      <c r="B530" s="14"/>
      <c r="C530" s="3"/>
      <c r="D530" s="21"/>
      <c r="E530" s="3"/>
      <c r="F530" s="3"/>
      <c r="G530" s="3"/>
      <c r="H530" s="24"/>
      <c r="I530" s="20"/>
      <c r="J530" s="17"/>
    </row>
    <row r="531" spans="1:10" ht="12" customHeight="1" x14ac:dyDescent="0.25">
      <c r="A531" s="1"/>
      <c r="B531" s="14"/>
      <c r="C531" s="3"/>
      <c r="D531" s="21"/>
      <c r="E531" s="3"/>
      <c r="F531" s="3"/>
      <c r="G531" s="3"/>
      <c r="H531" s="24"/>
      <c r="I531" s="20"/>
      <c r="J531" s="17"/>
    </row>
    <row r="532" spans="1:10" ht="12" customHeight="1" x14ac:dyDescent="0.25">
      <c r="A532" s="1"/>
      <c r="B532" s="14"/>
      <c r="C532" s="3"/>
      <c r="D532" s="21"/>
      <c r="E532" s="3"/>
      <c r="F532" s="3"/>
      <c r="G532" s="3"/>
      <c r="H532" s="24"/>
      <c r="I532" s="20"/>
      <c r="J532" s="17"/>
    </row>
    <row r="533" spans="1:10" ht="12" customHeight="1" x14ac:dyDescent="0.25">
      <c r="A533" s="1"/>
      <c r="B533" s="14"/>
      <c r="C533" s="3"/>
      <c r="D533" s="21"/>
      <c r="E533" s="3"/>
      <c r="F533" s="3"/>
      <c r="G533" s="3"/>
      <c r="H533" s="24"/>
      <c r="I533" s="20"/>
      <c r="J533" s="17"/>
    </row>
    <row r="534" spans="1:10" ht="12" customHeight="1" x14ac:dyDescent="0.25">
      <c r="A534" s="1"/>
      <c r="B534" s="14"/>
      <c r="C534" s="3"/>
      <c r="D534" s="21"/>
      <c r="E534" s="3"/>
      <c r="F534" s="3"/>
      <c r="G534" s="3"/>
      <c r="H534" s="24"/>
      <c r="I534" s="20"/>
      <c r="J534" s="17"/>
    </row>
    <row r="535" spans="1:10" ht="12" customHeight="1" x14ac:dyDescent="0.25">
      <c r="A535" s="1"/>
      <c r="B535" s="14"/>
      <c r="C535" s="3"/>
      <c r="D535" s="21"/>
      <c r="E535" s="3"/>
      <c r="F535" s="3"/>
      <c r="G535" s="3"/>
      <c r="H535" s="24"/>
      <c r="I535" s="20"/>
      <c r="J535" s="17"/>
    </row>
    <row r="536" spans="1:10" ht="12" customHeight="1" x14ac:dyDescent="0.25">
      <c r="A536" s="1"/>
      <c r="B536" s="14"/>
      <c r="C536" s="3"/>
      <c r="D536" s="21"/>
      <c r="E536" s="3"/>
      <c r="F536" s="3"/>
      <c r="G536" s="3"/>
      <c r="H536" s="24"/>
      <c r="I536" s="20"/>
      <c r="J536" s="17"/>
    </row>
    <row r="537" spans="1:10" ht="12" customHeight="1" x14ac:dyDescent="0.25">
      <c r="A537" s="1"/>
      <c r="B537" s="14"/>
      <c r="C537" s="3"/>
      <c r="D537" s="21"/>
      <c r="E537" s="3"/>
      <c r="F537" s="3"/>
      <c r="G537" s="3"/>
      <c r="H537" s="24"/>
      <c r="I537" s="20"/>
      <c r="J537" s="17"/>
    </row>
    <row r="538" spans="1:10" ht="12" customHeight="1" x14ac:dyDescent="0.25">
      <c r="A538" s="1"/>
      <c r="B538" s="14"/>
      <c r="C538" s="3"/>
      <c r="D538" s="21"/>
      <c r="E538" s="3"/>
      <c r="F538" s="3"/>
      <c r="G538" s="3"/>
      <c r="H538" s="24"/>
      <c r="I538" s="20"/>
      <c r="J538" s="17"/>
    </row>
    <row r="539" spans="1:10" ht="12" customHeight="1" x14ac:dyDescent="0.25">
      <c r="A539" s="1"/>
      <c r="B539" s="14"/>
      <c r="C539" s="3"/>
      <c r="D539" s="21"/>
      <c r="E539" s="3"/>
      <c r="F539" s="3"/>
      <c r="G539" s="3"/>
      <c r="H539" s="24"/>
      <c r="I539" s="20"/>
      <c r="J539" s="17"/>
    </row>
    <row r="540" spans="1:10" ht="12" customHeight="1" x14ac:dyDescent="0.25">
      <c r="A540" s="1"/>
      <c r="B540" s="14"/>
      <c r="C540" s="3"/>
      <c r="D540" s="21"/>
      <c r="E540" s="3"/>
      <c r="F540" s="3"/>
      <c r="G540" s="3"/>
      <c r="H540" s="24"/>
      <c r="I540" s="20"/>
      <c r="J540" s="17"/>
    </row>
    <row r="541" spans="1:10" ht="12" customHeight="1" x14ac:dyDescent="0.25">
      <c r="A541" s="1"/>
      <c r="B541" s="14"/>
      <c r="C541" s="3"/>
      <c r="D541" s="21"/>
      <c r="E541" s="3"/>
      <c r="F541" s="3"/>
      <c r="G541" s="3"/>
      <c r="H541" s="24"/>
      <c r="I541" s="20"/>
      <c r="J541" s="17"/>
    </row>
    <row r="542" spans="1:10" ht="12" customHeight="1" x14ac:dyDescent="0.25">
      <c r="A542" s="1"/>
      <c r="B542" s="14"/>
      <c r="C542" s="3"/>
      <c r="D542" s="21"/>
      <c r="E542" s="3"/>
      <c r="F542" s="3"/>
      <c r="G542" s="3"/>
      <c r="H542" s="24"/>
      <c r="I542" s="20"/>
      <c r="J542" s="17"/>
    </row>
    <row r="543" spans="1:10" ht="12" customHeight="1" x14ac:dyDescent="0.25">
      <c r="A543" s="1"/>
      <c r="B543" s="14"/>
      <c r="C543" s="3"/>
      <c r="D543" s="21"/>
      <c r="E543" s="3"/>
      <c r="F543" s="3"/>
      <c r="G543" s="3"/>
      <c r="H543" s="24"/>
      <c r="I543" s="20"/>
      <c r="J543" s="17"/>
    </row>
    <row r="544" spans="1:10" ht="12" customHeight="1" x14ac:dyDescent="0.25">
      <c r="A544" s="1"/>
      <c r="B544" s="14"/>
      <c r="C544" s="3"/>
      <c r="D544" s="21"/>
      <c r="E544" s="3"/>
      <c r="F544" s="3"/>
      <c r="G544" s="3"/>
      <c r="H544" s="24"/>
      <c r="I544" s="20"/>
      <c r="J544" s="17"/>
    </row>
    <row r="545" spans="1:10" ht="12" customHeight="1" x14ac:dyDescent="0.25">
      <c r="A545" s="1"/>
      <c r="B545" s="14"/>
      <c r="C545" s="3"/>
      <c r="D545" s="21"/>
      <c r="E545" s="3"/>
      <c r="F545" s="3"/>
      <c r="G545" s="3"/>
      <c r="H545" s="24"/>
      <c r="I545" s="20"/>
      <c r="J545" s="17"/>
    </row>
    <row r="546" spans="1:10" ht="12" customHeight="1" x14ac:dyDescent="0.25">
      <c r="A546" s="1"/>
      <c r="B546" s="14"/>
      <c r="C546" s="3"/>
      <c r="D546" s="21"/>
      <c r="E546" s="3"/>
      <c r="F546" s="3"/>
      <c r="G546" s="3"/>
      <c r="H546" s="24"/>
      <c r="I546" s="20"/>
      <c r="J546" s="17"/>
    </row>
    <row r="547" spans="1:10" ht="12" customHeight="1" x14ac:dyDescent="0.25">
      <c r="A547" s="1"/>
      <c r="B547" s="14"/>
      <c r="C547" s="3"/>
      <c r="D547" s="21"/>
      <c r="E547" s="3"/>
      <c r="F547" s="3"/>
      <c r="G547" s="3"/>
      <c r="H547" s="24"/>
      <c r="I547" s="20"/>
      <c r="J547" s="17"/>
    </row>
    <row r="548" spans="1:10" ht="12" customHeight="1" x14ac:dyDescent="0.25">
      <c r="A548" s="1"/>
      <c r="B548" s="14"/>
      <c r="C548" s="3"/>
      <c r="D548" s="21"/>
      <c r="E548" s="3"/>
      <c r="F548" s="3"/>
      <c r="G548" s="3"/>
      <c r="H548" s="24"/>
      <c r="I548" s="20"/>
      <c r="J548" s="17"/>
    </row>
    <row r="549" spans="1:10" ht="12" customHeight="1" x14ac:dyDescent="0.25">
      <c r="A549" s="1"/>
      <c r="B549" s="14"/>
      <c r="C549" s="3"/>
      <c r="D549" s="21"/>
      <c r="E549" s="3"/>
      <c r="F549" s="3"/>
      <c r="G549" s="3"/>
      <c r="H549" s="24"/>
      <c r="I549" s="20"/>
      <c r="J549" s="17"/>
    </row>
    <row r="550" spans="1:10" ht="12" customHeight="1" x14ac:dyDescent="0.25">
      <c r="A550" s="1"/>
      <c r="B550" s="14"/>
      <c r="C550" s="3"/>
      <c r="D550" s="21"/>
      <c r="E550" s="3"/>
      <c r="F550" s="3"/>
      <c r="G550" s="3"/>
      <c r="H550" s="24"/>
      <c r="I550" s="20"/>
      <c r="J550" s="17"/>
    </row>
    <row r="551" spans="1:10" ht="12" customHeight="1" x14ac:dyDescent="0.25">
      <c r="A551" s="1"/>
      <c r="B551" s="14"/>
      <c r="C551" s="3"/>
      <c r="D551" s="21"/>
      <c r="E551" s="3"/>
      <c r="F551" s="3"/>
      <c r="G551" s="3"/>
      <c r="H551" s="24"/>
      <c r="I551" s="20"/>
      <c r="J551" s="17"/>
    </row>
    <row r="552" spans="1:10" ht="12" customHeight="1" x14ac:dyDescent="0.25">
      <c r="A552" s="1"/>
      <c r="B552" s="14"/>
      <c r="C552" s="3"/>
      <c r="D552" s="21"/>
      <c r="E552" s="3"/>
      <c r="F552" s="3"/>
      <c r="G552" s="3"/>
      <c r="H552" s="24"/>
      <c r="I552" s="20"/>
      <c r="J552" s="17"/>
    </row>
    <row r="553" spans="1:10" ht="12" customHeight="1" x14ac:dyDescent="0.25">
      <c r="A553" s="1"/>
      <c r="B553" s="14"/>
      <c r="C553" s="3"/>
      <c r="D553" s="21"/>
      <c r="E553" s="3"/>
      <c r="F553" s="3"/>
      <c r="G553" s="3"/>
      <c r="H553" s="24"/>
      <c r="I553" s="20"/>
      <c r="J553" s="17"/>
    </row>
    <row r="554" spans="1:10" ht="12" customHeight="1" x14ac:dyDescent="0.25">
      <c r="A554" s="1"/>
      <c r="B554" s="14"/>
      <c r="C554" s="3"/>
      <c r="D554" s="21"/>
      <c r="E554" s="3"/>
      <c r="F554" s="3"/>
      <c r="G554" s="3"/>
      <c r="H554" s="24"/>
      <c r="I554" s="20"/>
      <c r="J554" s="17"/>
    </row>
    <row r="555" spans="1:10" ht="12" customHeight="1" x14ac:dyDescent="0.25">
      <c r="A555" s="1"/>
      <c r="B555" s="14"/>
      <c r="C555" s="3"/>
      <c r="D555" s="21"/>
      <c r="E555" s="3"/>
      <c r="F555" s="3"/>
      <c r="G555" s="3"/>
      <c r="H555" s="24"/>
      <c r="I555" s="20"/>
      <c r="J555" s="17"/>
    </row>
    <row r="556" spans="1:10" ht="12" customHeight="1" x14ac:dyDescent="0.25">
      <c r="A556" s="1"/>
      <c r="B556" s="14"/>
      <c r="C556" s="3"/>
      <c r="D556" s="21"/>
      <c r="E556" s="3"/>
      <c r="F556" s="3"/>
      <c r="G556" s="3"/>
      <c r="H556" s="24"/>
      <c r="I556" s="20"/>
      <c r="J556" s="17"/>
    </row>
    <row r="557" spans="1:10" ht="12" customHeight="1" x14ac:dyDescent="0.25">
      <c r="A557" s="1"/>
      <c r="B557" s="14"/>
      <c r="C557" s="3"/>
      <c r="D557" s="21"/>
      <c r="E557" s="3"/>
      <c r="F557" s="3"/>
      <c r="G557" s="3"/>
      <c r="H557" s="24"/>
      <c r="I557" s="20"/>
      <c r="J557" s="17"/>
    </row>
    <row r="558" spans="1:10" ht="12" customHeight="1" x14ac:dyDescent="0.25">
      <c r="A558" s="1"/>
      <c r="B558" s="14"/>
      <c r="C558" s="3"/>
      <c r="D558" s="21"/>
      <c r="E558" s="3"/>
      <c r="F558" s="3"/>
      <c r="G558" s="3"/>
      <c r="H558" s="24"/>
      <c r="I558" s="20"/>
      <c r="J558" s="17"/>
    </row>
    <row r="559" spans="1:10" ht="12" customHeight="1" x14ac:dyDescent="0.25">
      <c r="A559" s="1"/>
      <c r="B559" s="14"/>
      <c r="C559" s="3"/>
      <c r="D559" s="21"/>
      <c r="E559" s="3"/>
      <c r="F559" s="3"/>
      <c r="G559" s="3"/>
      <c r="H559" s="24"/>
      <c r="I559" s="20"/>
      <c r="J559" s="17"/>
    </row>
    <row r="560" spans="1:10" ht="12" customHeight="1" x14ac:dyDescent="0.25">
      <c r="A560" s="1"/>
      <c r="B560" s="14"/>
      <c r="C560" s="3"/>
      <c r="D560" s="21"/>
      <c r="E560" s="3"/>
      <c r="F560" s="3"/>
      <c r="G560" s="3"/>
      <c r="H560" s="24"/>
      <c r="I560" s="20"/>
      <c r="J560" s="17"/>
    </row>
    <row r="561" spans="1:10" ht="12" customHeight="1" x14ac:dyDescent="0.25">
      <c r="A561" s="1"/>
      <c r="B561" s="14"/>
      <c r="C561" s="3"/>
      <c r="D561" s="21"/>
      <c r="E561" s="3"/>
      <c r="F561" s="3"/>
      <c r="G561" s="3"/>
      <c r="H561" s="24"/>
      <c r="I561" s="20"/>
      <c r="J561" s="17"/>
    </row>
    <row r="562" spans="1:10" ht="12" customHeight="1" x14ac:dyDescent="0.25">
      <c r="A562" s="1"/>
      <c r="B562" s="14"/>
      <c r="C562" s="3"/>
      <c r="D562" s="21"/>
      <c r="E562" s="3"/>
      <c r="F562" s="3"/>
      <c r="G562" s="3"/>
      <c r="H562" s="24"/>
      <c r="I562" s="20"/>
      <c r="J562" s="17"/>
    </row>
    <row r="563" spans="1:10" ht="12" customHeight="1" x14ac:dyDescent="0.25">
      <c r="A563" s="1"/>
      <c r="B563" s="14"/>
      <c r="C563" s="3"/>
      <c r="D563" s="21"/>
      <c r="E563" s="3"/>
      <c r="F563" s="3"/>
      <c r="G563" s="3"/>
      <c r="H563" s="24"/>
      <c r="I563" s="20"/>
      <c r="J563" s="17"/>
    </row>
    <row r="564" spans="1:10" ht="12" customHeight="1" x14ac:dyDescent="0.25">
      <c r="A564" s="1"/>
      <c r="B564" s="14"/>
      <c r="C564" s="3"/>
      <c r="D564" s="21"/>
      <c r="E564" s="3"/>
      <c r="F564" s="3"/>
      <c r="G564" s="3"/>
      <c r="H564" s="24"/>
      <c r="I564" s="20"/>
      <c r="J564" s="17"/>
    </row>
    <row r="565" spans="1:10" ht="12" customHeight="1" x14ac:dyDescent="0.25">
      <c r="A565" s="1"/>
      <c r="B565" s="14"/>
      <c r="C565" s="3"/>
      <c r="D565" s="21"/>
      <c r="E565" s="3"/>
      <c r="F565" s="3"/>
      <c r="G565" s="3"/>
      <c r="H565" s="24"/>
      <c r="I565" s="20"/>
      <c r="J565" s="17"/>
    </row>
    <row r="566" spans="1:10" ht="12" customHeight="1" x14ac:dyDescent="0.25">
      <c r="A566" s="1"/>
      <c r="B566" s="14"/>
      <c r="C566" s="3"/>
      <c r="D566" s="21"/>
      <c r="E566" s="3"/>
      <c r="F566" s="3"/>
      <c r="G566" s="3"/>
      <c r="H566" s="24"/>
      <c r="I566" s="20"/>
      <c r="J566" s="17"/>
    </row>
    <row r="567" spans="1:10" ht="12" customHeight="1" x14ac:dyDescent="0.25">
      <c r="A567" s="1"/>
      <c r="B567" s="14"/>
      <c r="C567" s="3"/>
      <c r="D567" s="21"/>
      <c r="E567" s="3"/>
      <c r="F567" s="3"/>
      <c r="G567" s="3"/>
      <c r="H567" s="24"/>
      <c r="I567" s="20"/>
      <c r="J567" s="17"/>
    </row>
    <row r="568" spans="1:10" ht="12" customHeight="1" x14ac:dyDescent="0.25">
      <c r="A568" s="1"/>
      <c r="B568" s="14"/>
      <c r="C568" s="3"/>
      <c r="D568" s="21"/>
      <c r="E568" s="3"/>
      <c r="F568" s="3"/>
      <c r="G568" s="3"/>
      <c r="H568" s="24"/>
      <c r="I568" s="20"/>
      <c r="J568" s="17"/>
    </row>
    <row r="569" spans="1:10" ht="12" customHeight="1" x14ac:dyDescent="0.25">
      <c r="A569" s="1"/>
      <c r="B569" s="14"/>
      <c r="C569" s="3"/>
      <c r="D569" s="21"/>
      <c r="E569" s="3"/>
      <c r="F569" s="3"/>
      <c r="G569" s="3"/>
      <c r="H569" s="24"/>
      <c r="I569" s="20"/>
      <c r="J569" s="17"/>
    </row>
    <row r="570" spans="1:10" ht="12" customHeight="1" x14ac:dyDescent="0.25">
      <c r="A570" s="1"/>
      <c r="B570" s="14"/>
      <c r="C570" s="3"/>
      <c r="D570" s="21"/>
      <c r="E570" s="3"/>
      <c r="F570" s="3"/>
      <c r="G570" s="3"/>
      <c r="H570" s="24"/>
      <c r="I570" s="20"/>
      <c r="J570" s="17"/>
    </row>
    <row r="571" spans="1:10" ht="12" customHeight="1" x14ac:dyDescent="0.25">
      <c r="A571" s="1"/>
      <c r="B571" s="14"/>
      <c r="C571" s="3"/>
      <c r="D571" s="21"/>
      <c r="E571" s="3"/>
      <c r="F571" s="3"/>
      <c r="G571" s="3"/>
      <c r="H571" s="24"/>
      <c r="I571" s="20"/>
      <c r="J571" s="17"/>
    </row>
    <row r="572" spans="1:10" ht="12" customHeight="1" x14ac:dyDescent="0.25">
      <c r="A572" s="1"/>
      <c r="B572" s="14"/>
      <c r="C572" s="3"/>
      <c r="D572" s="21"/>
      <c r="E572" s="3"/>
      <c r="F572" s="3"/>
      <c r="G572" s="3"/>
      <c r="H572" s="24"/>
      <c r="I572" s="20"/>
      <c r="J572" s="17"/>
    </row>
    <row r="573" spans="1:10" ht="12" customHeight="1" x14ac:dyDescent="0.25">
      <c r="A573" s="1"/>
      <c r="B573" s="14"/>
      <c r="C573" s="3"/>
      <c r="D573" s="21"/>
      <c r="E573" s="3"/>
      <c r="F573" s="3"/>
      <c r="G573" s="3"/>
      <c r="H573" s="24"/>
      <c r="I573" s="20"/>
      <c r="J573" s="17"/>
    </row>
    <row r="574" spans="1:10" ht="12" customHeight="1" x14ac:dyDescent="0.25">
      <c r="A574" s="1"/>
      <c r="B574" s="14"/>
      <c r="C574" s="3"/>
      <c r="D574" s="21"/>
      <c r="E574" s="3"/>
      <c r="F574" s="3"/>
      <c r="G574" s="3"/>
      <c r="H574" s="24"/>
      <c r="I574" s="20"/>
      <c r="J574" s="17"/>
    </row>
    <row r="575" spans="1:10" ht="12" customHeight="1" x14ac:dyDescent="0.25">
      <c r="A575" s="1"/>
      <c r="B575" s="14"/>
      <c r="C575" s="3"/>
      <c r="D575" s="21"/>
      <c r="E575" s="3"/>
      <c r="F575" s="3"/>
      <c r="G575" s="3"/>
      <c r="H575" s="24"/>
      <c r="I575" s="20"/>
      <c r="J575" s="17"/>
    </row>
    <row r="576" spans="1:10" ht="12" customHeight="1" x14ac:dyDescent="0.25">
      <c r="A576" s="1"/>
      <c r="B576" s="14"/>
      <c r="C576" s="3"/>
      <c r="D576" s="21"/>
      <c r="E576" s="3"/>
      <c r="F576" s="3"/>
      <c r="G576" s="3"/>
      <c r="H576" s="24"/>
      <c r="I576" s="20"/>
      <c r="J576" s="17"/>
    </row>
    <row r="577" spans="1:10" ht="12" customHeight="1" x14ac:dyDescent="0.25">
      <c r="A577" s="1"/>
      <c r="B577" s="14"/>
      <c r="C577" s="3"/>
      <c r="D577" s="21"/>
      <c r="E577" s="3"/>
      <c r="F577" s="3"/>
      <c r="G577" s="3"/>
      <c r="H577" s="24"/>
      <c r="I577" s="20"/>
      <c r="J577" s="17"/>
    </row>
    <row r="578" spans="1:10" ht="12" customHeight="1" x14ac:dyDescent="0.25">
      <c r="A578" s="1"/>
      <c r="B578" s="14"/>
      <c r="C578" s="3"/>
      <c r="D578" s="21"/>
      <c r="E578" s="3"/>
      <c r="F578" s="3"/>
      <c r="G578" s="3"/>
      <c r="H578" s="24"/>
      <c r="I578" s="20"/>
      <c r="J578" s="17"/>
    </row>
    <row r="579" spans="1:10" ht="12" customHeight="1" x14ac:dyDescent="0.25">
      <c r="A579" s="1"/>
      <c r="B579" s="14"/>
      <c r="C579" s="3"/>
      <c r="D579" s="21"/>
      <c r="E579" s="3"/>
      <c r="F579" s="3"/>
      <c r="G579" s="3"/>
      <c r="H579" s="24"/>
      <c r="I579" s="20"/>
      <c r="J579" s="17"/>
    </row>
    <row r="580" spans="1:10" ht="12" customHeight="1" x14ac:dyDescent="0.25">
      <c r="A580" s="1"/>
      <c r="B580" s="14"/>
      <c r="C580" s="3"/>
      <c r="D580" s="21"/>
      <c r="E580" s="3"/>
      <c r="F580" s="3"/>
      <c r="G580" s="3"/>
      <c r="H580" s="24"/>
      <c r="I580" s="20"/>
      <c r="J580" s="17"/>
    </row>
    <row r="581" spans="1:10" ht="12" customHeight="1" x14ac:dyDescent="0.25">
      <c r="A581" s="1"/>
      <c r="B581" s="14"/>
      <c r="C581" s="3"/>
      <c r="D581" s="21"/>
      <c r="E581" s="3"/>
      <c r="F581" s="3"/>
      <c r="G581" s="3"/>
      <c r="H581" s="24"/>
      <c r="I581" s="20"/>
      <c r="J581" s="17"/>
    </row>
    <row r="582" spans="1:10" ht="12" customHeight="1" x14ac:dyDescent="0.25">
      <c r="A582" s="1"/>
      <c r="B582" s="14"/>
      <c r="C582" s="3"/>
      <c r="D582" s="21"/>
      <c r="E582" s="3"/>
      <c r="F582" s="3"/>
      <c r="G582" s="3"/>
      <c r="H582" s="24"/>
      <c r="I582" s="20"/>
      <c r="J582" s="17"/>
    </row>
    <row r="583" spans="1:10" ht="12" customHeight="1" x14ac:dyDescent="0.25">
      <c r="A583" s="1"/>
      <c r="B583" s="14"/>
      <c r="C583" s="3"/>
      <c r="D583" s="21"/>
      <c r="E583" s="3"/>
      <c r="F583" s="3"/>
      <c r="G583" s="3"/>
      <c r="H583" s="24"/>
      <c r="I583" s="20"/>
      <c r="J583" s="17"/>
    </row>
    <row r="584" spans="1:10" ht="12" customHeight="1" x14ac:dyDescent="0.25">
      <c r="A584" s="1"/>
      <c r="B584" s="14"/>
      <c r="C584" s="3"/>
      <c r="D584" s="21"/>
      <c r="E584" s="3"/>
      <c r="F584" s="3"/>
      <c r="G584" s="3"/>
      <c r="H584" s="24"/>
      <c r="I584" s="20"/>
      <c r="J584" s="17"/>
    </row>
    <row r="585" spans="1:10" ht="12" customHeight="1" x14ac:dyDescent="0.25">
      <c r="A585" s="1"/>
      <c r="B585" s="14"/>
      <c r="C585" s="3"/>
      <c r="D585" s="21"/>
      <c r="E585" s="3"/>
      <c r="F585" s="3"/>
      <c r="G585" s="3"/>
      <c r="H585" s="24"/>
      <c r="I585" s="20"/>
      <c r="J585" s="17"/>
    </row>
    <row r="586" spans="1:10" ht="12" customHeight="1" x14ac:dyDescent="0.25">
      <c r="A586" s="1"/>
      <c r="B586" s="14"/>
      <c r="C586" s="3"/>
      <c r="D586" s="21"/>
      <c r="E586" s="3"/>
      <c r="F586" s="3"/>
      <c r="G586" s="3"/>
      <c r="H586" s="24"/>
      <c r="I586" s="20"/>
      <c r="J586" s="17"/>
    </row>
    <row r="587" spans="1:10" ht="12" customHeight="1" x14ac:dyDescent="0.25">
      <c r="A587" s="1"/>
      <c r="B587" s="14"/>
      <c r="C587" s="3"/>
      <c r="D587" s="21"/>
      <c r="E587" s="3"/>
      <c r="F587" s="3"/>
      <c r="G587" s="3"/>
      <c r="H587" s="24"/>
      <c r="I587" s="20"/>
      <c r="J587" s="17"/>
    </row>
    <row r="588" spans="1:10" ht="12" customHeight="1" x14ac:dyDescent="0.25">
      <c r="A588" s="1"/>
      <c r="B588" s="14"/>
      <c r="C588" s="3"/>
      <c r="D588" s="21"/>
      <c r="E588" s="3"/>
      <c r="F588" s="3"/>
      <c r="G588" s="3"/>
      <c r="H588" s="24"/>
      <c r="I588" s="20"/>
      <c r="J588" s="17"/>
    </row>
    <row r="589" spans="1:10" ht="12" customHeight="1" x14ac:dyDescent="0.25">
      <c r="A589" s="1"/>
      <c r="B589" s="14"/>
      <c r="C589" s="3"/>
      <c r="D589" s="21"/>
      <c r="E589" s="3"/>
      <c r="F589" s="3"/>
      <c r="G589" s="3"/>
      <c r="H589" s="24"/>
      <c r="I589" s="20"/>
      <c r="J589" s="17"/>
    </row>
    <row r="590" spans="1:10" ht="12" customHeight="1" x14ac:dyDescent="0.25">
      <c r="A590" s="1"/>
      <c r="B590" s="14"/>
      <c r="C590" s="3"/>
      <c r="D590" s="21"/>
      <c r="E590" s="3"/>
      <c r="F590" s="3"/>
      <c r="G590" s="3"/>
      <c r="H590" s="24"/>
      <c r="I590" s="20"/>
      <c r="J590" s="17"/>
    </row>
    <row r="591" spans="1:10" ht="12" customHeight="1" x14ac:dyDescent="0.25">
      <c r="A591" s="1"/>
      <c r="B591" s="14"/>
      <c r="C591" s="3"/>
      <c r="D591" s="21"/>
      <c r="E591" s="3"/>
      <c r="F591" s="3"/>
      <c r="G591" s="3"/>
      <c r="H591" s="24"/>
      <c r="I591" s="20"/>
      <c r="J591" s="17"/>
    </row>
    <row r="592" spans="1:10" ht="12" customHeight="1" x14ac:dyDescent="0.25">
      <c r="A592" s="1"/>
      <c r="B592" s="14"/>
      <c r="C592" s="3"/>
      <c r="D592" s="21"/>
      <c r="E592" s="3"/>
      <c r="F592" s="3"/>
      <c r="G592" s="3"/>
      <c r="H592" s="24"/>
      <c r="I592" s="20"/>
      <c r="J592" s="17"/>
    </row>
    <row r="593" spans="1:10" ht="12" customHeight="1" x14ac:dyDescent="0.25">
      <c r="A593" s="1"/>
      <c r="B593" s="14"/>
      <c r="C593" s="3"/>
      <c r="D593" s="21"/>
      <c r="E593" s="3"/>
      <c r="F593" s="3"/>
      <c r="G593" s="3"/>
      <c r="H593" s="24"/>
      <c r="I593" s="20"/>
      <c r="J593" s="17"/>
    </row>
    <row r="594" spans="1:10" ht="12" customHeight="1" x14ac:dyDescent="0.25">
      <c r="A594" s="1"/>
      <c r="B594" s="14"/>
      <c r="C594" s="3"/>
      <c r="D594" s="21"/>
      <c r="E594" s="3"/>
      <c r="F594" s="3"/>
      <c r="G594" s="3"/>
      <c r="H594" s="24"/>
      <c r="I594" s="20"/>
      <c r="J594" s="17"/>
    </row>
    <row r="595" spans="1:10" ht="12" customHeight="1" x14ac:dyDescent="0.25">
      <c r="A595" s="1"/>
      <c r="B595" s="14"/>
      <c r="C595" s="3"/>
      <c r="D595" s="21"/>
      <c r="E595" s="3"/>
      <c r="F595" s="3"/>
      <c r="G595" s="3"/>
      <c r="H595" s="24"/>
      <c r="I595" s="20"/>
      <c r="J595" s="17"/>
    </row>
    <row r="596" spans="1:10" ht="12" customHeight="1" x14ac:dyDescent="0.25">
      <c r="A596" s="1"/>
      <c r="B596" s="14"/>
      <c r="C596" s="3"/>
      <c r="D596" s="21"/>
      <c r="E596" s="3"/>
      <c r="F596" s="3"/>
      <c r="G596" s="3"/>
      <c r="H596" s="24"/>
      <c r="I596" s="20"/>
      <c r="J596" s="17"/>
    </row>
    <row r="597" spans="1:10" ht="12" customHeight="1" x14ac:dyDescent="0.25">
      <c r="A597" s="1"/>
      <c r="B597" s="14"/>
      <c r="C597" s="3"/>
      <c r="D597" s="21"/>
      <c r="E597" s="3"/>
      <c r="F597" s="3"/>
      <c r="G597" s="3"/>
      <c r="H597" s="24"/>
      <c r="I597" s="20"/>
      <c r="J597" s="17"/>
    </row>
    <row r="598" spans="1:10" ht="12" customHeight="1" x14ac:dyDescent="0.25">
      <c r="A598" s="1"/>
      <c r="B598" s="14"/>
      <c r="C598" s="3"/>
      <c r="D598" s="21"/>
      <c r="E598" s="3"/>
      <c r="F598" s="3"/>
      <c r="G598" s="3"/>
      <c r="H598" s="24"/>
      <c r="I598" s="20"/>
      <c r="J598" s="17"/>
    </row>
    <row r="599" spans="1:10" ht="12" customHeight="1" x14ac:dyDescent="0.25">
      <c r="A599" s="1"/>
      <c r="B599" s="14"/>
      <c r="C599" s="3"/>
      <c r="D599" s="21"/>
      <c r="E599" s="3"/>
      <c r="F599" s="3"/>
      <c r="G599" s="3"/>
      <c r="H599" s="24"/>
      <c r="I599" s="20"/>
      <c r="J599" s="17"/>
    </row>
    <row r="600" spans="1:10" ht="12" customHeight="1" x14ac:dyDescent="0.25">
      <c r="A600" s="1"/>
      <c r="B600" s="14"/>
      <c r="C600" s="3"/>
      <c r="D600" s="21"/>
      <c r="E600" s="3"/>
      <c r="F600" s="3"/>
      <c r="G600" s="3"/>
      <c r="H600" s="24"/>
      <c r="I600" s="20"/>
      <c r="J600" s="17"/>
    </row>
    <row r="601" spans="1:10" ht="12" customHeight="1" x14ac:dyDescent="0.25">
      <c r="A601" s="1"/>
      <c r="B601" s="14"/>
      <c r="C601" s="3"/>
      <c r="D601" s="21"/>
      <c r="E601" s="3"/>
      <c r="F601" s="3"/>
      <c r="G601" s="3"/>
      <c r="H601" s="24"/>
      <c r="I601" s="20"/>
      <c r="J601" s="17"/>
    </row>
    <row r="602" spans="1:10" ht="12" customHeight="1" x14ac:dyDescent="0.25">
      <c r="A602" s="1"/>
      <c r="B602" s="14"/>
      <c r="C602" s="3"/>
      <c r="D602" s="21"/>
      <c r="E602" s="3"/>
      <c r="F602" s="3"/>
      <c r="G602" s="3"/>
      <c r="H602" s="24"/>
      <c r="I602" s="20"/>
      <c r="J602" s="17"/>
    </row>
    <row r="603" spans="1:10" ht="12" customHeight="1" x14ac:dyDescent="0.25">
      <c r="A603" s="1"/>
      <c r="B603" s="14"/>
      <c r="C603" s="3"/>
      <c r="D603" s="21"/>
      <c r="E603" s="3"/>
      <c r="F603" s="3"/>
      <c r="G603" s="3"/>
      <c r="H603" s="24"/>
      <c r="I603" s="20"/>
      <c r="J603" s="17"/>
    </row>
    <row r="604" spans="1:10" ht="12" customHeight="1" x14ac:dyDescent="0.25">
      <c r="A604" s="1"/>
      <c r="B604" s="14"/>
      <c r="C604" s="3"/>
      <c r="D604" s="21"/>
      <c r="E604" s="3"/>
      <c r="F604" s="3"/>
      <c r="G604" s="3"/>
      <c r="H604" s="24"/>
      <c r="I604" s="20"/>
      <c r="J604" s="17"/>
    </row>
    <row r="605" spans="1:10" ht="12" customHeight="1" x14ac:dyDescent="0.25">
      <c r="A605" s="1"/>
      <c r="B605" s="14"/>
      <c r="C605" s="3"/>
      <c r="D605" s="21"/>
      <c r="E605" s="3"/>
      <c r="F605" s="3"/>
      <c r="G605" s="3"/>
      <c r="H605" s="24"/>
      <c r="I605" s="20"/>
      <c r="J605" s="17"/>
    </row>
    <row r="606" spans="1:10" ht="12" customHeight="1" x14ac:dyDescent="0.25">
      <c r="A606" s="1"/>
      <c r="B606" s="14"/>
      <c r="C606" s="3"/>
      <c r="D606" s="21"/>
      <c r="E606" s="3"/>
      <c r="F606" s="3"/>
      <c r="G606" s="3"/>
      <c r="H606" s="24"/>
      <c r="I606" s="20"/>
      <c r="J606" s="17"/>
    </row>
    <row r="607" spans="1:10" ht="12" customHeight="1" x14ac:dyDescent="0.25">
      <c r="A607" s="1"/>
      <c r="B607" s="14"/>
      <c r="C607" s="3"/>
      <c r="D607" s="21"/>
      <c r="E607" s="3"/>
      <c r="F607" s="3"/>
      <c r="G607" s="3"/>
      <c r="H607" s="24"/>
      <c r="I607" s="20"/>
      <c r="J607" s="17"/>
    </row>
    <row r="608" spans="1:10" ht="12" customHeight="1" x14ac:dyDescent="0.25">
      <c r="A608" s="1"/>
      <c r="B608" s="14"/>
      <c r="C608" s="3"/>
      <c r="D608" s="21"/>
      <c r="E608" s="3"/>
      <c r="F608" s="3"/>
      <c r="G608" s="3"/>
      <c r="H608" s="24"/>
      <c r="I608" s="20"/>
      <c r="J608" s="17"/>
    </row>
    <row r="609" spans="1:10" ht="12" customHeight="1" x14ac:dyDescent="0.25">
      <c r="A609" s="1"/>
      <c r="B609" s="14"/>
      <c r="C609" s="3"/>
      <c r="D609" s="21"/>
      <c r="E609" s="3"/>
      <c r="F609" s="3"/>
      <c r="G609" s="3"/>
      <c r="H609" s="24"/>
      <c r="I609" s="20"/>
      <c r="J609" s="17"/>
    </row>
    <row r="610" spans="1:10" ht="12" customHeight="1" x14ac:dyDescent="0.25">
      <c r="A610" s="1"/>
      <c r="B610" s="14"/>
      <c r="C610" s="3"/>
      <c r="D610" s="21"/>
      <c r="E610" s="3"/>
      <c r="F610" s="3"/>
      <c r="G610" s="3"/>
      <c r="H610" s="24"/>
      <c r="I610" s="20"/>
      <c r="J610" s="17"/>
    </row>
    <row r="611" spans="1:10" ht="12" customHeight="1" x14ac:dyDescent="0.25">
      <c r="A611" s="1"/>
      <c r="B611" s="14"/>
      <c r="C611" s="3"/>
      <c r="D611" s="21"/>
      <c r="E611" s="3"/>
      <c r="F611" s="3"/>
      <c r="G611" s="3"/>
      <c r="H611" s="24"/>
      <c r="I611" s="20"/>
      <c r="J611" s="17"/>
    </row>
    <row r="612" spans="1:10" ht="12" customHeight="1" x14ac:dyDescent="0.25">
      <c r="A612" s="1"/>
      <c r="B612" s="14"/>
      <c r="C612" s="3"/>
      <c r="D612" s="21"/>
      <c r="E612" s="3"/>
      <c r="F612" s="3"/>
      <c r="G612" s="3"/>
      <c r="H612" s="24"/>
      <c r="I612" s="20"/>
      <c r="J612" s="17"/>
    </row>
    <row r="613" spans="1:10" ht="12" customHeight="1" x14ac:dyDescent="0.25">
      <c r="A613" s="1"/>
      <c r="B613" s="14"/>
      <c r="C613" s="3"/>
      <c r="D613" s="21"/>
      <c r="E613" s="3"/>
      <c r="F613" s="3"/>
      <c r="G613" s="3"/>
      <c r="H613" s="24"/>
      <c r="I613" s="20"/>
      <c r="J613" s="17"/>
    </row>
    <row r="614" spans="1:10" ht="12" customHeight="1" x14ac:dyDescent="0.25">
      <c r="A614" s="1"/>
      <c r="B614" s="14"/>
      <c r="C614" s="3"/>
      <c r="D614" s="21"/>
      <c r="E614" s="3"/>
      <c r="F614" s="3"/>
      <c r="G614" s="3"/>
      <c r="H614" s="24"/>
      <c r="I614" s="20"/>
      <c r="J614" s="17"/>
    </row>
    <row r="615" spans="1:10" ht="12" customHeight="1" x14ac:dyDescent="0.25">
      <c r="A615" s="1"/>
      <c r="B615" s="14"/>
      <c r="C615" s="3"/>
      <c r="D615" s="21"/>
      <c r="E615" s="3"/>
      <c r="F615" s="3"/>
      <c r="G615" s="3"/>
      <c r="H615" s="24"/>
      <c r="I615" s="20"/>
      <c r="J615" s="17"/>
    </row>
    <row r="616" spans="1:10" ht="12" customHeight="1" x14ac:dyDescent="0.25">
      <c r="A616" s="1"/>
      <c r="B616" s="14"/>
      <c r="C616" s="3"/>
      <c r="D616" s="21"/>
      <c r="E616" s="3"/>
      <c r="F616" s="3"/>
      <c r="G616" s="3"/>
      <c r="H616" s="24"/>
      <c r="I616" s="20"/>
      <c r="J616" s="17"/>
    </row>
    <row r="617" spans="1:10" ht="12" customHeight="1" x14ac:dyDescent="0.25">
      <c r="A617" s="1"/>
      <c r="B617" s="14"/>
      <c r="C617" s="3"/>
      <c r="D617" s="21"/>
      <c r="E617" s="3"/>
      <c r="F617" s="3"/>
      <c r="G617" s="3"/>
      <c r="H617" s="24"/>
      <c r="I617" s="20"/>
      <c r="J617" s="17"/>
    </row>
    <row r="618" spans="1:10" ht="12" customHeight="1" x14ac:dyDescent="0.25">
      <c r="A618" s="1"/>
      <c r="B618" s="14"/>
      <c r="C618" s="3"/>
      <c r="D618" s="21"/>
      <c r="E618" s="3"/>
      <c r="F618" s="3"/>
      <c r="G618" s="3"/>
      <c r="H618" s="24"/>
      <c r="I618" s="20"/>
      <c r="J618" s="17"/>
    </row>
    <row r="619" spans="1:10" ht="12" customHeight="1" x14ac:dyDescent="0.25">
      <c r="A619" s="1"/>
      <c r="B619" s="14"/>
      <c r="C619" s="3"/>
      <c r="D619" s="21"/>
      <c r="E619" s="3"/>
      <c r="F619" s="3"/>
      <c r="G619" s="3"/>
      <c r="H619" s="24"/>
      <c r="I619" s="20"/>
      <c r="J619" s="17"/>
    </row>
    <row r="620" spans="1:10" ht="12" customHeight="1" x14ac:dyDescent="0.25">
      <c r="A620" s="1"/>
      <c r="B620" s="14"/>
      <c r="C620" s="3"/>
      <c r="D620" s="21"/>
      <c r="E620" s="3"/>
      <c r="F620" s="3"/>
      <c r="G620" s="3"/>
      <c r="H620" s="24"/>
      <c r="I620" s="20"/>
      <c r="J620" s="17"/>
    </row>
    <row r="621" spans="1:10" ht="12" customHeight="1" x14ac:dyDescent="0.25">
      <c r="A621" s="1"/>
      <c r="B621" s="14"/>
      <c r="C621" s="3"/>
      <c r="D621" s="21"/>
      <c r="E621" s="3"/>
      <c r="F621" s="3"/>
      <c r="G621" s="3"/>
      <c r="H621" s="24"/>
      <c r="I621" s="20"/>
      <c r="J621" s="17"/>
    </row>
    <row r="622" spans="1:10" ht="12" customHeight="1" x14ac:dyDescent="0.25">
      <c r="A622" s="1"/>
      <c r="B622" s="14"/>
      <c r="C622" s="3"/>
      <c r="D622" s="21"/>
      <c r="E622" s="3"/>
      <c r="F622" s="3"/>
      <c r="G622" s="3"/>
      <c r="H622" s="24"/>
      <c r="I622" s="20"/>
      <c r="J622" s="17"/>
    </row>
    <row r="623" spans="1:10" ht="12" customHeight="1" x14ac:dyDescent="0.25">
      <c r="A623" s="1"/>
      <c r="B623" s="14"/>
      <c r="C623" s="3"/>
      <c r="D623" s="21"/>
      <c r="E623" s="3"/>
      <c r="F623" s="3"/>
      <c r="G623" s="3"/>
      <c r="H623" s="24"/>
      <c r="I623" s="20"/>
      <c r="J623" s="17"/>
    </row>
    <row r="624" spans="1:10" ht="12" customHeight="1" x14ac:dyDescent="0.25">
      <c r="A624" s="1"/>
      <c r="B624" s="14"/>
      <c r="C624" s="3"/>
      <c r="D624" s="21"/>
      <c r="E624" s="3"/>
      <c r="F624" s="3"/>
      <c r="G624" s="3"/>
      <c r="H624" s="24"/>
      <c r="I624" s="20"/>
      <c r="J624" s="17"/>
    </row>
    <row r="625" spans="1:10" ht="12" customHeight="1" x14ac:dyDescent="0.25">
      <c r="A625" s="1"/>
      <c r="B625" s="14"/>
      <c r="C625" s="3"/>
      <c r="D625" s="21"/>
      <c r="E625" s="3"/>
      <c r="F625" s="3"/>
      <c r="G625" s="3"/>
      <c r="H625" s="24"/>
      <c r="I625" s="20"/>
      <c r="J625" s="17"/>
    </row>
    <row r="626" spans="1:10" ht="12" customHeight="1" x14ac:dyDescent="0.25">
      <c r="A626" s="1"/>
      <c r="B626" s="14"/>
      <c r="C626" s="3"/>
      <c r="D626" s="21"/>
      <c r="E626" s="3"/>
      <c r="F626" s="3"/>
      <c r="G626" s="3"/>
      <c r="H626" s="24"/>
      <c r="I626" s="20"/>
      <c r="J626" s="17"/>
    </row>
    <row r="627" spans="1:10" ht="12" customHeight="1" x14ac:dyDescent="0.25">
      <c r="A627" s="1"/>
      <c r="B627" s="14"/>
      <c r="C627" s="3"/>
      <c r="D627" s="21"/>
      <c r="E627" s="3"/>
      <c r="F627" s="3"/>
      <c r="G627" s="3"/>
      <c r="H627" s="24"/>
      <c r="I627" s="20"/>
      <c r="J627" s="17"/>
    </row>
    <row r="628" spans="1:10" ht="12" customHeight="1" x14ac:dyDescent="0.25">
      <c r="A628" s="1"/>
      <c r="B628" s="14"/>
      <c r="C628" s="3"/>
      <c r="D628" s="21"/>
      <c r="E628" s="3"/>
      <c r="F628" s="3"/>
      <c r="G628" s="3"/>
      <c r="H628" s="24"/>
      <c r="I628" s="20"/>
      <c r="J628" s="17"/>
    </row>
    <row r="629" spans="1:10" ht="12" customHeight="1" x14ac:dyDescent="0.25">
      <c r="A629" s="1"/>
      <c r="B629" s="14"/>
      <c r="C629" s="3"/>
      <c r="D629" s="21"/>
      <c r="E629" s="3"/>
      <c r="F629" s="3"/>
      <c r="G629" s="3"/>
      <c r="H629" s="24"/>
      <c r="I629" s="20"/>
      <c r="J629" s="17"/>
    </row>
    <row r="630" spans="1:10" ht="12" customHeight="1" x14ac:dyDescent="0.25">
      <c r="A630" s="1"/>
      <c r="B630" s="14"/>
      <c r="C630" s="3"/>
      <c r="D630" s="21"/>
      <c r="E630" s="3"/>
      <c r="F630" s="3"/>
      <c r="G630" s="3"/>
      <c r="H630" s="24"/>
      <c r="I630" s="20"/>
      <c r="J630" s="17"/>
    </row>
    <row r="631" spans="1:10" ht="12" customHeight="1" x14ac:dyDescent="0.25">
      <c r="A631" s="1"/>
      <c r="B631" s="14"/>
      <c r="C631" s="3"/>
      <c r="D631" s="21"/>
      <c r="E631" s="3"/>
      <c r="F631" s="3"/>
      <c r="G631" s="3"/>
      <c r="H631" s="24"/>
      <c r="I631" s="20"/>
      <c r="J631" s="17"/>
    </row>
    <row r="632" spans="1:10" ht="12" customHeight="1" x14ac:dyDescent="0.25">
      <c r="A632" s="1"/>
      <c r="B632" s="14"/>
      <c r="C632" s="3"/>
      <c r="D632" s="21"/>
      <c r="E632" s="3"/>
      <c r="F632" s="3"/>
      <c r="G632" s="3"/>
      <c r="H632" s="24"/>
      <c r="I632" s="20"/>
      <c r="J632" s="17"/>
    </row>
    <row r="633" spans="1:10" ht="12" customHeight="1" x14ac:dyDescent="0.25">
      <c r="A633" s="1"/>
      <c r="B633" s="14"/>
      <c r="C633" s="3"/>
      <c r="D633" s="21"/>
      <c r="E633" s="3"/>
      <c r="F633" s="3"/>
      <c r="G633" s="3"/>
      <c r="H633" s="24"/>
      <c r="I633" s="20"/>
      <c r="J633" s="17"/>
    </row>
    <row r="634" spans="1:10" ht="12" customHeight="1" x14ac:dyDescent="0.25">
      <c r="A634" s="1"/>
      <c r="B634" s="14"/>
      <c r="C634" s="3"/>
      <c r="D634" s="21"/>
      <c r="E634" s="3"/>
      <c r="F634" s="3"/>
      <c r="G634" s="3"/>
      <c r="H634" s="24"/>
      <c r="I634" s="20"/>
      <c r="J634" s="17"/>
    </row>
    <row r="635" spans="1:10" ht="12" customHeight="1" x14ac:dyDescent="0.25">
      <c r="A635" s="1"/>
      <c r="B635" s="14"/>
      <c r="C635" s="3"/>
      <c r="D635" s="21"/>
      <c r="E635" s="3"/>
      <c r="F635" s="3"/>
      <c r="G635" s="3"/>
      <c r="H635" s="24"/>
      <c r="I635" s="20"/>
      <c r="J635" s="17"/>
    </row>
    <row r="636" spans="1:10" ht="12" customHeight="1" x14ac:dyDescent="0.25">
      <c r="A636" s="1"/>
      <c r="B636" s="14"/>
      <c r="C636" s="3"/>
      <c r="D636" s="21"/>
      <c r="E636" s="3"/>
      <c r="F636" s="3"/>
      <c r="G636" s="3"/>
      <c r="H636" s="24"/>
      <c r="I636" s="20"/>
      <c r="J636" s="17"/>
    </row>
    <row r="637" spans="1:10" ht="12" customHeight="1" x14ac:dyDescent="0.25">
      <c r="A637" s="1"/>
      <c r="B637" s="14"/>
      <c r="C637" s="3"/>
      <c r="D637" s="21"/>
      <c r="E637" s="3"/>
      <c r="F637" s="3"/>
      <c r="G637" s="3"/>
      <c r="H637" s="24"/>
      <c r="I637" s="20"/>
      <c r="J637" s="17"/>
    </row>
    <row r="638" spans="1:10" ht="12" customHeight="1" x14ac:dyDescent="0.25">
      <c r="A638" s="1"/>
      <c r="B638" s="14"/>
      <c r="C638" s="3"/>
      <c r="D638" s="21"/>
      <c r="E638" s="3"/>
      <c r="F638" s="3"/>
      <c r="G638" s="3"/>
      <c r="H638" s="24"/>
      <c r="I638" s="20"/>
      <c r="J638" s="17"/>
    </row>
    <row r="639" spans="1:10" ht="12" customHeight="1" x14ac:dyDescent="0.25">
      <c r="A639" s="1"/>
      <c r="B639" s="14"/>
      <c r="C639" s="3"/>
      <c r="D639" s="21"/>
      <c r="E639" s="3"/>
      <c r="F639" s="3"/>
      <c r="G639" s="3"/>
      <c r="H639" s="24"/>
      <c r="I639" s="20"/>
      <c r="J639" s="17"/>
    </row>
    <row r="640" spans="1:10" ht="12" customHeight="1" x14ac:dyDescent="0.25">
      <c r="A640" s="1"/>
      <c r="B640" s="14"/>
      <c r="C640" s="3"/>
      <c r="D640" s="21"/>
      <c r="E640" s="3"/>
      <c r="F640" s="3"/>
      <c r="G640" s="3"/>
      <c r="H640" s="24"/>
      <c r="I640" s="20"/>
      <c r="J640" s="17"/>
    </row>
    <row r="641" spans="1:10" ht="12" customHeight="1" x14ac:dyDescent="0.25">
      <c r="A641" s="1"/>
      <c r="B641" s="14"/>
      <c r="C641" s="3"/>
      <c r="D641" s="21"/>
      <c r="E641" s="3"/>
      <c r="F641" s="3"/>
      <c r="G641" s="3"/>
      <c r="H641" s="24"/>
      <c r="I641" s="20"/>
      <c r="J641" s="17"/>
    </row>
    <row r="642" spans="1:10" ht="12" customHeight="1" x14ac:dyDescent="0.25">
      <c r="A642" s="1"/>
      <c r="B642" s="14"/>
      <c r="C642" s="3"/>
      <c r="D642" s="21"/>
      <c r="E642" s="3"/>
      <c r="F642" s="3"/>
      <c r="G642" s="3"/>
      <c r="H642" s="24"/>
      <c r="I642" s="20"/>
      <c r="J642" s="17"/>
    </row>
    <row r="643" spans="1:10" ht="12" customHeight="1" x14ac:dyDescent="0.25">
      <c r="A643" s="1"/>
      <c r="B643" s="14"/>
      <c r="C643" s="3"/>
      <c r="D643" s="21"/>
      <c r="E643" s="3"/>
      <c r="F643" s="3"/>
      <c r="G643" s="3"/>
      <c r="H643" s="24"/>
      <c r="I643" s="20"/>
      <c r="J643" s="17"/>
    </row>
    <row r="644" spans="1:10" ht="12" customHeight="1" x14ac:dyDescent="0.25">
      <c r="A644" s="1"/>
      <c r="B644" s="14"/>
      <c r="C644" s="3"/>
      <c r="D644" s="21"/>
      <c r="E644" s="3"/>
      <c r="F644" s="3"/>
      <c r="G644" s="3"/>
      <c r="H644" s="24"/>
      <c r="I644" s="20"/>
      <c r="J644" s="17"/>
    </row>
    <row r="645" spans="1:10" ht="12" customHeight="1" x14ac:dyDescent="0.25">
      <c r="A645" s="1"/>
      <c r="B645" s="14"/>
      <c r="C645" s="3"/>
      <c r="D645" s="21"/>
      <c r="E645" s="3"/>
      <c r="F645" s="3"/>
      <c r="G645" s="3"/>
      <c r="H645" s="24"/>
      <c r="I645" s="20"/>
      <c r="J645" s="17"/>
    </row>
    <row r="646" spans="1:10" ht="12" customHeight="1" x14ac:dyDescent="0.25">
      <c r="A646" s="1"/>
      <c r="B646" s="14"/>
      <c r="C646" s="3"/>
      <c r="D646" s="21"/>
      <c r="E646" s="3"/>
      <c r="F646" s="3"/>
      <c r="G646" s="3"/>
      <c r="H646" s="24"/>
      <c r="I646" s="20"/>
      <c r="J646" s="17"/>
    </row>
    <row r="647" spans="1:10" ht="12" customHeight="1" x14ac:dyDescent="0.25">
      <c r="A647" s="1"/>
      <c r="B647" s="14"/>
      <c r="C647" s="3"/>
      <c r="D647" s="21"/>
      <c r="E647" s="3"/>
      <c r="F647" s="3"/>
      <c r="G647" s="3"/>
      <c r="H647" s="24"/>
      <c r="I647" s="20"/>
      <c r="J647" s="17"/>
    </row>
    <row r="648" spans="1:10" ht="12" customHeight="1" x14ac:dyDescent="0.25">
      <c r="A648" s="1"/>
      <c r="B648" s="14"/>
      <c r="C648" s="3"/>
      <c r="D648" s="21"/>
      <c r="E648" s="3"/>
      <c r="F648" s="3"/>
      <c r="G648" s="3"/>
      <c r="H648" s="24"/>
      <c r="I648" s="20"/>
      <c r="J648" s="17"/>
    </row>
    <row r="649" spans="1:10" ht="12" customHeight="1" x14ac:dyDescent="0.25">
      <c r="A649" s="1"/>
      <c r="B649" s="14"/>
      <c r="C649" s="3"/>
      <c r="D649" s="21"/>
      <c r="E649" s="3"/>
      <c r="F649" s="3"/>
      <c r="G649" s="3"/>
      <c r="H649" s="24"/>
      <c r="I649" s="20"/>
      <c r="J649" s="17"/>
    </row>
    <row r="650" spans="1:10" ht="12" customHeight="1" x14ac:dyDescent="0.25">
      <c r="A650" s="1"/>
      <c r="B650" s="14"/>
      <c r="C650" s="3"/>
      <c r="D650" s="21"/>
      <c r="E650" s="3"/>
      <c r="F650" s="3"/>
      <c r="G650" s="3"/>
      <c r="H650" s="24"/>
      <c r="I650" s="20"/>
      <c r="J650" s="17"/>
    </row>
    <row r="651" spans="1:10" ht="12" customHeight="1" x14ac:dyDescent="0.25">
      <c r="A651" s="1"/>
      <c r="B651" s="14"/>
      <c r="C651" s="3"/>
      <c r="D651" s="21"/>
      <c r="E651" s="3"/>
      <c r="F651" s="3"/>
      <c r="G651" s="3"/>
      <c r="H651" s="24"/>
      <c r="I651" s="20"/>
      <c r="J651" s="17"/>
    </row>
    <row r="652" spans="1:10" ht="12" customHeight="1" x14ac:dyDescent="0.25">
      <c r="A652" s="1"/>
      <c r="B652" s="14"/>
      <c r="C652" s="3"/>
      <c r="D652" s="21"/>
      <c r="E652" s="3"/>
      <c r="F652" s="3"/>
      <c r="G652" s="3"/>
      <c r="H652" s="24"/>
      <c r="I652" s="20"/>
      <c r="J652" s="17"/>
    </row>
    <row r="653" spans="1:10" ht="12" customHeight="1" x14ac:dyDescent="0.25">
      <c r="A653" s="1"/>
      <c r="B653" s="14"/>
      <c r="C653" s="3"/>
      <c r="D653" s="21"/>
      <c r="E653" s="3"/>
      <c r="F653" s="3"/>
      <c r="G653" s="3"/>
      <c r="H653" s="24"/>
      <c r="I653" s="20"/>
      <c r="J653" s="17"/>
    </row>
    <row r="654" spans="1:10" ht="12" customHeight="1" x14ac:dyDescent="0.25">
      <c r="A654" s="1"/>
      <c r="B654" s="14"/>
      <c r="C654" s="3"/>
      <c r="D654" s="21"/>
      <c r="E654" s="3"/>
      <c r="F654" s="3"/>
      <c r="G654" s="3"/>
      <c r="H654" s="24"/>
      <c r="I654" s="20"/>
      <c r="J654" s="17"/>
    </row>
    <row r="655" spans="1:10" ht="12" customHeight="1" x14ac:dyDescent="0.25">
      <c r="A655" s="1"/>
      <c r="B655" s="14"/>
      <c r="C655" s="3"/>
      <c r="D655" s="21"/>
      <c r="E655" s="3"/>
      <c r="F655" s="3"/>
      <c r="G655" s="3"/>
      <c r="H655" s="24"/>
      <c r="I655" s="20"/>
      <c r="J655" s="17"/>
    </row>
    <row r="656" spans="1:10" ht="12" customHeight="1" x14ac:dyDescent="0.25">
      <c r="A656" s="1"/>
      <c r="B656" s="14"/>
      <c r="C656" s="3"/>
      <c r="D656" s="21"/>
      <c r="E656" s="3"/>
      <c r="F656" s="3"/>
      <c r="G656" s="3"/>
      <c r="H656" s="24"/>
      <c r="I656" s="20"/>
      <c r="J656" s="17"/>
    </row>
    <row r="657" spans="1:10" ht="12" customHeight="1" x14ac:dyDescent="0.25">
      <c r="A657" s="1"/>
      <c r="B657" s="14"/>
      <c r="C657" s="3"/>
      <c r="D657" s="21"/>
      <c r="E657" s="3"/>
      <c r="F657" s="3"/>
      <c r="G657" s="3"/>
      <c r="H657" s="24"/>
      <c r="I657" s="20"/>
      <c r="J657" s="17"/>
    </row>
    <row r="658" spans="1:10" ht="12" customHeight="1" x14ac:dyDescent="0.25">
      <c r="A658" s="1"/>
      <c r="B658" s="14"/>
      <c r="C658" s="3"/>
      <c r="D658" s="21"/>
      <c r="E658" s="3"/>
      <c r="F658" s="3"/>
      <c r="G658" s="3"/>
      <c r="H658" s="24"/>
      <c r="I658" s="20"/>
      <c r="J658" s="17"/>
    </row>
    <row r="659" spans="1:10" ht="12" customHeight="1" x14ac:dyDescent="0.25">
      <c r="A659" s="1"/>
      <c r="B659" s="14"/>
      <c r="C659" s="3"/>
      <c r="D659" s="21"/>
      <c r="E659" s="3"/>
      <c r="F659" s="3"/>
      <c r="G659" s="3"/>
      <c r="H659" s="24"/>
      <c r="I659" s="20"/>
      <c r="J659" s="17"/>
    </row>
    <row r="660" spans="1:10" ht="12" customHeight="1" x14ac:dyDescent="0.25">
      <c r="A660" s="1"/>
      <c r="B660" s="14"/>
      <c r="C660" s="3"/>
      <c r="D660" s="21"/>
      <c r="E660" s="3"/>
      <c r="F660" s="3"/>
      <c r="G660" s="3"/>
      <c r="H660" s="24"/>
      <c r="I660" s="20"/>
      <c r="J660" s="17"/>
    </row>
    <row r="661" spans="1:10" ht="12" customHeight="1" x14ac:dyDescent="0.25">
      <c r="A661" s="1"/>
      <c r="B661" s="14"/>
      <c r="C661" s="3"/>
      <c r="D661" s="21"/>
      <c r="E661" s="3"/>
      <c r="F661" s="3"/>
      <c r="G661" s="3"/>
      <c r="H661" s="24"/>
      <c r="I661" s="20"/>
      <c r="J661" s="17"/>
    </row>
    <row r="662" spans="1:10" ht="12" customHeight="1" x14ac:dyDescent="0.25">
      <c r="A662" s="1"/>
      <c r="B662" s="14"/>
      <c r="C662" s="3"/>
      <c r="D662" s="21"/>
      <c r="E662" s="3"/>
      <c r="F662" s="3"/>
      <c r="G662" s="3"/>
      <c r="H662" s="24"/>
      <c r="I662" s="20"/>
      <c r="J662" s="17"/>
    </row>
    <row r="663" spans="1:10" ht="12" customHeight="1" x14ac:dyDescent="0.25">
      <c r="A663" s="1"/>
      <c r="B663" s="14"/>
      <c r="C663" s="3"/>
      <c r="D663" s="21"/>
      <c r="E663" s="3"/>
      <c r="F663" s="3"/>
      <c r="G663" s="3"/>
      <c r="H663" s="24"/>
      <c r="I663" s="20"/>
      <c r="J663" s="17"/>
    </row>
    <row r="664" spans="1:10" ht="12" customHeight="1" x14ac:dyDescent="0.25">
      <c r="A664" s="1"/>
      <c r="B664" s="14"/>
      <c r="C664" s="3"/>
      <c r="D664" s="21"/>
      <c r="E664" s="3"/>
      <c r="F664" s="3"/>
      <c r="G664" s="3"/>
      <c r="H664" s="24"/>
      <c r="I664" s="20"/>
      <c r="J664" s="17"/>
    </row>
    <row r="665" spans="1:10" ht="12" customHeight="1" x14ac:dyDescent="0.25">
      <c r="A665" s="1"/>
      <c r="B665" s="14"/>
      <c r="C665" s="3"/>
      <c r="D665" s="21"/>
      <c r="E665" s="3"/>
      <c r="F665" s="3"/>
      <c r="G665" s="3"/>
      <c r="H665" s="24"/>
      <c r="I665" s="20"/>
      <c r="J665" s="17"/>
    </row>
    <row r="666" spans="1:10" ht="12" customHeight="1" x14ac:dyDescent="0.25">
      <c r="A666" s="1"/>
      <c r="B666" s="14"/>
      <c r="C666" s="3"/>
      <c r="D666" s="21"/>
      <c r="E666" s="3"/>
      <c r="F666" s="3"/>
      <c r="G666" s="3"/>
      <c r="H666" s="24"/>
      <c r="I666" s="20"/>
      <c r="J666" s="17"/>
    </row>
    <row r="667" spans="1:10" ht="12" customHeight="1" x14ac:dyDescent="0.25">
      <c r="A667" s="1"/>
      <c r="B667" s="14"/>
      <c r="C667" s="3"/>
      <c r="D667" s="21"/>
      <c r="E667" s="3"/>
      <c r="F667" s="3"/>
      <c r="G667" s="3"/>
      <c r="H667" s="24"/>
      <c r="I667" s="20"/>
      <c r="J667" s="17"/>
    </row>
    <row r="668" spans="1:10" ht="12" customHeight="1" x14ac:dyDescent="0.25">
      <c r="A668" s="1"/>
      <c r="B668" s="14"/>
      <c r="C668" s="3"/>
      <c r="D668" s="21"/>
      <c r="E668" s="3"/>
      <c r="F668" s="3"/>
      <c r="G668" s="3"/>
      <c r="H668" s="24"/>
      <c r="I668" s="20"/>
      <c r="J668" s="17"/>
    </row>
    <row r="669" spans="1:10" ht="12" customHeight="1" x14ac:dyDescent="0.25">
      <c r="A669" s="1"/>
      <c r="B669" s="14"/>
      <c r="C669" s="3"/>
      <c r="D669" s="21"/>
      <c r="E669" s="3"/>
      <c r="F669" s="3"/>
      <c r="G669" s="3"/>
      <c r="H669" s="24"/>
      <c r="I669" s="20"/>
      <c r="J669" s="17"/>
    </row>
    <row r="670" spans="1:10" ht="12" customHeight="1" x14ac:dyDescent="0.25">
      <c r="A670" s="1"/>
      <c r="B670" s="14"/>
      <c r="C670" s="3"/>
      <c r="D670" s="21"/>
      <c r="E670" s="3"/>
      <c r="F670" s="3"/>
      <c r="G670" s="3"/>
      <c r="H670" s="24"/>
      <c r="I670" s="20"/>
      <c r="J670" s="17"/>
    </row>
    <row r="671" spans="1:10" ht="12" customHeight="1" x14ac:dyDescent="0.25">
      <c r="A671" s="1"/>
      <c r="B671" s="14"/>
      <c r="C671" s="3"/>
      <c r="D671" s="21"/>
      <c r="E671" s="3"/>
      <c r="F671" s="3"/>
      <c r="G671" s="3"/>
      <c r="H671" s="24"/>
      <c r="I671" s="20"/>
      <c r="J671" s="17"/>
    </row>
    <row r="672" spans="1:10" ht="12" customHeight="1" x14ac:dyDescent="0.25">
      <c r="A672" s="1"/>
      <c r="B672" s="14"/>
      <c r="C672" s="3"/>
      <c r="D672" s="21"/>
      <c r="E672" s="3"/>
      <c r="F672" s="3"/>
      <c r="G672" s="3"/>
      <c r="H672" s="24"/>
      <c r="I672" s="20"/>
      <c r="J672" s="17"/>
    </row>
    <row r="673" spans="1:10" ht="12" customHeight="1" x14ac:dyDescent="0.25">
      <c r="A673" s="1"/>
      <c r="B673" s="14"/>
      <c r="C673" s="3"/>
      <c r="D673" s="21"/>
      <c r="E673" s="3"/>
      <c r="F673" s="3"/>
      <c r="G673" s="3"/>
      <c r="H673" s="24"/>
      <c r="I673" s="20"/>
      <c r="J673" s="17"/>
    </row>
    <row r="674" spans="1:10" ht="12" customHeight="1" x14ac:dyDescent="0.25">
      <c r="A674" s="1"/>
      <c r="B674" s="14"/>
      <c r="C674" s="3"/>
      <c r="D674" s="21"/>
      <c r="E674" s="3"/>
      <c r="F674" s="3"/>
      <c r="G674" s="3"/>
      <c r="H674" s="24"/>
      <c r="I674" s="20"/>
      <c r="J674" s="17"/>
    </row>
    <row r="675" spans="1:10" ht="12" customHeight="1" x14ac:dyDescent="0.25">
      <c r="A675" s="1"/>
      <c r="B675" s="14"/>
      <c r="C675" s="3"/>
      <c r="D675" s="21"/>
      <c r="E675" s="3"/>
      <c r="F675" s="3"/>
      <c r="G675" s="3"/>
      <c r="H675" s="24"/>
      <c r="I675" s="20"/>
      <c r="J675" s="17"/>
    </row>
    <row r="676" spans="1:10" ht="12" customHeight="1" x14ac:dyDescent="0.25">
      <c r="A676" s="1"/>
      <c r="B676" s="14"/>
      <c r="C676" s="3"/>
      <c r="D676" s="21"/>
      <c r="E676" s="3"/>
      <c r="F676" s="3"/>
      <c r="G676" s="3"/>
      <c r="H676" s="24"/>
      <c r="I676" s="20"/>
      <c r="J676" s="17"/>
    </row>
    <row r="677" spans="1:10" ht="12" customHeight="1" x14ac:dyDescent="0.25">
      <c r="A677" s="1"/>
      <c r="B677" s="14"/>
      <c r="C677" s="3"/>
      <c r="D677" s="21"/>
      <c r="E677" s="3"/>
      <c r="F677" s="3"/>
      <c r="G677" s="3"/>
      <c r="H677" s="24"/>
      <c r="I677" s="20"/>
      <c r="J677" s="17"/>
    </row>
    <row r="678" spans="1:10" ht="12" customHeight="1" x14ac:dyDescent="0.25">
      <c r="A678" s="1"/>
      <c r="B678" s="14"/>
      <c r="C678" s="3"/>
      <c r="D678" s="21"/>
      <c r="E678" s="3"/>
      <c r="F678" s="3"/>
      <c r="G678" s="3"/>
      <c r="H678" s="24"/>
      <c r="I678" s="20"/>
      <c r="J678" s="17"/>
    </row>
    <row r="679" spans="1:10" ht="12" customHeight="1" x14ac:dyDescent="0.25">
      <c r="A679" s="1"/>
      <c r="B679" s="14"/>
      <c r="C679" s="3"/>
      <c r="D679" s="21"/>
      <c r="E679" s="3"/>
      <c r="F679" s="3"/>
      <c r="G679" s="3"/>
      <c r="H679" s="24"/>
      <c r="I679" s="20"/>
      <c r="J679" s="17"/>
    </row>
    <row r="680" spans="1:10" ht="12" customHeight="1" x14ac:dyDescent="0.25">
      <c r="A680" s="1"/>
      <c r="B680" s="14"/>
      <c r="C680" s="3"/>
      <c r="D680" s="21"/>
      <c r="E680" s="3"/>
      <c r="F680" s="3"/>
      <c r="G680" s="3"/>
      <c r="H680" s="24"/>
      <c r="I680" s="20"/>
      <c r="J680" s="17"/>
    </row>
    <row r="681" spans="1:10" ht="12" customHeight="1" x14ac:dyDescent="0.25">
      <c r="A681" s="1"/>
      <c r="B681" s="14"/>
      <c r="C681" s="3"/>
      <c r="D681" s="21"/>
      <c r="E681" s="3"/>
      <c r="F681" s="3"/>
      <c r="G681" s="3"/>
      <c r="H681" s="24"/>
      <c r="I681" s="20"/>
      <c r="J681" s="17"/>
    </row>
    <row r="682" spans="1:10" ht="12" customHeight="1" x14ac:dyDescent="0.25">
      <c r="A682" s="1"/>
      <c r="B682" s="14"/>
      <c r="C682" s="3"/>
      <c r="D682" s="21"/>
      <c r="E682" s="3"/>
      <c r="F682" s="3"/>
      <c r="G682" s="3"/>
      <c r="H682" s="24"/>
      <c r="I682" s="20"/>
      <c r="J682" s="17"/>
    </row>
    <row r="683" spans="1:10" ht="12" customHeight="1" x14ac:dyDescent="0.25">
      <c r="A683" s="1"/>
      <c r="B683" s="14"/>
      <c r="C683" s="3"/>
      <c r="D683" s="21"/>
      <c r="E683" s="3"/>
      <c r="F683" s="3"/>
      <c r="G683" s="3"/>
      <c r="H683" s="24"/>
      <c r="I683" s="20"/>
      <c r="J683" s="17"/>
    </row>
    <row r="684" spans="1:10" ht="12" customHeight="1" x14ac:dyDescent="0.25">
      <c r="A684" s="1"/>
      <c r="B684" s="14"/>
      <c r="C684" s="3"/>
      <c r="D684" s="21"/>
      <c r="E684" s="3"/>
      <c r="F684" s="3"/>
      <c r="G684" s="3"/>
      <c r="H684" s="24"/>
      <c r="I684" s="20"/>
      <c r="J684" s="17"/>
    </row>
    <row r="685" spans="1:10" ht="12" customHeight="1" x14ac:dyDescent="0.25">
      <c r="A685" s="1"/>
      <c r="B685" s="14"/>
      <c r="C685" s="3"/>
      <c r="D685" s="21"/>
      <c r="E685" s="3"/>
      <c r="F685" s="3"/>
      <c r="G685" s="3"/>
      <c r="H685" s="24"/>
      <c r="I685" s="20"/>
      <c r="J685" s="17"/>
    </row>
    <row r="686" spans="1:10" ht="12" customHeight="1" x14ac:dyDescent="0.25">
      <c r="A686" s="1"/>
      <c r="B686" s="14"/>
      <c r="C686" s="3"/>
      <c r="D686" s="21"/>
      <c r="E686" s="3"/>
      <c r="F686" s="3"/>
      <c r="G686" s="3"/>
      <c r="H686" s="24"/>
      <c r="I686" s="20"/>
      <c r="J686" s="17"/>
    </row>
    <row r="687" spans="1:10" ht="12" customHeight="1" x14ac:dyDescent="0.25">
      <c r="A687" s="1"/>
      <c r="B687" s="14"/>
      <c r="C687" s="3"/>
      <c r="D687" s="21"/>
      <c r="E687" s="3"/>
      <c r="F687" s="3"/>
      <c r="G687" s="3"/>
      <c r="H687" s="24"/>
      <c r="I687" s="20"/>
      <c r="J687" s="17"/>
    </row>
    <row r="688" spans="1:10" ht="12" customHeight="1" x14ac:dyDescent="0.25">
      <c r="A688" s="1"/>
      <c r="B688" s="14"/>
      <c r="C688" s="3"/>
      <c r="D688" s="21"/>
      <c r="E688" s="3"/>
      <c r="F688" s="3"/>
      <c r="G688" s="3"/>
      <c r="H688" s="24"/>
      <c r="I688" s="20"/>
      <c r="J688" s="17"/>
    </row>
    <row r="689" spans="1:10" ht="12" customHeight="1" x14ac:dyDescent="0.25">
      <c r="A689" s="1"/>
      <c r="B689" s="14"/>
      <c r="C689" s="3"/>
      <c r="D689" s="21"/>
      <c r="E689" s="3"/>
      <c r="F689" s="3"/>
      <c r="G689" s="3"/>
      <c r="H689" s="24"/>
      <c r="I689" s="20"/>
      <c r="J689" s="17"/>
    </row>
    <row r="690" spans="1:10" ht="12" customHeight="1" x14ac:dyDescent="0.25">
      <c r="A690" s="1"/>
      <c r="B690" s="14"/>
      <c r="C690" s="3"/>
      <c r="D690" s="21"/>
      <c r="E690" s="3"/>
      <c r="F690" s="3"/>
      <c r="G690" s="3"/>
      <c r="H690" s="24"/>
      <c r="I690" s="20"/>
      <c r="J690" s="17"/>
    </row>
    <row r="691" spans="1:10" ht="12" customHeight="1" x14ac:dyDescent="0.25">
      <c r="A691" s="1"/>
      <c r="B691" s="14"/>
      <c r="C691" s="3"/>
      <c r="D691" s="21"/>
      <c r="E691" s="3"/>
      <c r="F691" s="3"/>
      <c r="G691" s="3"/>
      <c r="H691" s="24"/>
      <c r="I691" s="20"/>
      <c r="J691" s="17"/>
    </row>
    <row r="692" spans="1:10" ht="12" customHeight="1" x14ac:dyDescent="0.25">
      <c r="A692" s="1"/>
      <c r="B692" s="14"/>
      <c r="C692" s="3"/>
      <c r="D692" s="21"/>
      <c r="E692" s="3"/>
      <c r="F692" s="3"/>
      <c r="G692" s="3"/>
      <c r="H692" s="24"/>
      <c r="I692" s="20"/>
      <c r="J692" s="17"/>
    </row>
    <row r="693" spans="1:10" ht="12" customHeight="1" x14ac:dyDescent="0.25">
      <c r="A693" s="1"/>
      <c r="B693" s="14"/>
      <c r="C693" s="3"/>
      <c r="D693" s="21"/>
      <c r="E693" s="3"/>
      <c r="F693" s="3"/>
      <c r="G693" s="3"/>
      <c r="H693" s="24"/>
      <c r="I693" s="20"/>
      <c r="J693" s="17"/>
    </row>
    <row r="694" spans="1:10" ht="12" customHeight="1" x14ac:dyDescent="0.25">
      <c r="A694" s="1"/>
      <c r="B694" s="14"/>
      <c r="C694" s="3"/>
      <c r="D694" s="21"/>
      <c r="E694" s="3"/>
      <c r="F694" s="3"/>
      <c r="G694" s="3"/>
      <c r="H694" s="24"/>
      <c r="I694" s="20"/>
      <c r="J694" s="17"/>
    </row>
    <row r="695" spans="1:10" ht="12" customHeight="1" x14ac:dyDescent="0.25">
      <c r="A695" s="1"/>
      <c r="B695" s="14"/>
      <c r="C695" s="3"/>
      <c r="D695" s="21"/>
      <c r="E695" s="3"/>
      <c r="F695" s="3"/>
      <c r="G695" s="3"/>
      <c r="H695" s="24"/>
      <c r="I695" s="20"/>
      <c r="J695" s="17"/>
    </row>
    <row r="696" spans="1:10" ht="12" customHeight="1" x14ac:dyDescent="0.25">
      <c r="A696" s="1"/>
      <c r="B696" s="14"/>
      <c r="C696" s="3"/>
      <c r="D696" s="21"/>
      <c r="E696" s="3"/>
      <c r="F696" s="3"/>
      <c r="G696" s="3"/>
      <c r="H696" s="24"/>
      <c r="I696" s="20"/>
      <c r="J696" s="17"/>
    </row>
    <row r="697" spans="1:10" ht="12" customHeight="1" x14ac:dyDescent="0.25">
      <c r="A697" s="1"/>
      <c r="B697" s="14"/>
      <c r="C697" s="3"/>
      <c r="D697" s="21"/>
      <c r="E697" s="3"/>
      <c r="F697" s="3"/>
      <c r="G697" s="3"/>
      <c r="H697" s="24"/>
      <c r="I697" s="20"/>
      <c r="J697" s="17"/>
    </row>
    <row r="698" spans="1:10" ht="12" customHeight="1" x14ac:dyDescent="0.25">
      <c r="A698" s="1"/>
      <c r="B698" s="14"/>
      <c r="C698" s="3"/>
      <c r="D698" s="21"/>
      <c r="E698" s="3"/>
      <c r="F698" s="3"/>
      <c r="G698" s="3"/>
      <c r="H698" s="24"/>
      <c r="I698" s="20"/>
      <c r="J698" s="17"/>
    </row>
    <row r="699" spans="1:10" ht="12" customHeight="1" x14ac:dyDescent="0.25">
      <c r="A699" s="1"/>
      <c r="B699" s="14"/>
      <c r="C699" s="3"/>
      <c r="D699" s="21"/>
      <c r="E699" s="3"/>
      <c r="F699" s="3"/>
      <c r="G699" s="3"/>
      <c r="H699" s="24"/>
      <c r="I699" s="20"/>
      <c r="J699" s="17"/>
    </row>
    <row r="700" spans="1:10" ht="12" customHeight="1" x14ac:dyDescent="0.25">
      <c r="A700" s="1"/>
      <c r="B700" s="14"/>
      <c r="C700" s="3"/>
      <c r="D700" s="21"/>
      <c r="E700" s="3"/>
      <c r="F700" s="3"/>
      <c r="G700" s="3"/>
      <c r="H700" s="24"/>
      <c r="I700" s="20"/>
      <c r="J700" s="17"/>
    </row>
    <row r="701" spans="1:10" ht="12" customHeight="1" x14ac:dyDescent="0.25">
      <c r="A701" s="1"/>
      <c r="B701" s="14"/>
      <c r="C701" s="3"/>
      <c r="D701" s="21"/>
      <c r="E701" s="3"/>
      <c r="F701" s="3"/>
      <c r="G701" s="3"/>
      <c r="H701" s="24"/>
      <c r="I701" s="20"/>
      <c r="J701" s="17"/>
    </row>
    <row r="702" spans="1:10" ht="12" customHeight="1" x14ac:dyDescent="0.25">
      <c r="A702" s="1"/>
      <c r="B702" s="14"/>
      <c r="C702" s="3"/>
      <c r="D702" s="21"/>
      <c r="E702" s="3"/>
      <c r="F702" s="3"/>
      <c r="G702" s="3"/>
      <c r="H702" s="24"/>
      <c r="I702" s="20"/>
      <c r="J702" s="17"/>
    </row>
    <row r="703" spans="1:10" ht="12" customHeight="1" x14ac:dyDescent="0.25">
      <c r="A703" s="1"/>
      <c r="B703" s="14"/>
      <c r="C703" s="3"/>
      <c r="D703" s="21"/>
      <c r="E703" s="3"/>
      <c r="F703" s="3"/>
      <c r="G703" s="3"/>
      <c r="H703" s="24"/>
      <c r="I703" s="20"/>
      <c r="J703" s="17"/>
    </row>
    <row r="704" spans="1:10" ht="12" customHeight="1" x14ac:dyDescent="0.25">
      <c r="A704" s="1"/>
      <c r="B704" s="14"/>
      <c r="C704" s="3"/>
      <c r="D704" s="21"/>
      <c r="E704" s="3"/>
      <c r="F704" s="3"/>
      <c r="G704" s="3"/>
      <c r="H704" s="24"/>
      <c r="I704" s="20"/>
      <c r="J704" s="17"/>
    </row>
    <row r="705" spans="1:10" ht="12" customHeight="1" x14ac:dyDescent="0.25">
      <c r="A705" s="1"/>
      <c r="B705" s="14"/>
      <c r="C705" s="3"/>
      <c r="D705" s="21"/>
      <c r="E705" s="3"/>
      <c r="F705" s="3"/>
      <c r="G705" s="3"/>
      <c r="H705" s="24"/>
      <c r="I705" s="20"/>
      <c r="J705" s="17"/>
    </row>
    <row r="706" spans="1:10" ht="12" customHeight="1" x14ac:dyDescent="0.25">
      <c r="A706" s="1"/>
      <c r="B706" s="14"/>
      <c r="C706" s="3"/>
      <c r="D706" s="21"/>
      <c r="E706" s="3"/>
      <c r="F706" s="3"/>
      <c r="G706" s="3"/>
      <c r="H706" s="24"/>
      <c r="I706" s="20"/>
      <c r="J706" s="17"/>
    </row>
    <row r="707" spans="1:10" ht="12" customHeight="1" x14ac:dyDescent="0.25">
      <c r="A707" s="1"/>
      <c r="B707" s="14"/>
      <c r="C707" s="3"/>
      <c r="D707" s="21"/>
      <c r="E707" s="3"/>
      <c r="F707" s="3"/>
      <c r="G707" s="3"/>
      <c r="H707" s="24"/>
      <c r="I707" s="20"/>
      <c r="J707" s="17"/>
    </row>
    <row r="708" spans="1:10" ht="12" customHeight="1" x14ac:dyDescent="0.25">
      <c r="A708" s="1"/>
      <c r="B708" s="14"/>
      <c r="C708" s="3"/>
      <c r="D708" s="21"/>
      <c r="E708" s="3"/>
      <c r="F708" s="3"/>
      <c r="G708" s="3"/>
      <c r="H708" s="24"/>
      <c r="I708" s="20"/>
      <c r="J708" s="17"/>
    </row>
    <row r="709" spans="1:10" ht="12" customHeight="1" x14ac:dyDescent="0.25">
      <c r="A709" s="1"/>
      <c r="B709" s="14"/>
      <c r="C709" s="3"/>
      <c r="D709" s="21"/>
      <c r="E709" s="3"/>
      <c r="F709" s="3"/>
      <c r="G709" s="3"/>
      <c r="H709" s="24"/>
      <c r="I709" s="20"/>
      <c r="J709" s="17"/>
    </row>
    <row r="710" spans="1:10" ht="12" customHeight="1" x14ac:dyDescent="0.25">
      <c r="A710" s="1"/>
      <c r="B710" s="14"/>
      <c r="C710" s="3"/>
      <c r="D710" s="21"/>
      <c r="E710" s="3"/>
      <c r="F710" s="3"/>
      <c r="G710" s="3"/>
      <c r="H710" s="24"/>
      <c r="I710" s="20"/>
      <c r="J710" s="17"/>
    </row>
    <row r="711" spans="1:10" ht="12" customHeight="1" x14ac:dyDescent="0.25">
      <c r="A711" s="1"/>
      <c r="B711" s="14"/>
      <c r="C711" s="3"/>
      <c r="D711" s="21"/>
      <c r="E711" s="3"/>
      <c r="F711" s="3"/>
      <c r="G711" s="3"/>
      <c r="H711" s="24"/>
      <c r="I711" s="20"/>
      <c r="J711" s="17"/>
    </row>
    <row r="712" spans="1:10" ht="12" customHeight="1" x14ac:dyDescent="0.25">
      <c r="A712" s="1"/>
      <c r="B712" s="14"/>
      <c r="C712" s="3"/>
      <c r="D712" s="21"/>
      <c r="E712" s="3"/>
      <c r="F712" s="3"/>
      <c r="G712" s="3"/>
      <c r="H712" s="24"/>
      <c r="I712" s="20"/>
      <c r="J712" s="17"/>
    </row>
    <row r="713" spans="1:10" ht="12" customHeight="1" x14ac:dyDescent="0.25">
      <c r="A713" s="1"/>
      <c r="B713" s="14"/>
      <c r="C713" s="3"/>
      <c r="D713" s="21"/>
      <c r="E713" s="3"/>
      <c r="F713" s="3"/>
      <c r="G713" s="3"/>
      <c r="H713" s="24"/>
      <c r="I713" s="20"/>
      <c r="J713" s="17"/>
    </row>
    <row r="714" spans="1:10" ht="12" customHeight="1" x14ac:dyDescent="0.25">
      <c r="A714" s="1"/>
      <c r="B714" s="14"/>
      <c r="C714" s="3"/>
      <c r="D714" s="21"/>
      <c r="E714" s="3"/>
      <c r="F714" s="3"/>
      <c r="G714" s="3"/>
      <c r="H714" s="24"/>
      <c r="I714" s="20"/>
      <c r="J714" s="17"/>
    </row>
    <row r="715" spans="1:10" ht="12" customHeight="1" x14ac:dyDescent="0.25">
      <c r="A715" s="1"/>
      <c r="B715" s="14"/>
      <c r="C715" s="3"/>
      <c r="D715" s="21"/>
      <c r="E715" s="3"/>
      <c r="F715" s="3"/>
      <c r="G715" s="3"/>
      <c r="H715" s="24"/>
      <c r="I715" s="20"/>
      <c r="J715" s="17"/>
    </row>
    <row r="716" spans="1:10" ht="12" customHeight="1" x14ac:dyDescent="0.25">
      <c r="A716" s="1"/>
      <c r="B716" s="14"/>
      <c r="C716" s="3"/>
      <c r="D716" s="21"/>
      <c r="E716" s="3"/>
      <c r="F716" s="3"/>
      <c r="G716" s="3"/>
      <c r="H716" s="24"/>
      <c r="I716" s="20"/>
      <c r="J716" s="17"/>
    </row>
    <row r="717" spans="1:10" ht="12" customHeight="1" x14ac:dyDescent="0.25">
      <c r="A717" s="1"/>
      <c r="B717" s="14"/>
      <c r="C717" s="3"/>
      <c r="D717" s="21"/>
      <c r="E717" s="3"/>
      <c r="F717" s="3"/>
      <c r="G717" s="3"/>
      <c r="H717" s="24"/>
      <c r="I717" s="20"/>
      <c r="J717" s="17"/>
    </row>
    <row r="718" spans="1:10" ht="12" customHeight="1" x14ac:dyDescent="0.25">
      <c r="A718" s="1"/>
      <c r="B718" s="14"/>
      <c r="C718" s="3"/>
      <c r="D718" s="21"/>
      <c r="E718" s="3"/>
      <c r="F718" s="3"/>
      <c r="G718" s="3"/>
      <c r="H718" s="24"/>
      <c r="I718" s="20"/>
      <c r="J718" s="17"/>
    </row>
    <row r="719" spans="1:10" ht="12" customHeight="1" x14ac:dyDescent="0.25">
      <c r="A719" s="1"/>
      <c r="B719" s="14"/>
      <c r="C719" s="3"/>
      <c r="D719" s="21"/>
      <c r="E719" s="3"/>
      <c r="F719" s="3"/>
      <c r="G719" s="3"/>
      <c r="H719" s="24"/>
      <c r="I719" s="20"/>
      <c r="J719" s="17"/>
    </row>
    <row r="720" spans="1:10" ht="12" customHeight="1" x14ac:dyDescent="0.25">
      <c r="A720" s="1"/>
      <c r="B720" s="14"/>
      <c r="C720" s="3"/>
      <c r="D720" s="21"/>
      <c r="E720" s="3"/>
      <c r="F720" s="3"/>
      <c r="G720" s="3"/>
      <c r="H720" s="24"/>
      <c r="I720" s="20"/>
      <c r="J720" s="17"/>
    </row>
    <row r="721" spans="1:10" ht="12" customHeight="1" x14ac:dyDescent="0.25">
      <c r="A721" s="1"/>
      <c r="B721" s="14"/>
      <c r="C721" s="3"/>
      <c r="D721" s="21"/>
      <c r="E721" s="3"/>
      <c r="F721" s="3"/>
      <c r="G721" s="3"/>
      <c r="H721" s="24"/>
      <c r="I721" s="20"/>
      <c r="J721" s="17"/>
    </row>
    <row r="722" spans="1:10" ht="12" customHeight="1" x14ac:dyDescent="0.25">
      <c r="A722" s="1"/>
      <c r="B722" s="14"/>
      <c r="C722" s="3"/>
      <c r="D722" s="21"/>
      <c r="E722" s="3"/>
      <c r="F722" s="3"/>
      <c r="G722" s="3"/>
      <c r="H722" s="24"/>
      <c r="I722" s="20"/>
      <c r="J722" s="17"/>
    </row>
    <row r="723" spans="1:10" ht="12" customHeight="1" x14ac:dyDescent="0.25">
      <c r="A723" s="1"/>
      <c r="B723" s="14"/>
      <c r="C723" s="3"/>
      <c r="D723" s="21"/>
      <c r="E723" s="3"/>
      <c r="F723" s="3"/>
      <c r="G723" s="3"/>
      <c r="H723" s="24"/>
      <c r="I723" s="20"/>
      <c r="J723" s="17"/>
    </row>
    <row r="724" spans="1:10" ht="12" customHeight="1" x14ac:dyDescent="0.25">
      <c r="A724" s="1"/>
      <c r="B724" s="14"/>
      <c r="C724" s="3"/>
      <c r="D724" s="21"/>
      <c r="E724" s="3"/>
      <c r="F724" s="3"/>
      <c r="G724" s="3"/>
      <c r="H724" s="24"/>
      <c r="I724" s="20"/>
      <c r="J724" s="17"/>
    </row>
    <row r="725" spans="1:10" ht="12" customHeight="1" x14ac:dyDescent="0.25">
      <c r="A725" s="1"/>
      <c r="B725" s="14"/>
      <c r="C725" s="3"/>
      <c r="D725" s="21"/>
      <c r="E725" s="3"/>
      <c r="F725" s="3"/>
      <c r="G725" s="3"/>
      <c r="H725" s="24"/>
      <c r="I725" s="20"/>
      <c r="J725" s="17"/>
    </row>
    <row r="726" spans="1:10" ht="12" customHeight="1" x14ac:dyDescent="0.25">
      <c r="A726" s="1"/>
      <c r="B726" s="14"/>
      <c r="C726" s="3"/>
      <c r="D726" s="21"/>
      <c r="E726" s="3"/>
      <c r="F726" s="3"/>
      <c r="G726" s="3"/>
      <c r="H726" s="24"/>
      <c r="I726" s="20"/>
      <c r="J726" s="17"/>
    </row>
    <row r="727" spans="1:10" ht="12" customHeight="1" x14ac:dyDescent="0.25">
      <c r="A727" s="1"/>
      <c r="B727" s="14"/>
      <c r="C727" s="3"/>
      <c r="D727" s="21"/>
      <c r="E727" s="3"/>
      <c r="F727" s="3"/>
      <c r="G727" s="3"/>
      <c r="H727" s="24"/>
      <c r="I727" s="20"/>
      <c r="J727" s="17"/>
    </row>
    <row r="728" spans="1:10" ht="12" customHeight="1" x14ac:dyDescent="0.25">
      <c r="A728" s="1"/>
      <c r="B728" s="3"/>
      <c r="C728" s="3"/>
      <c r="D728" s="12"/>
    </row>
    <row r="729" spans="1:10" ht="12" customHeight="1" x14ac:dyDescent="0.25">
      <c r="A729" s="1"/>
      <c r="B729" s="3"/>
      <c r="C729" s="3"/>
      <c r="D729" s="12"/>
    </row>
    <row r="730" spans="1:10" ht="12" customHeight="1" x14ac:dyDescent="0.25">
      <c r="A730" s="1"/>
      <c r="B730" s="3"/>
      <c r="C730" s="3"/>
      <c r="D730" s="12"/>
    </row>
    <row r="731" spans="1:10" ht="12" customHeight="1" x14ac:dyDescent="0.25">
      <c r="A731" s="1"/>
      <c r="B731" s="3"/>
      <c r="C731" s="3"/>
      <c r="D731" s="12"/>
    </row>
    <row r="732" spans="1:10" ht="12" customHeight="1" x14ac:dyDescent="0.25">
      <c r="A732" s="1"/>
      <c r="B732" s="3"/>
      <c r="C732" s="3"/>
      <c r="D732" s="12"/>
    </row>
    <row r="733" spans="1:10" ht="12" customHeight="1" x14ac:dyDescent="0.25">
      <c r="A733" s="1"/>
      <c r="B733" s="3"/>
      <c r="C733" s="3"/>
      <c r="D733" s="12"/>
    </row>
    <row r="734" spans="1:10" ht="12" customHeight="1" x14ac:dyDescent="0.25">
      <c r="A734" s="1"/>
      <c r="B734" s="3"/>
      <c r="C734" s="3"/>
      <c r="D734" s="12"/>
    </row>
    <row r="735" spans="1:10" ht="12" customHeight="1" x14ac:dyDescent="0.25">
      <c r="A735" s="1"/>
      <c r="B735" s="3"/>
      <c r="C735" s="3"/>
      <c r="D735" s="12"/>
    </row>
    <row r="736" spans="1:10" ht="12" customHeight="1" x14ac:dyDescent="0.25">
      <c r="A736" s="1"/>
      <c r="B736" s="3"/>
      <c r="C736" s="3"/>
      <c r="D736" s="12"/>
    </row>
    <row r="737" spans="1:4" ht="12" customHeight="1" x14ac:dyDescent="0.25">
      <c r="A737" s="1"/>
      <c r="B737" s="3"/>
      <c r="C737" s="3"/>
      <c r="D737" s="12"/>
    </row>
    <row r="738" spans="1:4" ht="12" customHeight="1" x14ac:dyDescent="0.25">
      <c r="A738" s="1"/>
      <c r="B738" s="3"/>
      <c r="C738" s="3"/>
      <c r="D738" s="12"/>
    </row>
    <row r="739" spans="1:4" ht="12" customHeight="1" x14ac:dyDescent="0.25">
      <c r="A739" s="1"/>
      <c r="B739" s="3"/>
      <c r="C739" s="3"/>
      <c r="D739" s="12"/>
    </row>
    <row r="740" spans="1:4" ht="12" customHeight="1" x14ac:dyDescent="0.25">
      <c r="A740" s="1"/>
      <c r="B740" s="3"/>
      <c r="C740" s="3"/>
      <c r="D740" s="12"/>
    </row>
    <row r="741" spans="1:4" ht="12" customHeight="1" x14ac:dyDescent="0.25">
      <c r="A741" s="1"/>
      <c r="B741" s="3"/>
      <c r="C741" s="3"/>
      <c r="D741" s="12"/>
    </row>
    <row r="742" spans="1:4" ht="12" customHeight="1" x14ac:dyDescent="0.25">
      <c r="A742" s="1"/>
      <c r="B742" s="3"/>
      <c r="C742" s="3"/>
      <c r="D742" s="12"/>
    </row>
    <row r="743" spans="1:4" ht="12" customHeight="1" x14ac:dyDescent="0.25">
      <c r="A743" s="1"/>
      <c r="B743" s="3"/>
      <c r="C743" s="3"/>
      <c r="D743" s="12"/>
    </row>
    <row r="744" spans="1:4" ht="12" customHeight="1" x14ac:dyDescent="0.25">
      <c r="A744" s="1"/>
      <c r="B744" s="3"/>
      <c r="C744" s="3"/>
      <c r="D744" s="12"/>
    </row>
    <row r="745" spans="1:4" ht="12" customHeight="1" x14ac:dyDescent="0.25">
      <c r="A745" s="1"/>
      <c r="B745" s="3"/>
      <c r="C745" s="3"/>
      <c r="D745" s="12"/>
    </row>
    <row r="746" spans="1:4" ht="12" customHeight="1" x14ac:dyDescent="0.25">
      <c r="A746" s="1"/>
      <c r="B746" s="3"/>
      <c r="C746" s="3"/>
      <c r="D746" s="12"/>
    </row>
    <row r="747" spans="1:4" ht="12" customHeight="1" x14ac:dyDescent="0.25">
      <c r="A747" s="1"/>
      <c r="B747" s="3"/>
      <c r="C747" s="3"/>
      <c r="D747" s="12"/>
    </row>
    <row r="748" spans="1:4" ht="12" customHeight="1" x14ac:dyDescent="0.25">
      <c r="A748" s="1"/>
      <c r="B748" s="3"/>
      <c r="C748" s="3"/>
      <c r="D748" s="12"/>
    </row>
    <row r="749" spans="1:4" ht="12" customHeight="1" x14ac:dyDescent="0.25">
      <c r="A749" s="1"/>
      <c r="B749" s="3"/>
      <c r="C749" s="3"/>
      <c r="D749" s="12"/>
    </row>
    <row r="750" spans="1:4" ht="12" customHeight="1" x14ac:dyDescent="0.25">
      <c r="A750" s="1"/>
      <c r="B750" s="3"/>
      <c r="C750" s="3"/>
      <c r="D750" s="12"/>
    </row>
    <row r="751" spans="1:4" ht="12" customHeight="1" x14ac:dyDescent="0.25">
      <c r="A751" s="1"/>
      <c r="B751" s="3"/>
      <c r="C751" s="3"/>
      <c r="D751" s="12"/>
    </row>
    <row r="752" spans="1:4" ht="12" customHeight="1" x14ac:dyDescent="0.25">
      <c r="A752" s="1"/>
      <c r="B752" s="3"/>
      <c r="C752" s="3"/>
      <c r="D752" s="12"/>
    </row>
    <row r="753" spans="1:4" ht="12" customHeight="1" x14ac:dyDescent="0.25">
      <c r="A753" s="1"/>
      <c r="B753" s="3"/>
      <c r="C753" s="3"/>
      <c r="D753" s="12"/>
    </row>
    <row r="754" spans="1:4" ht="12" customHeight="1" x14ac:dyDescent="0.25">
      <c r="A754" s="1"/>
      <c r="B754" s="3"/>
      <c r="C754" s="3"/>
      <c r="D754" s="12"/>
    </row>
    <row r="755" spans="1:4" ht="12" customHeight="1" x14ac:dyDescent="0.25">
      <c r="A755" s="1"/>
      <c r="B755" s="3"/>
      <c r="C755" s="3"/>
      <c r="D755" s="12"/>
    </row>
    <row r="756" spans="1:4" ht="12" customHeight="1" x14ac:dyDescent="0.25">
      <c r="A756" s="1"/>
      <c r="B756" s="3"/>
      <c r="C756" s="3"/>
      <c r="D756" s="12"/>
    </row>
    <row r="757" spans="1:4" ht="12" customHeight="1" x14ac:dyDescent="0.25">
      <c r="A757" s="1"/>
      <c r="B757" s="3"/>
      <c r="C757" s="3"/>
      <c r="D757" s="12"/>
    </row>
    <row r="758" spans="1:4" ht="12" customHeight="1" x14ac:dyDescent="0.25">
      <c r="A758" s="1"/>
      <c r="B758" s="3"/>
      <c r="C758" s="3"/>
      <c r="D758" s="12"/>
    </row>
    <row r="759" spans="1:4" ht="12" customHeight="1" x14ac:dyDescent="0.25">
      <c r="A759" s="1"/>
      <c r="B759" s="3"/>
      <c r="C759" s="3"/>
      <c r="D759" s="12"/>
    </row>
    <row r="760" spans="1:4" ht="12" customHeight="1" x14ac:dyDescent="0.25">
      <c r="A760" s="1"/>
      <c r="B760" s="3"/>
      <c r="C760" s="3"/>
      <c r="D760" s="12"/>
    </row>
    <row r="761" spans="1:4" ht="12" customHeight="1" x14ac:dyDescent="0.25">
      <c r="A761" s="1"/>
      <c r="B761" s="3"/>
      <c r="C761" s="3"/>
      <c r="D761" s="12"/>
    </row>
    <row r="762" spans="1:4" ht="12" customHeight="1" x14ac:dyDescent="0.25">
      <c r="A762" s="1"/>
      <c r="B762" s="3"/>
      <c r="C762" s="3"/>
      <c r="D762" s="12"/>
    </row>
    <row r="763" spans="1:4" ht="12" customHeight="1" x14ac:dyDescent="0.25">
      <c r="A763" s="1"/>
      <c r="B763" s="3"/>
      <c r="C763" s="3"/>
      <c r="D763" s="12"/>
    </row>
    <row r="764" spans="1:4" ht="12" customHeight="1" x14ac:dyDescent="0.25">
      <c r="A764" s="1"/>
      <c r="B764" s="3"/>
      <c r="C764" s="3"/>
      <c r="D764" s="12"/>
    </row>
    <row r="765" spans="1:4" ht="12" customHeight="1" x14ac:dyDescent="0.25">
      <c r="A765" s="1"/>
      <c r="B765" s="3"/>
      <c r="C765" s="3"/>
      <c r="D765" s="12"/>
    </row>
    <row r="766" spans="1:4" ht="12" customHeight="1" x14ac:dyDescent="0.25">
      <c r="A766" s="1"/>
      <c r="B766" s="3"/>
      <c r="C766" s="3"/>
      <c r="D766" s="12"/>
    </row>
    <row r="767" spans="1:4" ht="12" customHeight="1" x14ac:dyDescent="0.25">
      <c r="A767" s="1"/>
      <c r="B767" s="3"/>
      <c r="C767" s="3"/>
      <c r="D767" s="12"/>
    </row>
    <row r="768" spans="1:4" ht="12" customHeight="1" x14ac:dyDescent="0.25">
      <c r="A768" s="1"/>
      <c r="B768" s="3"/>
      <c r="C768" s="3"/>
      <c r="D768" s="12"/>
    </row>
    <row r="769" spans="1:4" ht="12" customHeight="1" x14ac:dyDescent="0.25">
      <c r="A769" s="1"/>
      <c r="B769" s="3"/>
      <c r="C769" s="3"/>
      <c r="D769" s="12"/>
    </row>
    <row r="770" spans="1:4" ht="12" customHeight="1" x14ac:dyDescent="0.25">
      <c r="A770" s="1"/>
      <c r="B770" s="3"/>
      <c r="C770" s="3"/>
      <c r="D770" s="12"/>
    </row>
    <row r="771" spans="1:4" ht="12" customHeight="1" x14ac:dyDescent="0.25">
      <c r="A771" s="1"/>
      <c r="B771" s="3"/>
      <c r="C771" s="3"/>
      <c r="D771" s="12"/>
    </row>
    <row r="772" spans="1:4" ht="12" customHeight="1" x14ac:dyDescent="0.25">
      <c r="A772" s="1"/>
      <c r="B772" s="3"/>
      <c r="C772" s="3"/>
      <c r="D772" s="12"/>
    </row>
    <row r="773" spans="1:4" ht="12" customHeight="1" x14ac:dyDescent="0.25">
      <c r="A773" s="1"/>
      <c r="B773" s="3"/>
      <c r="C773" s="3"/>
      <c r="D773" s="12"/>
    </row>
    <row r="774" spans="1:4" ht="12" customHeight="1" x14ac:dyDescent="0.25">
      <c r="A774" s="1"/>
      <c r="B774" s="3"/>
      <c r="C774" s="3"/>
      <c r="D774" s="12"/>
    </row>
    <row r="775" spans="1:4" ht="12" customHeight="1" x14ac:dyDescent="0.25">
      <c r="A775" s="1"/>
      <c r="B775" s="3"/>
      <c r="C775" s="3"/>
      <c r="D775" s="12"/>
    </row>
    <row r="776" spans="1:4" ht="12" customHeight="1" x14ac:dyDescent="0.25">
      <c r="A776" s="1"/>
      <c r="B776" s="3"/>
      <c r="C776" s="3"/>
      <c r="D776" s="12"/>
    </row>
    <row r="777" spans="1:4" ht="12" customHeight="1" x14ac:dyDescent="0.25">
      <c r="A777" s="1"/>
      <c r="B777" s="3"/>
      <c r="C777" s="3"/>
      <c r="D777" s="12"/>
    </row>
    <row r="778" spans="1:4" ht="12" customHeight="1" x14ac:dyDescent="0.25">
      <c r="A778" s="1"/>
      <c r="B778" s="3"/>
      <c r="C778" s="3"/>
      <c r="D778" s="12"/>
    </row>
    <row r="779" spans="1:4" ht="12" customHeight="1" x14ac:dyDescent="0.25">
      <c r="A779" s="1"/>
      <c r="B779" s="3"/>
      <c r="C779" s="3"/>
      <c r="D779" s="12"/>
    </row>
    <row r="780" spans="1:4" ht="12" customHeight="1" x14ac:dyDescent="0.25">
      <c r="A780" s="1"/>
      <c r="B780" s="3"/>
      <c r="C780" s="3"/>
      <c r="D780" s="12"/>
    </row>
    <row r="781" spans="1:4" ht="12" customHeight="1" x14ac:dyDescent="0.25">
      <c r="A781" s="1"/>
      <c r="B781" s="3"/>
      <c r="C781" s="3"/>
      <c r="D781" s="12"/>
    </row>
    <row r="782" spans="1:4" ht="12" customHeight="1" x14ac:dyDescent="0.25">
      <c r="A782" s="1"/>
      <c r="B782" s="3"/>
      <c r="C782" s="3"/>
      <c r="D782" s="12"/>
    </row>
    <row r="783" spans="1:4" ht="12" customHeight="1" x14ac:dyDescent="0.25">
      <c r="A783" s="1"/>
      <c r="B783" s="3"/>
      <c r="C783" s="3"/>
      <c r="D783" s="12"/>
    </row>
    <row r="784" spans="1:4" ht="12" customHeight="1" x14ac:dyDescent="0.25">
      <c r="A784" s="1"/>
      <c r="B784" s="3"/>
      <c r="C784" s="3"/>
      <c r="D784" s="12"/>
    </row>
    <row r="785" spans="1:4" ht="12" customHeight="1" x14ac:dyDescent="0.25">
      <c r="A785" s="1"/>
      <c r="B785" s="3"/>
      <c r="C785" s="3"/>
      <c r="D785" s="12"/>
    </row>
    <row r="786" spans="1:4" ht="12" customHeight="1" x14ac:dyDescent="0.25">
      <c r="A786" s="1"/>
      <c r="B786" s="3"/>
      <c r="C786" s="3"/>
      <c r="D786" s="12"/>
    </row>
    <row r="787" spans="1:4" ht="12" customHeight="1" x14ac:dyDescent="0.25">
      <c r="A787" s="1"/>
      <c r="B787" s="3"/>
      <c r="C787" s="3"/>
      <c r="D787" s="12"/>
    </row>
    <row r="788" spans="1:4" ht="12" customHeight="1" x14ac:dyDescent="0.25">
      <c r="A788" s="1"/>
      <c r="B788" s="3"/>
      <c r="C788" s="3"/>
      <c r="D788" s="12"/>
    </row>
    <row r="789" spans="1:4" ht="12" customHeight="1" x14ac:dyDescent="0.25">
      <c r="A789" s="1"/>
      <c r="B789" s="3"/>
      <c r="C789" s="3"/>
      <c r="D789" s="12"/>
    </row>
    <row r="790" spans="1:4" ht="12" customHeight="1" x14ac:dyDescent="0.25">
      <c r="A790" s="1"/>
      <c r="B790" s="3"/>
      <c r="C790" s="3"/>
      <c r="D790" s="12"/>
    </row>
    <row r="791" spans="1:4" ht="12" customHeight="1" x14ac:dyDescent="0.25">
      <c r="A791" s="1"/>
      <c r="B791" s="3"/>
      <c r="C791" s="3"/>
      <c r="D791" s="12"/>
    </row>
    <row r="792" spans="1:4" ht="12" customHeight="1" x14ac:dyDescent="0.25">
      <c r="A792" s="1"/>
      <c r="B792" s="3"/>
      <c r="C792" s="3"/>
      <c r="D792" s="12"/>
    </row>
    <row r="793" spans="1:4" ht="12" customHeight="1" x14ac:dyDescent="0.25">
      <c r="A793" s="1"/>
      <c r="B793" s="3"/>
      <c r="C793" s="3"/>
      <c r="D793" s="12"/>
    </row>
    <row r="794" spans="1:4" ht="12" customHeight="1" x14ac:dyDescent="0.25">
      <c r="A794" s="1"/>
      <c r="B794" s="3"/>
      <c r="C794" s="3"/>
      <c r="D794" s="12"/>
    </row>
    <row r="795" spans="1:4" ht="12" customHeight="1" x14ac:dyDescent="0.25">
      <c r="A795" s="1"/>
      <c r="B795" s="3"/>
      <c r="C795" s="3"/>
      <c r="D795" s="12"/>
    </row>
    <row r="796" spans="1:4" ht="12" customHeight="1" x14ac:dyDescent="0.25">
      <c r="A796" s="1"/>
      <c r="B796" s="3"/>
      <c r="C796" s="3"/>
      <c r="D796" s="12"/>
    </row>
    <row r="797" spans="1:4" ht="12" customHeight="1" x14ac:dyDescent="0.25">
      <c r="A797" s="1"/>
      <c r="B797" s="3"/>
      <c r="C797" s="3"/>
      <c r="D797" s="12"/>
    </row>
    <row r="798" spans="1:4" ht="12" customHeight="1" x14ac:dyDescent="0.25">
      <c r="A798" s="1"/>
      <c r="B798" s="3"/>
      <c r="C798" s="3"/>
      <c r="D798" s="12"/>
    </row>
    <row r="799" spans="1:4" ht="12" customHeight="1" x14ac:dyDescent="0.25">
      <c r="A799" s="1"/>
      <c r="B799" s="3"/>
      <c r="C799" s="3"/>
      <c r="D799" s="12"/>
    </row>
    <row r="800" spans="1:4" ht="12" customHeight="1" x14ac:dyDescent="0.25">
      <c r="A800" s="1"/>
      <c r="B800" s="3"/>
      <c r="C800" s="3"/>
      <c r="D800" s="12"/>
    </row>
    <row r="801" spans="1:4" ht="12" customHeight="1" x14ac:dyDescent="0.25">
      <c r="A801" s="1"/>
      <c r="B801" s="3"/>
      <c r="C801" s="3"/>
      <c r="D801" s="12"/>
    </row>
    <row r="802" spans="1:4" ht="12" customHeight="1" x14ac:dyDescent="0.25">
      <c r="A802" s="1"/>
      <c r="B802" s="3"/>
      <c r="C802" s="3"/>
      <c r="D802" s="12"/>
    </row>
    <row r="803" spans="1:4" ht="12" customHeight="1" x14ac:dyDescent="0.25">
      <c r="A803" s="1"/>
      <c r="B803" s="3"/>
      <c r="C803" s="3"/>
      <c r="D803" s="12"/>
    </row>
    <row r="804" spans="1:4" ht="12" customHeight="1" x14ac:dyDescent="0.25">
      <c r="A804" s="1"/>
      <c r="B804" s="3"/>
      <c r="C804" s="3"/>
      <c r="D804" s="12"/>
    </row>
    <row r="805" spans="1:4" ht="12" customHeight="1" x14ac:dyDescent="0.25">
      <c r="A805" s="1"/>
      <c r="B805" s="3"/>
      <c r="C805" s="3"/>
      <c r="D805" s="12"/>
    </row>
    <row r="806" spans="1:4" ht="12" customHeight="1" x14ac:dyDescent="0.25">
      <c r="A806" s="1"/>
      <c r="B806" s="3"/>
      <c r="C806" s="3"/>
      <c r="D806" s="12"/>
    </row>
    <row r="807" spans="1:4" ht="12" customHeight="1" x14ac:dyDescent="0.25">
      <c r="A807" s="1"/>
      <c r="B807" s="3"/>
      <c r="C807" s="3"/>
      <c r="D807" s="12"/>
    </row>
    <row r="808" spans="1:4" ht="12" customHeight="1" x14ac:dyDescent="0.25">
      <c r="A808" s="1"/>
      <c r="B808" s="3"/>
      <c r="C808" s="3"/>
      <c r="D808" s="12"/>
    </row>
    <row r="809" spans="1:4" ht="12" customHeight="1" x14ac:dyDescent="0.25">
      <c r="A809" s="1"/>
      <c r="B809" s="3"/>
      <c r="C809" s="3"/>
      <c r="D809" s="12"/>
    </row>
    <row r="810" spans="1:4" ht="12" customHeight="1" x14ac:dyDescent="0.25">
      <c r="A810" s="1"/>
      <c r="B810" s="3"/>
      <c r="C810" s="3"/>
      <c r="D810" s="12"/>
    </row>
    <row r="811" spans="1:4" ht="12" customHeight="1" x14ac:dyDescent="0.25">
      <c r="A811" s="1"/>
      <c r="B811" s="3"/>
      <c r="C811" s="3"/>
      <c r="D811" s="12"/>
    </row>
    <row r="812" spans="1:4" ht="12" customHeight="1" x14ac:dyDescent="0.25">
      <c r="A812" s="1"/>
      <c r="B812" s="3"/>
      <c r="C812" s="3"/>
      <c r="D812" s="12"/>
    </row>
    <row r="813" spans="1:4" ht="12" customHeight="1" x14ac:dyDescent="0.25">
      <c r="A813" s="1"/>
      <c r="B813" s="3"/>
      <c r="C813" s="3"/>
      <c r="D813" s="12"/>
    </row>
    <row r="814" spans="1:4" ht="12" customHeight="1" x14ac:dyDescent="0.25">
      <c r="A814" s="1"/>
      <c r="B814" s="3"/>
      <c r="C814" s="3"/>
      <c r="D814" s="12"/>
    </row>
    <row r="815" spans="1:4" ht="12" customHeight="1" x14ac:dyDescent="0.25">
      <c r="A815" s="1"/>
      <c r="B815" s="3"/>
      <c r="C815" s="3"/>
      <c r="D815" s="12"/>
    </row>
    <row r="816" spans="1:4" ht="12" customHeight="1" x14ac:dyDescent="0.25">
      <c r="A816" s="1"/>
      <c r="B816" s="3"/>
      <c r="C816" s="3"/>
      <c r="D816" s="12"/>
    </row>
    <row r="817" spans="1:4" ht="12" customHeight="1" x14ac:dyDescent="0.25">
      <c r="A817" s="1"/>
      <c r="B817" s="3"/>
      <c r="C817" s="3"/>
      <c r="D817" s="12"/>
    </row>
    <row r="818" spans="1:4" ht="12" customHeight="1" x14ac:dyDescent="0.25">
      <c r="A818" s="1"/>
      <c r="B818" s="3"/>
      <c r="C818" s="3"/>
      <c r="D818" s="12"/>
    </row>
    <row r="819" spans="1:4" ht="12" customHeight="1" x14ac:dyDescent="0.25">
      <c r="A819" s="1"/>
      <c r="B819" s="3"/>
      <c r="C819" s="3"/>
      <c r="D819" s="12"/>
    </row>
    <row r="820" spans="1:4" ht="12" customHeight="1" x14ac:dyDescent="0.25">
      <c r="A820" s="1"/>
      <c r="B820" s="3"/>
      <c r="C820" s="3"/>
      <c r="D820" s="12"/>
    </row>
    <row r="821" spans="1:4" ht="12" customHeight="1" x14ac:dyDescent="0.25">
      <c r="A821" s="1"/>
      <c r="B821" s="3"/>
      <c r="C821" s="3"/>
      <c r="D821" s="12"/>
    </row>
    <row r="822" spans="1:4" ht="12" customHeight="1" x14ac:dyDescent="0.25">
      <c r="A822" s="1"/>
      <c r="B822" s="3"/>
      <c r="C822" s="3"/>
      <c r="D822" s="12"/>
    </row>
    <row r="823" spans="1:4" ht="12" customHeight="1" x14ac:dyDescent="0.25">
      <c r="A823" s="1"/>
      <c r="B823" s="3"/>
      <c r="C823" s="3"/>
      <c r="D823" s="12"/>
    </row>
    <row r="824" spans="1:4" ht="12" customHeight="1" x14ac:dyDescent="0.25">
      <c r="A824" s="1"/>
      <c r="B824" s="3"/>
      <c r="C824" s="3"/>
      <c r="D824" s="12"/>
    </row>
    <row r="825" spans="1:4" ht="12" customHeight="1" x14ac:dyDescent="0.25">
      <c r="A825" s="1"/>
      <c r="B825" s="3"/>
      <c r="C825" s="3"/>
      <c r="D825" s="12"/>
    </row>
    <row r="826" spans="1:4" ht="12" customHeight="1" x14ac:dyDescent="0.25">
      <c r="A826" s="1"/>
      <c r="B826" s="3"/>
      <c r="C826" s="3"/>
      <c r="D826" s="12"/>
    </row>
    <row r="827" spans="1:4" ht="12" customHeight="1" x14ac:dyDescent="0.25">
      <c r="A827" s="1"/>
      <c r="B827" s="3"/>
      <c r="C827" s="3"/>
      <c r="D827" s="12"/>
    </row>
    <row r="828" spans="1:4" ht="12" customHeight="1" x14ac:dyDescent="0.25">
      <c r="A828" s="1"/>
      <c r="B828" s="3"/>
      <c r="C828" s="3"/>
      <c r="D828" s="12"/>
    </row>
    <row r="829" spans="1:4" ht="12" customHeight="1" x14ac:dyDescent="0.25">
      <c r="A829" s="1"/>
      <c r="B829" s="3"/>
      <c r="C829" s="3"/>
      <c r="D829" s="12"/>
    </row>
    <row r="830" spans="1:4" ht="12" customHeight="1" x14ac:dyDescent="0.25">
      <c r="A830" s="1"/>
      <c r="B830" s="3"/>
      <c r="C830" s="3"/>
      <c r="D830" s="12"/>
    </row>
    <row r="831" spans="1:4" ht="12" customHeight="1" x14ac:dyDescent="0.25">
      <c r="A831" s="1"/>
      <c r="B831" s="3"/>
      <c r="C831" s="3"/>
      <c r="D831" s="12"/>
    </row>
    <row r="832" spans="1:4" ht="12" customHeight="1" x14ac:dyDescent="0.25">
      <c r="A832" s="1"/>
      <c r="B832" s="3"/>
      <c r="C832" s="3"/>
      <c r="D832" s="12"/>
    </row>
    <row r="833" spans="1:4" ht="12" customHeight="1" x14ac:dyDescent="0.25">
      <c r="A833" s="1"/>
      <c r="B833" s="3"/>
      <c r="C833" s="3"/>
      <c r="D833" s="12"/>
    </row>
    <row r="834" spans="1:4" ht="12" customHeight="1" x14ac:dyDescent="0.25">
      <c r="A834" s="1"/>
      <c r="B834" s="3"/>
      <c r="C834" s="3"/>
      <c r="D834" s="12"/>
    </row>
    <row r="835" spans="1:4" ht="12" customHeight="1" x14ac:dyDescent="0.25">
      <c r="A835" s="1"/>
      <c r="B835" s="3"/>
      <c r="C835" s="3"/>
      <c r="D835" s="12"/>
    </row>
    <row r="836" spans="1:4" ht="12" customHeight="1" x14ac:dyDescent="0.25">
      <c r="A836" s="1"/>
      <c r="B836" s="3"/>
      <c r="C836" s="3"/>
      <c r="D836" s="12"/>
    </row>
    <row r="837" spans="1:4" ht="12" customHeight="1" x14ac:dyDescent="0.25">
      <c r="A837" s="1"/>
      <c r="B837" s="3"/>
      <c r="C837" s="3"/>
      <c r="D837" s="12"/>
    </row>
    <row r="838" spans="1:4" ht="12" customHeight="1" x14ac:dyDescent="0.25">
      <c r="A838" s="1"/>
      <c r="B838" s="3"/>
      <c r="C838" s="3"/>
      <c r="D838" s="12"/>
    </row>
    <row r="839" spans="1:4" ht="12" customHeight="1" x14ac:dyDescent="0.25">
      <c r="A839" s="1"/>
      <c r="B839" s="3"/>
      <c r="C839" s="3"/>
      <c r="D839" s="12"/>
    </row>
    <row r="840" spans="1:4" ht="12" customHeight="1" x14ac:dyDescent="0.25">
      <c r="A840" s="1"/>
      <c r="B840" s="3"/>
      <c r="C840" s="3"/>
      <c r="D840" s="12"/>
    </row>
    <row r="841" spans="1:4" ht="12" customHeight="1" x14ac:dyDescent="0.25">
      <c r="A841" s="1"/>
      <c r="B841" s="3"/>
      <c r="C841" s="3"/>
      <c r="D841" s="12"/>
    </row>
    <row r="842" spans="1:4" ht="12" customHeight="1" x14ac:dyDescent="0.25">
      <c r="A842" s="1"/>
      <c r="B842" s="3"/>
      <c r="C842" s="3"/>
      <c r="D842" s="12"/>
    </row>
    <row r="843" spans="1:4" ht="12" customHeight="1" x14ac:dyDescent="0.25">
      <c r="A843" s="1"/>
      <c r="B843" s="3"/>
      <c r="C843" s="3"/>
      <c r="D843" s="12"/>
    </row>
    <row r="844" spans="1:4" ht="12" customHeight="1" x14ac:dyDescent="0.25">
      <c r="A844" s="1"/>
      <c r="B844" s="3"/>
      <c r="C844" s="3"/>
      <c r="D844" s="12"/>
    </row>
    <row r="845" spans="1:4" ht="12" customHeight="1" x14ac:dyDescent="0.25">
      <c r="A845" s="1"/>
      <c r="B845" s="3"/>
      <c r="C845" s="3"/>
      <c r="D845" s="12"/>
    </row>
    <row r="846" spans="1:4" ht="12" customHeight="1" x14ac:dyDescent="0.25">
      <c r="A846" s="1"/>
      <c r="B846" s="3"/>
      <c r="C846" s="3"/>
      <c r="D846" s="12"/>
    </row>
    <row r="847" spans="1:4" ht="12" customHeight="1" x14ac:dyDescent="0.25">
      <c r="A847" s="1"/>
      <c r="B847" s="3"/>
      <c r="C847" s="3"/>
      <c r="D847" s="12"/>
    </row>
    <row r="848" spans="1:4" ht="12" customHeight="1" x14ac:dyDescent="0.25">
      <c r="A848" s="1"/>
      <c r="B848" s="3"/>
      <c r="C848" s="3"/>
      <c r="D848" s="12"/>
    </row>
    <row r="849" spans="1:4" ht="12" customHeight="1" x14ac:dyDescent="0.25">
      <c r="A849" s="1"/>
      <c r="B849" s="3"/>
      <c r="C849" s="3"/>
      <c r="D849" s="12"/>
    </row>
    <row r="850" spans="1:4" ht="12" customHeight="1" x14ac:dyDescent="0.25">
      <c r="A850" s="1"/>
      <c r="B850" s="3"/>
      <c r="C850" s="3"/>
      <c r="D850" s="12"/>
    </row>
    <row r="851" spans="1:4" ht="12" customHeight="1" x14ac:dyDescent="0.25">
      <c r="A851" s="1"/>
      <c r="B851" s="3"/>
      <c r="C851" s="3"/>
      <c r="D851" s="12"/>
    </row>
    <row r="852" spans="1:4" ht="12" customHeight="1" x14ac:dyDescent="0.25">
      <c r="A852" s="1"/>
      <c r="B852" s="3"/>
      <c r="C852" s="3"/>
      <c r="D852" s="12"/>
    </row>
    <row r="853" spans="1:4" ht="12" customHeight="1" x14ac:dyDescent="0.25">
      <c r="A853" s="1"/>
      <c r="B853" s="3"/>
      <c r="C853" s="3"/>
      <c r="D853" s="12"/>
    </row>
    <row r="854" spans="1:4" ht="12" customHeight="1" x14ac:dyDescent="0.25">
      <c r="A854" s="1"/>
      <c r="B854" s="3"/>
      <c r="C854" s="3"/>
      <c r="D854" s="12"/>
    </row>
    <row r="855" spans="1:4" ht="12" customHeight="1" x14ac:dyDescent="0.25">
      <c r="A855" s="1"/>
      <c r="B855" s="3"/>
      <c r="C855" s="3"/>
      <c r="D855" s="12"/>
    </row>
    <row r="856" spans="1:4" ht="12" customHeight="1" x14ac:dyDescent="0.25">
      <c r="A856" s="1"/>
      <c r="B856" s="3"/>
      <c r="C856" s="3"/>
      <c r="D856" s="12"/>
    </row>
    <row r="857" spans="1:4" ht="12" customHeight="1" x14ac:dyDescent="0.25">
      <c r="A857" s="1"/>
      <c r="B857" s="3"/>
      <c r="C857" s="3"/>
      <c r="D857" s="12"/>
    </row>
    <row r="858" spans="1:4" ht="12" customHeight="1" x14ac:dyDescent="0.25">
      <c r="A858" s="1"/>
      <c r="B858" s="3"/>
      <c r="C858" s="3"/>
      <c r="D858" s="12"/>
    </row>
    <row r="859" spans="1:4" ht="12" customHeight="1" x14ac:dyDescent="0.25">
      <c r="A859" s="1"/>
      <c r="B859" s="3"/>
      <c r="C859" s="3"/>
      <c r="D859" s="12"/>
    </row>
    <row r="860" spans="1:4" ht="12" customHeight="1" x14ac:dyDescent="0.25">
      <c r="A860" s="1"/>
      <c r="B860" s="3"/>
      <c r="C860" s="3"/>
      <c r="D860" s="12"/>
    </row>
    <row r="861" spans="1:4" ht="12" customHeight="1" x14ac:dyDescent="0.25">
      <c r="A861" s="1"/>
      <c r="B861" s="3"/>
      <c r="C861" s="3"/>
      <c r="D861" s="12"/>
    </row>
    <row r="862" spans="1:4" ht="12" customHeight="1" x14ac:dyDescent="0.25">
      <c r="A862" s="1"/>
      <c r="B862" s="3"/>
      <c r="C862" s="3"/>
      <c r="D862" s="12"/>
    </row>
    <row r="863" spans="1:4" ht="12" customHeight="1" x14ac:dyDescent="0.25">
      <c r="A863" s="1"/>
      <c r="B863" s="3"/>
      <c r="C863" s="3"/>
      <c r="D863" s="12"/>
    </row>
    <row r="864" spans="1:4" ht="12" customHeight="1" x14ac:dyDescent="0.25">
      <c r="A864" s="1"/>
      <c r="B864" s="3"/>
      <c r="C864" s="3"/>
      <c r="D864" s="12"/>
    </row>
    <row r="865" spans="1:4" ht="12" customHeight="1" x14ac:dyDescent="0.25">
      <c r="A865" s="1"/>
      <c r="B865" s="3"/>
      <c r="C865" s="3"/>
      <c r="D865" s="12"/>
    </row>
    <row r="866" spans="1:4" ht="12" customHeight="1" x14ac:dyDescent="0.25">
      <c r="A866" s="1"/>
      <c r="B866" s="3"/>
      <c r="C866" s="3"/>
      <c r="D866" s="12"/>
    </row>
    <row r="867" spans="1:4" ht="12" customHeight="1" x14ac:dyDescent="0.25">
      <c r="A867" s="1"/>
      <c r="B867" s="3"/>
      <c r="C867" s="3"/>
      <c r="D867" s="12"/>
    </row>
    <row r="868" spans="1:4" ht="12" customHeight="1" x14ac:dyDescent="0.25">
      <c r="A868" s="1"/>
      <c r="B868" s="3"/>
      <c r="C868" s="3"/>
      <c r="D868" s="12"/>
    </row>
    <row r="869" spans="1:4" ht="12" customHeight="1" x14ac:dyDescent="0.25">
      <c r="A869" s="1"/>
      <c r="B869" s="3"/>
      <c r="C869" s="3"/>
      <c r="D869" s="12"/>
    </row>
    <row r="870" spans="1:4" ht="12" customHeight="1" x14ac:dyDescent="0.25">
      <c r="A870" s="1"/>
      <c r="B870" s="3"/>
      <c r="C870" s="3"/>
      <c r="D870" s="12"/>
    </row>
    <row r="871" spans="1:4" ht="12" customHeight="1" x14ac:dyDescent="0.25">
      <c r="A871" s="1"/>
      <c r="B871" s="3"/>
      <c r="C871" s="3"/>
      <c r="D871" s="12"/>
    </row>
    <row r="872" spans="1:4" ht="12" customHeight="1" x14ac:dyDescent="0.25">
      <c r="A872" s="1"/>
      <c r="B872" s="3"/>
      <c r="C872" s="3"/>
      <c r="D872" s="12"/>
    </row>
    <row r="873" spans="1:4" ht="12" customHeight="1" x14ac:dyDescent="0.25">
      <c r="A873" s="1"/>
      <c r="B873" s="3"/>
      <c r="C873" s="3"/>
      <c r="D873" s="12"/>
    </row>
    <row r="874" spans="1:4" ht="12" customHeight="1" x14ac:dyDescent="0.25">
      <c r="A874" s="1"/>
      <c r="B874" s="3"/>
      <c r="C874" s="3"/>
      <c r="D874" s="12"/>
    </row>
    <row r="875" spans="1:4" ht="12" customHeight="1" x14ac:dyDescent="0.25">
      <c r="A875" s="1"/>
      <c r="B875" s="3"/>
      <c r="C875" s="3"/>
      <c r="D875" s="12"/>
    </row>
    <row r="876" spans="1:4" ht="12" customHeight="1" x14ac:dyDescent="0.25">
      <c r="A876" s="1"/>
      <c r="B876" s="3"/>
      <c r="C876" s="3"/>
      <c r="D876" s="12"/>
    </row>
    <row r="877" spans="1:4" ht="12" customHeight="1" x14ac:dyDescent="0.25">
      <c r="A877" s="1"/>
      <c r="B877" s="3"/>
      <c r="C877" s="3"/>
      <c r="D877" s="12"/>
    </row>
    <row r="878" spans="1:4" ht="12" customHeight="1" x14ac:dyDescent="0.25">
      <c r="A878" s="1"/>
      <c r="B878" s="3"/>
      <c r="C878" s="3"/>
      <c r="D878" s="12"/>
    </row>
    <row r="879" spans="1:4" ht="12" customHeight="1" x14ac:dyDescent="0.25">
      <c r="A879" s="1"/>
      <c r="B879" s="3"/>
      <c r="C879" s="3"/>
      <c r="D879" s="12"/>
    </row>
    <row r="880" spans="1:4" ht="12" customHeight="1" x14ac:dyDescent="0.25">
      <c r="A880" s="1"/>
      <c r="B880" s="3"/>
      <c r="C880" s="3"/>
      <c r="D880" s="12"/>
    </row>
    <row r="881" spans="1:4" ht="12" customHeight="1" x14ac:dyDescent="0.25">
      <c r="A881" s="1"/>
      <c r="B881" s="3"/>
      <c r="C881" s="3"/>
      <c r="D881" s="12"/>
    </row>
    <row r="882" spans="1:4" ht="12" customHeight="1" x14ac:dyDescent="0.25">
      <c r="A882" s="1"/>
      <c r="B882" s="3"/>
      <c r="C882" s="3"/>
      <c r="D882" s="12"/>
    </row>
    <row r="883" spans="1:4" ht="12" customHeight="1" x14ac:dyDescent="0.25">
      <c r="A883" s="1"/>
      <c r="B883" s="3"/>
      <c r="C883" s="3"/>
      <c r="D883" s="12"/>
    </row>
    <row r="884" spans="1:4" ht="12" customHeight="1" x14ac:dyDescent="0.25">
      <c r="A884" s="1"/>
      <c r="B884" s="3"/>
      <c r="C884" s="3"/>
      <c r="D884" s="12"/>
    </row>
    <row r="885" spans="1:4" ht="12" customHeight="1" x14ac:dyDescent="0.25">
      <c r="A885" s="1"/>
      <c r="B885" s="3"/>
      <c r="C885" s="3"/>
      <c r="D885" s="12"/>
    </row>
    <row r="886" spans="1:4" ht="12" customHeight="1" x14ac:dyDescent="0.25">
      <c r="A886" s="1"/>
      <c r="B886" s="3"/>
      <c r="C886" s="3"/>
      <c r="D886" s="12"/>
    </row>
    <row r="887" spans="1:4" ht="12" customHeight="1" x14ac:dyDescent="0.25">
      <c r="A887" s="1"/>
      <c r="B887" s="3"/>
      <c r="C887" s="3"/>
      <c r="D887" s="12"/>
    </row>
    <row r="888" spans="1:4" ht="12" customHeight="1" x14ac:dyDescent="0.25">
      <c r="A888" s="1"/>
      <c r="B888" s="3"/>
      <c r="C888" s="3"/>
      <c r="D888" s="12"/>
    </row>
    <row r="889" spans="1:4" ht="12" customHeight="1" x14ac:dyDescent="0.25">
      <c r="A889" s="1"/>
      <c r="B889" s="3"/>
      <c r="C889" s="3"/>
      <c r="D889" s="12"/>
    </row>
    <row r="890" spans="1:4" ht="12" customHeight="1" x14ac:dyDescent="0.25">
      <c r="A890" s="1"/>
      <c r="B890" s="3"/>
      <c r="C890" s="3"/>
      <c r="D890" s="12"/>
    </row>
    <row r="891" spans="1:4" ht="12" customHeight="1" x14ac:dyDescent="0.25">
      <c r="A891" s="1"/>
      <c r="B891" s="3"/>
      <c r="C891" s="3"/>
      <c r="D891" s="12"/>
    </row>
    <row r="892" spans="1:4" ht="12" customHeight="1" x14ac:dyDescent="0.25">
      <c r="A892" s="1"/>
      <c r="B892" s="3"/>
      <c r="C892" s="3"/>
      <c r="D892" s="12"/>
    </row>
    <row r="893" spans="1:4" ht="12" customHeight="1" x14ac:dyDescent="0.25">
      <c r="A893" s="1"/>
      <c r="B893" s="3"/>
      <c r="C893" s="3"/>
      <c r="D893" s="12"/>
    </row>
    <row r="894" spans="1:4" ht="12" customHeight="1" x14ac:dyDescent="0.25">
      <c r="A894" s="1"/>
      <c r="B894" s="3"/>
      <c r="C894" s="3"/>
      <c r="D894" s="12"/>
    </row>
    <row r="895" spans="1:4" ht="12" customHeight="1" x14ac:dyDescent="0.25">
      <c r="A895" s="1"/>
      <c r="B895" s="3"/>
      <c r="C895" s="3"/>
      <c r="D895" s="12"/>
    </row>
    <row r="896" spans="1:4" ht="12" customHeight="1" x14ac:dyDescent="0.25">
      <c r="A896" s="1"/>
      <c r="B896" s="3"/>
      <c r="C896" s="3"/>
      <c r="D896" s="12"/>
    </row>
    <row r="897" spans="1:4" ht="12" customHeight="1" x14ac:dyDescent="0.25">
      <c r="A897" s="1"/>
      <c r="B897" s="3"/>
      <c r="C897" s="3"/>
      <c r="D897" s="12"/>
    </row>
    <row r="898" spans="1:4" ht="12" customHeight="1" x14ac:dyDescent="0.25">
      <c r="A898" s="1"/>
      <c r="B898" s="3"/>
      <c r="C898" s="3"/>
      <c r="D898" s="12"/>
    </row>
    <row r="899" spans="1:4" ht="12" customHeight="1" x14ac:dyDescent="0.25">
      <c r="A899" s="1"/>
      <c r="B899" s="3"/>
      <c r="C899" s="3"/>
      <c r="D899" s="12"/>
    </row>
    <row r="900" spans="1:4" ht="12" customHeight="1" x14ac:dyDescent="0.25">
      <c r="A900" s="1"/>
      <c r="B900" s="3"/>
      <c r="C900" s="3"/>
      <c r="D900" s="12"/>
    </row>
    <row r="901" spans="1:4" ht="12" customHeight="1" x14ac:dyDescent="0.25">
      <c r="A901" s="1"/>
      <c r="B901" s="3"/>
      <c r="C901" s="3"/>
      <c r="D901" s="12"/>
    </row>
    <row r="902" spans="1:4" ht="12" customHeight="1" x14ac:dyDescent="0.25">
      <c r="A902" s="1"/>
      <c r="B902" s="3"/>
      <c r="C902" s="3"/>
      <c r="D902" s="12"/>
    </row>
    <row r="903" spans="1:4" ht="12" customHeight="1" x14ac:dyDescent="0.25">
      <c r="A903" s="1"/>
      <c r="B903" s="3"/>
      <c r="C903" s="3"/>
      <c r="D903" s="12"/>
    </row>
    <row r="904" spans="1:4" ht="12" customHeight="1" x14ac:dyDescent="0.25">
      <c r="A904" s="1"/>
      <c r="B904" s="3"/>
      <c r="C904" s="3"/>
      <c r="D904" s="12"/>
    </row>
    <row r="905" spans="1:4" ht="12" customHeight="1" x14ac:dyDescent="0.25">
      <c r="A905" s="1"/>
      <c r="B905" s="3"/>
      <c r="C905" s="3"/>
      <c r="D905" s="12"/>
    </row>
    <row r="906" spans="1:4" ht="12" customHeight="1" x14ac:dyDescent="0.25">
      <c r="A906" s="1"/>
      <c r="B906" s="3"/>
      <c r="C906" s="3"/>
      <c r="D906" s="12"/>
    </row>
    <row r="907" spans="1:4" ht="12" customHeight="1" x14ac:dyDescent="0.25">
      <c r="A907" s="1"/>
      <c r="B907" s="3"/>
      <c r="C907" s="3"/>
      <c r="D907" s="12"/>
    </row>
    <row r="908" spans="1:4" ht="12" customHeight="1" x14ac:dyDescent="0.25">
      <c r="A908" s="1"/>
      <c r="B908" s="3"/>
      <c r="C908" s="3"/>
      <c r="D908" s="12"/>
    </row>
    <row r="909" spans="1:4" ht="12" customHeight="1" x14ac:dyDescent="0.25">
      <c r="A909" s="1"/>
      <c r="B909" s="3"/>
      <c r="C909" s="3"/>
      <c r="D909" s="12"/>
    </row>
    <row r="910" spans="1:4" ht="12" customHeight="1" x14ac:dyDescent="0.25">
      <c r="A910" s="1"/>
      <c r="B910" s="3"/>
      <c r="C910" s="3"/>
      <c r="D910" s="12"/>
    </row>
    <row r="911" spans="1:4" ht="12" customHeight="1" x14ac:dyDescent="0.25">
      <c r="A911" s="1"/>
      <c r="B911" s="3"/>
      <c r="C911" s="3"/>
      <c r="D911" s="12"/>
    </row>
    <row r="912" spans="1:4" ht="12" customHeight="1" x14ac:dyDescent="0.25">
      <c r="A912" s="1"/>
      <c r="B912" s="3"/>
      <c r="C912" s="3"/>
      <c r="D912" s="12"/>
    </row>
    <row r="913" spans="1:4" ht="12" customHeight="1" x14ac:dyDescent="0.25">
      <c r="A913" s="1"/>
      <c r="B913" s="3"/>
      <c r="C913" s="3"/>
      <c r="D913" s="12"/>
    </row>
    <row r="914" spans="1:4" ht="12" customHeight="1" x14ac:dyDescent="0.25">
      <c r="A914" s="1"/>
      <c r="B914" s="3"/>
      <c r="C914" s="3"/>
      <c r="D914" s="12"/>
    </row>
    <row r="915" spans="1:4" ht="12" customHeight="1" x14ac:dyDescent="0.25">
      <c r="A915" s="1"/>
      <c r="B915" s="3"/>
      <c r="C915" s="3"/>
      <c r="D915" s="12"/>
    </row>
    <row r="916" spans="1:4" ht="12" customHeight="1" x14ac:dyDescent="0.25">
      <c r="A916" s="1"/>
      <c r="B916" s="3"/>
      <c r="C916" s="3"/>
      <c r="D916" s="12"/>
    </row>
    <row r="917" spans="1:4" ht="12" customHeight="1" x14ac:dyDescent="0.25">
      <c r="A917" s="1"/>
      <c r="B917" s="3"/>
      <c r="C917" s="3"/>
      <c r="D917" s="12"/>
    </row>
    <row r="918" spans="1:4" ht="12" customHeight="1" x14ac:dyDescent="0.25">
      <c r="A918" s="1"/>
      <c r="B918" s="3"/>
      <c r="C918" s="3"/>
      <c r="D918" s="12"/>
    </row>
    <row r="919" spans="1:4" ht="12" customHeight="1" x14ac:dyDescent="0.25">
      <c r="A919" s="1"/>
      <c r="B919" s="3"/>
      <c r="C919" s="3"/>
      <c r="D919" s="12"/>
    </row>
    <row r="920" spans="1:4" ht="12" customHeight="1" x14ac:dyDescent="0.25">
      <c r="A920" s="1"/>
      <c r="B920" s="3"/>
      <c r="C920" s="3"/>
      <c r="D920" s="12"/>
    </row>
    <row r="921" spans="1:4" ht="12" customHeight="1" x14ac:dyDescent="0.25">
      <c r="A921" s="1"/>
      <c r="B921" s="3"/>
      <c r="C921" s="3"/>
      <c r="D921" s="12"/>
    </row>
    <row r="922" spans="1:4" ht="12" customHeight="1" x14ac:dyDescent="0.25">
      <c r="A922" s="1"/>
      <c r="B922" s="3"/>
      <c r="C922" s="3"/>
      <c r="D922" s="12"/>
    </row>
    <row r="923" spans="1:4" ht="12" customHeight="1" x14ac:dyDescent="0.25">
      <c r="A923" s="1"/>
      <c r="B923" s="3"/>
      <c r="C923" s="3"/>
      <c r="D923" s="12"/>
    </row>
    <row r="924" spans="1:4" ht="12" customHeight="1" x14ac:dyDescent="0.25">
      <c r="A924" s="1"/>
      <c r="B924" s="3"/>
      <c r="C924" s="3"/>
      <c r="D924" s="12"/>
    </row>
    <row r="925" spans="1:4" ht="12" customHeight="1" x14ac:dyDescent="0.25">
      <c r="A925" s="1"/>
      <c r="B925" s="3"/>
      <c r="C925" s="3"/>
      <c r="D925" s="12"/>
    </row>
    <row r="926" spans="1:4" ht="12" customHeight="1" x14ac:dyDescent="0.25">
      <c r="A926" s="1"/>
      <c r="B926" s="3"/>
      <c r="C926" s="3"/>
      <c r="D926" s="12"/>
    </row>
    <row r="927" spans="1:4" ht="12" customHeight="1" x14ac:dyDescent="0.25">
      <c r="A927" s="1"/>
      <c r="B927" s="3"/>
      <c r="C927" s="3"/>
      <c r="D927" s="12"/>
    </row>
    <row r="928" spans="1:4" ht="12" customHeight="1" x14ac:dyDescent="0.25">
      <c r="A928" s="1"/>
      <c r="B928" s="3"/>
      <c r="C928" s="3"/>
      <c r="D928" s="12"/>
    </row>
    <row r="929" spans="1:4" ht="12" customHeight="1" x14ac:dyDescent="0.25">
      <c r="A929" s="1"/>
      <c r="B929" s="3"/>
      <c r="C929" s="3"/>
      <c r="D929" s="12"/>
    </row>
    <row r="930" spans="1:4" ht="12" customHeight="1" x14ac:dyDescent="0.25">
      <c r="A930" s="1"/>
      <c r="B930" s="3"/>
      <c r="C930" s="3"/>
      <c r="D930" s="12"/>
    </row>
    <row r="931" spans="1:4" ht="12" customHeight="1" x14ac:dyDescent="0.25">
      <c r="A931" s="1"/>
      <c r="B931" s="3"/>
      <c r="C931" s="3"/>
      <c r="D931" s="12"/>
    </row>
    <row r="932" spans="1:4" ht="12" customHeight="1" x14ac:dyDescent="0.25">
      <c r="A932" s="1"/>
      <c r="B932" s="3"/>
      <c r="C932" s="3"/>
      <c r="D932" s="12"/>
    </row>
    <row r="933" spans="1:4" ht="12" customHeight="1" x14ac:dyDescent="0.25">
      <c r="A933" s="1"/>
      <c r="B933" s="3"/>
      <c r="C933" s="3"/>
      <c r="D933" s="12"/>
    </row>
    <row r="934" spans="1:4" ht="12" customHeight="1" x14ac:dyDescent="0.25">
      <c r="A934" s="1"/>
      <c r="B934" s="3"/>
      <c r="C934" s="3"/>
      <c r="D934" s="12"/>
    </row>
    <row r="935" spans="1:4" ht="12" customHeight="1" x14ac:dyDescent="0.25">
      <c r="A935" s="1"/>
      <c r="B935" s="3"/>
      <c r="C935" s="3"/>
      <c r="D935" s="12"/>
    </row>
    <row r="936" spans="1:4" ht="12" customHeight="1" x14ac:dyDescent="0.25">
      <c r="A936" s="1"/>
      <c r="B936" s="3"/>
      <c r="C936" s="3"/>
      <c r="D936" s="12"/>
    </row>
    <row r="937" spans="1:4" ht="12" customHeight="1" x14ac:dyDescent="0.25">
      <c r="A937" s="1"/>
      <c r="B937" s="3"/>
      <c r="C937" s="3"/>
      <c r="D937" s="12"/>
    </row>
    <row r="938" spans="1:4" ht="12" customHeight="1" x14ac:dyDescent="0.25">
      <c r="A938" s="1"/>
      <c r="B938" s="3"/>
      <c r="C938" s="3"/>
      <c r="D938" s="12"/>
    </row>
    <row r="939" spans="1:4" ht="12" customHeight="1" x14ac:dyDescent="0.25">
      <c r="A939" s="1"/>
      <c r="B939" s="3"/>
      <c r="C939" s="3"/>
      <c r="D939" s="12"/>
    </row>
    <row r="940" spans="1:4" ht="12" customHeight="1" x14ac:dyDescent="0.25">
      <c r="A940" s="1"/>
      <c r="B940" s="3"/>
      <c r="C940" s="3"/>
      <c r="D940" s="12"/>
    </row>
    <row r="941" spans="1:4" ht="12" customHeight="1" x14ac:dyDescent="0.25">
      <c r="A941" s="1"/>
      <c r="B941" s="3"/>
      <c r="C941" s="3"/>
      <c r="D941" s="12"/>
    </row>
    <row r="942" spans="1:4" ht="12" customHeight="1" x14ac:dyDescent="0.25">
      <c r="A942" s="1"/>
      <c r="B942" s="3"/>
      <c r="C942" s="3"/>
      <c r="D942" s="12"/>
    </row>
    <row r="943" spans="1:4" ht="12" customHeight="1" x14ac:dyDescent="0.25">
      <c r="A943" s="1"/>
      <c r="B943" s="3"/>
      <c r="C943" s="3"/>
      <c r="D943" s="12"/>
    </row>
    <row r="944" spans="1:4" ht="12" customHeight="1" x14ac:dyDescent="0.25">
      <c r="A944" s="1"/>
      <c r="B944" s="3"/>
      <c r="C944" s="3"/>
      <c r="D944" s="12"/>
    </row>
    <row r="945" spans="1:4" ht="12" customHeight="1" x14ac:dyDescent="0.25">
      <c r="A945" s="1"/>
      <c r="B945" s="3"/>
      <c r="C945" s="3"/>
      <c r="D945" s="12"/>
    </row>
    <row r="946" spans="1:4" ht="12" customHeight="1" x14ac:dyDescent="0.25">
      <c r="A946" s="1"/>
      <c r="B946" s="3"/>
      <c r="C946" s="3"/>
      <c r="D946" s="12"/>
    </row>
    <row r="947" spans="1:4" ht="12" customHeight="1" x14ac:dyDescent="0.25">
      <c r="A947" s="1"/>
      <c r="B947" s="3"/>
      <c r="C947" s="3"/>
      <c r="D947" s="12"/>
    </row>
    <row r="948" spans="1:4" ht="12" customHeight="1" x14ac:dyDescent="0.25">
      <c r="A948" s="1"/>
      <c r="B948" s="3"/>
      <c r="C948" s="3"/>
      <c r="D948" s="12"/>
    </row>
    <row r="949" spans="1:4" ht="12" customHeight="1" x14ac:dyDescent="0.25">
      <c r="A949" s="1"/>
      <c r="B949" s="3"/>
      <c r="C949" s="3"/>
      <c r="D949" s="12"/>
    </row>
    <row r="950" spans="1:4" ht="12" customHeight="1" x14ac:dyDescent="0.25">
      <c r="A950" s="1"/>
      <c r="B950" s="3"/>
      <c r="C950" s="3"/>
      <c r="D950" s="12"/>
    </row>
    <row r="951" spans="1:4" ht="12" customHeight="1" x14ac:dyDescent="0.25">
      <c r="A951" s="1"/>
      <c r="B951" s="3"/>
      <c r="C951" s="3"/>
      <c r="D951" s="12"/>
    </row>
    <row r="952" spans="1:4" ht="12" customHeight="1" x14ac:dyDescent="0.25">
      <c r="A952" s="1"/>
      <c r="B952" s="3"/>
      <c r="C952" s="3"/>
      <c r="D952" s="12"/>
    </row>
    <row r="953" spans="1:4" ht="12" customHeight="1" x14ac:dyDescent="0.25">
      <c r="A953" s="1"/>
      <c r="B953" s="3"/>
      <c r="C953" s="3"/>
      <c r="D953" s="12"/>
    </row>
    <row r="954" spans="1:4" ht="12" customHeight="1" x14ac:dyDescent="0.25">
      <c r="A954" s="1"/>
      <c r="B954" s="3"/>
      <c r="C954" s="3"/>
      <c r="D954" s="12"/>
    </row>
    <row r="955" spans="1:4" ht="12" customHeight="1" x14ac:dyDescent="0.25">
      <c r="A955" s="1"/>
      <c r="B955" s="3"/>
      <c r="C955" s="3"/>
      <c r="D955" s="12"/>
    </row>
    <row r="956" spans="1:4" ht="12" customHeight="1" x14ac:dyDescent="0.25">
      <c r="A956" s="1"/>
      <c r="B956" s="3"/>
      <c r="C956" s="3"/>
      <c r="D956" s="12"/>
    </row>
    <row r="957" spans="1:4" ht="12" customHeight="1" x14ac:dyDescent="0.25">
      <c r="A957" s="1"/>
      <c r="B957" s="3"/>
      <c r="C957" s="3"/>
      <c r="D957" s="12"/>
    </row>
    <row r="958" spans="1:4" ht="12" customHeight="1" x14ac:dyDescent="0.25">
      <c r="A958" s="1"/>
      <c r="B958" s="3"/>
      <c r="C958" s="3"/>
      <c r="D958" s="12"/>
    </row>
    <row r="959" spans="1:4" ht="12" customHeight="1" x14ac:dyDescent="0.25">
      <c r="A959" s="1"/>
      <c r="B959" s="3"/>
      <c r="C959" s="3"/>
      <c r="D959" s="12"/>
    </row>
    <row r="960" spans="1:4" ht="12" customHeight="1" x14ac:dyDescent="0.25">
      <c r="A960" s="1"/>
      <c r="B960" s="3"/>
      <c r="C960" s="3"/>
      <c r="D960" s="12"/>
    </row>
    <row r="961" spans="1:4" ht="12" customHeight="1" x14ac:dyDescent="0.25">
      <c r="A961" s="1"/>
      <c r="B961" s="3"/>
      <c r="C961" s="3"/>
      <c r="D961" s="12"/>
    </row>
    <row r="962" spans="1:4" ht="12" customHeight="1" x14ac:dyDescent="0.25">
      <c r="A962" s="1"/>
      <c r="B962" s="3"/>
      <c r="C962" s="3"/>
      <c r="D962" s="12"/>
    </row>
    <row r="963" spans="1:4" ht="12" customHeight="1" x14ac:dyDescent="0.25">
      <c r="A963" s="1"/>
      <c r="B963" s="3"/>
      <c r="C963" s="3"/>
      <c r="D963" s="12"/>
    </row>
    <row r="964" spans="1:4" ht="12" customHeight="1" x14ac:dyDescent="0.25">
      <c r="A964" s="1"/>
      <c r="B964" s="3"/>
      <c r="C964" s="3"/>
      <c r="D964" s="12"/>
    </row>
    <row r="965" spans="1:4" ht="12" customHeight="1" x14ac:dyDescent="0.25">
      <c r="A965" s="1"/>
      <c r="B965" s="3"/>
      <c r="C965" s="3"/>
      <c r="D965" s="12"/>
    </row>
    <row r="966" spans="1:4" ht="12" customHeight="1" x14ac:dyDescent="0.25">
      <c r="A966" s="1"/>
      <c r="B966" s="3"/>
      <c r="C966" s="3"/>
      <c r="D966" s="12"/>
    </row>
    <row r="967" spans="1:4" ht="12" customHeight="1" x14ac:dyDescent="0.25">
      <c r="A967" s="1"/>
      <c r="B967" s="3"/>
      <c r="C967" s="3"/>
      <c r="D967" s="12"/>
    </row>
    <row r="968" spans="1:4" ht="12" customHeight="1" x14ac:dyDescent="0.25">
      <c r="A968" s="1"/>
      <c r="B968" s="3"/>
      <c r="C968" s="3"/>
      <c r="D968" s="12"/>
    </row>
    <row r="969" spans="1:4" ht="12" customHeight="1" x14ac:dyDescent="0.25">
      <c r="A969" s="1"/>
      <c r="B969" s="3"/>
      <c r="C969" s="3"/>
      <c r="D969" s="12"/>
    </row>
    <row r="970" spans="1:4" ht="12" customHeight="1" x14ac:dyDescent="0.25">
      <c r="A970" s="1"/>
      <c r="B970" s="3"/>
      <c r="C970" s="3"/>
      <c r="D970" s="12"/>
    </row>
    <row r="971" spans="1:4" ht="12" customHeight="1" x14ac:dyDescent="0.25">
      <c r="A971" s="1"/>
      <c r="B971" s="3"/>
      <c r="C971" s="3"/>
      <c r="D971" s="12"/>
    </row>
    <row r="972" spans="1:4" ht="12" customHeight="1" x14ac:dyDescent="0.25">
      <c r="A972" s="1"/>
      <c r="B972" s="3"/>
      <c r="C972" s="3"/>
      <c r="D972" s="12"/>
    </row>
    <row r="973" spans="1:4" ht="12" customHeight="1" x14ac:dyDescent="0.25">
      <c r="A973" s="1"/>
      <c r="B973" s="3"/>
      <c r="C973" s="3"/>
      <c r="D973" s="12"/>
    </row>
    <row r="974" spans="1:4" ht="12" customHeight="1" x14ac:dyDescent="0.25">
      <c r="A974" s="1"/>
      <c r="B974" s="3"/>
      <c r="C974" s="3"/>
      <c r="D974" s="12"/>
    </row>
    <row r="975" spans="1:4" ht="12" customHeight="1" x14ac:dyDescent="0.25">
      <c r="A975" s="1"/>
      <c r="B975" s="3"/>
      <c r="C975" s="3"/>
      <c r="D975" s="12"/>
    </row>
    <row r="976" spans="1:4" ht="12" customHeight="1" x14ac:dyDescent="0.25">
      <c r="A976" s="1"/>
      <c r="B976" s="3"/>
      <c r="C976" s="3"/>
      <c r="D976" s="12"/>
    </row>
    <row r="977" spans="1:4" ht="12" customHeight="1" x14ac:dyDescent="0.25">
      <c r="A977" s="1"/>
      <c r="B977" s="3"/>
      <c r="C977" s="3"/>
      <c r="D977" s="12"/>
    </row>
    <row r="978" spans="1:4" ht="12" customHeight="1" x14ac:dyDescent="0.25">
      <c r="A978" s="1"/>
      <c r="B978" s="3"/>
      <c r="C978" s="3"/>
      <c r="D978" s="12"/>
    </row>
    <row r="979" spans="1:4" ht="12" customHeight="1" x14ac:dyDescent="0.25">
      <c r="A979" s="1"/>
      <c r="B979" s="3"/>
      <c r="C979" s="3"/>
      <c r="D979" s="12"/>
    </row>
    <row r="980" spans="1:4" ht="12" customHeight="1" x14ac:dyDescent="0.25">
      <c r="A980" s="1"/>
      <c r="B980" s="3"/>
      <c r="C980" s="3"/>
      <c r="D980" s="12"/>
    </row>
    <row r="981" spans="1:4" ht="12" customHeight="1" x14ac:dyDescent="0.25">
      <c r="A981" s="1"/>
      <c r="B981" s="3"/>
      <c r="C981" s="3"/>
      <c r="D981" s="12"/>
    </row>
    <row r="982" spans="1:4" ht="12" customHeight="1" x14ac:dyDescent="0.25">
      <c r="A982" s="1"/>
      <c r="B982" s="3"/>
      <c r="C982" s="3"/>
      <c r="D982" s="12"/>
    </row>
    <row r="983" spans="1:4" ht="12" customHeight="1" x14ac:dyDescent="0.25">
      <c r="A983" s="1"/>
      <c r="B983" s="3"/>
      <c r="C983" s="3"/>
      <c r="D983" s="12"/>
    </row>
    <row r="984" spans="1:4" ht="12" customHeight="1" x14ac:dyDescent="0.25">
      <c r="A984" s="1"/>
      <c r="B984" s="3"/>
      <c r="C984" s="3"/>
      <c r="D984" s="12"/>
    </row>
    <row r="985" spans="1:4" ht="12" customHeight="1" x14ac:dyDescent="0.25">
      <c r="A985" s="1"/>
      <c r="B985" s="3"/>
      <c r="C985" s="3"/>
      <c r="D985" s="12"/>
    </row>
    <row r="986" spans="1:4" ht="12" customHeight="1" x14ac:dyDescent="0.25">
      <c r="A986" s="1"/>
      <c r="B986" s="3"/>
      <c r="C986" s="3"/>
      <c r="D986" s="12"/>
    </row>
    <row r="987" spans="1:4" ht="12" customHeight="1" x14ac:dyDescent="0.25">
      <c r="A987" s="1"/>
      <c r="B987" s="3"/>
      <c r="C987" s="3"/>
      <c r="D987" s="12"/>
    </row>
    <row r="988" spans="1:4" ht="12" customHeight="1" x14ac:dyDescent="0.25">
      <c r="A988" s="1"/>
      <c r="B988" s="3"/>
      <c r="C988" s="3"/>
      <c r="D988" s="12"/>
    </row>
    <row r="989" spans="1:4" ht="12" customHeight="1" x14ac:dyDescent="0.25">
      <c r="A989" s="1"/>
      <c r="B989" s="3"/>
      <c r="C989" s="3"/>
      <c r="D989" s="12"/>
    </row>
    <row r="990" spans="1:4" ht="12" customHeight="1" x14ac:dyDescent="0.25">
      <c r="A990" s="1"/>
      <c r="B990" s="3"/>
      <c r="C990" s="3"/>
      <c r="D990" s="12"/>
    </row>
    <row r="991" spans="1:4" ht="12" customHeight="1" x14ac:dyDescent="0.25">
      <c r="A991" s="1"/>
      <c r="B991" s="3"/>
      <c r="C991" s="3"/>
      <c r="D991" s="12"/>
    </row>
    <row r="992" spans="1:4" ht="12" customHeight="1" x14ac:dyDescent="0.25">
      <c r="A992" s="1"/>
      <c r="B992" s="3"/>
      <c r="C992" s="3"/>
      <c r="D992" s="12"/>
    </row>
    <row r="993" spans="1:4" ht="12" customHeight="1" x14ac:dyDescent="0.25">
      <c r="A993" s="1"/>
      <c r="B993" s="3"/>
      <c r="C993" s="3"/>
      <c r="D993" s="12"/>
    </row>
    <row r="994" spans="1:4" ht="12" customHeight="1" x14ac:dyDescent="0.25">
      <c r="A994" s="1"/>
      <c r="B994" s="3"/>
      <c r="C994" s="3"/>
      <c r="D994" s="12"/>
    </row>
    <row r="995" spans="1:4" ht="12" customHeight="1" x14ac:dyDescent="0.25">
      <c r="A995" s="1"/>
      <c r="B995" s="3"/>
      <c r="C995" s="3"/>
      <c r="D995" s="12"/>
    </row>
    <row r="996" spans="1:4" ht="12" customHeight="1" x14ac:dyDescent="0.25">
      <c r="A996" s="1"/>
      <c r="B996" s="3"/>
      <c r="C996" s="3"/>
      <c r="D996" s="12"/>
    </row>
    <row r="997" spans="1:4" ht="12" customHeight="1" x14ac:dyDescent="0.25">
      <c r="A997" s="1"/>
      <c r="B997" s="3"/>
      <c r="C997" s="3"/>
      <c r="D997" s="12"/>
    </row>
    <row r="998" spans="1:4" ht="12" customHeight="1" x14ac:dyDescent="0.25">
      <c r="A998" s="1"/>
      <c r="B998" s="3"/>
      <c r="C998" s="3"/>
      <c r="D998" s="12"/>
    </row>
    <row r="999" spans="1:4" ht="12" customHeight="1" x14ac:dyDescent="0.25">
      <c r="A999" s="1"/>
      <c r="B999" s="3"/>
      <c r="C999" s="3"/>
      <c r="D999" s="12"/>
    </row>
    <row r="1000" spans="1:4" ht="12" customHeight="1" x14ac:dyDescent="0.25">
      <c r="A1000" s="1"/>
      <c r="B1000" s="3"/>
      <c r="C1000" s="3"/>
      <c r="D1000" s="12"/>
    </row>
  </sheetData>
  <mergeCells count="2">
    <mergeCell ref="A14:A15"/>
    <mergeCell ref="B14:C14"/>
  </mergeCells>
  <pageMargins left="0.7" right="0.7" top="0.75" bottom="0.75" header="0" footer="0"/>
  <pageSetup orientation="portrait"/>
  <headerFooter>
    <oddFooter>&amp;C# Propietaria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16" sqref="B16"/>
    </sheetView>
  </sheetViews>
  <sheetFormatPr baseColWidth="10" defaultColWidth="14.453125" defaultRowHeight="15" customHeight="1" x14ac:dyDescent="0.25"/>
  <cols>
    <col min="1" max="1" width="17.54296875" customWidth="1"/>
    <col min="2" max="2" width="14.54296875" customWidth="1"/>
    <col min="3" max="4" width="11.453125" customWidth="1"/>
    <col min="5" max="5" width="9.81640625" customWidth="1"/>
    <col min="6" max="6" width="9" customWidth="1"/>
    <col min="7" max="7" width="16.08984375" customWidth="1"/>
    <col min="8" max="8" width="11.453125" customWidth="1"/>
    <col min="9" max="9" width="12.81640625" customWidth="1"/>
    <col min="10" max="10" width="12.453125" customWidth="1"/>
    <col min="11" max="26" width="11.453125" customWidth="1"/>
  </cols>
  <sheetData>
    <row r="1" spans="1:11" ht="12" customHeight="1" x14ac:dyDescent="0.25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</row>
    <row r="2" spans="1:11" ht="12" customHeight="1" x14ac:dyDescent="0.25">
      <c r="A2" s="1" t="s">
        <v>3</v>
      </c>
      <c r="B2" s="2" t="s">
        <v>4</v>
      </c>
      <c r="C2" s="3"/>
      <c r="D2" s="6" t="s">
        <v>5</v>
      </c>
      <c r="E2" s="7">
        <f>B8+365</f>
        <v>43904</v>
      </c>
      <c r="F2" s="5"/>
      <c r="G2" s="8" t="s">
        <v>6</v>
      </c>
      <c r="H2" s="5">
        <f>-(B9-E3)/(E2-B8)</f>
        <v>6.9627068493150687E-3</v>
      </c>
    </row>
    <row r="3" spans="1:11" ht="12" customHeight="1" x14ac:dyDescent="0.3">
      <c r="A3" s="9" t="s">
        <v>7</v>
      </c>
      <c r="B3" s="2" t="s">
        <v>8</v>
      </c>
      <c r="C3" s="3"/>
      <c r="D3" s="6" t="s">
        <v>9</v>
      </c>
      <c r="E3" s="26">
        <v>5</v>
      </c>
      <c r="F3" s="5"/>
      <c r="G3" s="5" t="s">
        <v>10</v>
      </c>
      <c r="H3" s="11">
        <f>J277</f>
        <v>0.61500523389021111</v>
      </c>
    </row>
    <row r="4" spans="1:11" ht="12" customHeight="1" x14ac:dyDescent="0.25">
      <c r="A4" s="1" t="s">
        <v>11</v>
      </c>
      <c r="B4" s="2">
        <v>2.5</v>
      </c>
      <c r="C4" s="3"/>
      <c r="D4" s="3" t="s">
        <v>12</v>
      </c>
      <c r="K4" s="3" t="s">
        <v>13</v>
      </c>
    </row>
    <row r="5" spans="1:11" ht="12" customHeight="1" x14ac:dyDescent="0.25">
      <c r="A5" s="1" t="s">
        <v>14</v>
      </c>
      <c r="B5" s="2">
        <v>2</v>
      </c>
      <c r="C5" s="3"/>
      <c r="D5" s="12"/>
    </row>
    <row r="6" spans="1:11" ht="12" customHeight="1" x14ac:dyDescent="0.25">
      <c r="A6" s="1" t="s">
        <v>15</v>
      </c>
      <c r="B6" s="13">
        <v>1000000</v>
      </c>
      <c r="C6" s="14"/>
      <c r="D6" s="12"/>
    </row>
    <row r="7" spans="1:11" ht="12" customHeight="1" x14ac:dyDescent="0.25">
      <c r="A7" s="1" t="s">
        <v>16</v>
      </c>
      <c r="B7" s="13">
        <f>B4/B5*$B$6/100</f>
        <v>12500</v>
      </c>
      <c r="C7" s="3"/>
      <c r="D7" s="12"/>
    </row>
    <row r="8" spans="1:11" ht="12" customHeight="1" x14ac:dyDescent="0.25">
      <c r="A8" s="1" t="s">
        <v>17</v>
      </c>
      <c r="B8" s="15">
        <v>43539</v>
      </c>
      <c r="C8" s="3"/>
      <c r="D8" s="12"/>
    </row>
    <row r="9" spans="1:11" ht="12" customHeight="1" x14ac:dyDescent="0.25">
      <c r="A9" s="1" t="s">
        <v>18</v>
      </c>
      <c r="B9" s="2">
        <v>2.458612</v>
      </c>
      <c r="C9" s="3"/>
      <c r="D9" s="12"/>
    </row>
    <row r="10" spans="1:11" ht="12" customHeight="1" x14ac:dyDescent="0.25">
      <c r="A10" s="1" t="s">
        <v>19</v>
      </c>
      <c r="B10" s="16">
        <v>100.078125</v>
      </c>
      <c r="C10" s="3"/>
      <c r="D10" s="12"/>
    </row>
    <row r="11" spans="1:11" ht="12" customHeight="1" x14ac:dyDescent="0.25">
      <c r="A11" s="1"/>
      <c r="B11" s="3"/>
      <c r="C11" s="17"/>
      <c r="D11" s="12"/>
    </row>
    <row r="12" spans="1:11" ht="12" customHeight="1" x14ac:dyDescent="0.25">
      <c r="A12" s="1"/>
      <c r="B12" s="3"/>
      <c r="C12" s="17"/>
      <c r="D12" s="12"/>
    </row>
    <row r="13" spans="1:11" ht="12" customHeight="1" x14ac:dyDescent="0.25">
      <c r="A13" s="1"/>
      <c r="B13" s="3"/>
      <c r="C13" s="3"/>
      <c r="D13" s="12"/>
    </row>
    <row r="14" spans="1:11" ht="12" customHeight="1" x14ac:dyDescent="0.25">
      <c r="A14" s="27" t="s">
        <v>20</v>
      </c>
      <c r="B14" s="29" t="s">
        <v>21</v>
      </c>
      <c r="C14" s="30"/>
      <c r="D14" s="18" t="s">
        <v>22</v>
      </c>
      <c r="I14" s="13"/>
    </row>
    <row r="15" spans="1:11" ht="12" customHeight="1" x14ac:dyDescent="0.3">
      <c r="A15" s="28"/>
      <c r="B15" s="5" t="s">
        <v>23</v>
      </c>
      <c r="C15" s="5" t="s">
        <v>24</v>
      </c>
      <c r="D15" s="12" t="s">
        <v>25</v>
      </c>
      <c r="E15" s="19" t="s">
        <v>26</v>
      </c>
      <c r="F15" s="19" t="s">
        <v>27</v>
      </c>
      <c r="G15" s="9" t="s">
        <v>28</v>
      </c>
      <c r="H15" s="9" t="s">
        <v>29</v>
      </c>
      <c r="I15" s="9" t="s">
        <v>30</v>
      </c>
      <c r="J15" s="9" t="s">
        <v>10</v>
      </c>
    </row>
    <row r="16" spans="1:11" ht="12" customHeight="1" x14ac:dyDescent="0.3">
      <c r="A16" s="1">
        <f>B8</f>
        <v>43539</v>
      </c>
      <c r="B16" s="20">
        <v>1019.0217391304349</v>
      </c>
      <c r="C16" s="20">
        <v>0</v>
      </c>
      <c r="D16" s="21" t="str">
        <f t="shared" ref="D16:D527" si="0">TEXT(WORKDAY(A16,0),$D$14&amp;"mmdd")</f>
        <v>190315</v>
      </c>
      <c r="E16" s="22">
        <f>B9</f>
        <v>2.458612</v>
      </c>
      <c r="F16" s="9">
        <v>0</v>
      </c>
      <c r="G16" s="14">
        <f t="shared" ref="G16:G526" si="1">PRICE(A16,$B$3,$B$4%,E16%,100,2,2)</f>
        <v>100.07807789534182</v>
      </c>
      <c r="H16" s="23">
        <v>0</v>
      </c>
      <c r="I16" s="20">
        <f t="shared" ref="I16:I527" si="2">C16+H16</f>
        <v>0</v>
      </c>
    </row>
    <row r="17" spans="1:11" ht="12" customHeight="1" x14ac:dyDescent="0.3">
      <c r="A17" s="1">
        <f t="shared" ref="A17:A527" si="3">WORKDAY(A16,1)</f>
        <v>43542</v>
      </c>
      <c r="B17" s="20">
        <v>1222.8260869565217</v>
      </c>
      <c r="C17" s="20">
        <f t="shared" ref="C17:C527" si="4">IF(B17&gt;B16,C16+(B17-B16),C16+($B$7-B16)+B17)</f>
        <v>203.80434782608688</v>
      </c>
      <c r="D17" s="21" t="str">
        <f t="shared" si="0"/>
        <v>190318</v>
      </c>
      <c r="E17" s="22">
        <f t="shared" ref="E17:E527" si="5">E16+F16</f>
        <v>2.458612</v>
      </c>
      <c r="F17" s="9">
        <v>0</v>
      </c>
      <c r="G17" s="14">
        <f t="shared" si="1"/>
        <v>100.07764727391361</v>
      </c>
      <c r="H17" s="24">
        <f t="shared" ref="H17:H527" si="6">(G17-$B$10)*$B$6/100</f>
        <v>-4.777260863875199</v>
      </c>
      <c r="I17" s="20">
        <f t="shared" si="2"/>
        <v>199.02708696221168</v>
      </c>
      <c r="J17" s="17">
        <f t="shared" ref="J17:J527" si="7">I17/$B$6*100</f>
        <v>1.9902708696221169E-2</v>
      </c>
      <c r="K17" s="3"/>
    </row>
    <row r="18" spans="1:11" ht="12" customHeight="1" x14ac:dyDescent="0.3">
      <c r="A18" s="1">
        <f t="shared" si="3"/>
        <v>43543</v>
      </c>
      <c r="B18" s="20">
        <v>1290.7608695652173</v>
      </c>
      <c r="C18" s="20">
        <f t="shared" si="4"/>
        <v>271.7391304347824</v>
      </c>
      <c r="D18" s="21" t="str">
        <f t="shared" si="0"/>
        <v>190319</v>
      </c>
      <c r="E18" s="22">
        <f t="shared" si="5"/>
        <v>2.458612</v>
      </c>
      <c r="F18" s="9">
        <v>0</v>
      </c>
      <c r="G18" s="14">
        <f t="shared" si="1"/>
        <v>100.07750465675888</v>
      </c>
      <c r="H18" s="24">
        <f t="shared" si="6"/>
        <v>-6.2034324112403283</v>
      </c>
      <c r="I18" s="20">
        <f t="shared" si="2"/>
        <v>265.53569802354207</v>
      </c>
      <c r="J18" s="17">
        <f t="shared" si="7"/>
        <v>2.655356980235421E-2</v>
      </c>
    </row>
    <row r="19" spans="1:11" ht="12" customHeight="1" x14ac:dyDescent="0.3">
      <c r="A19" s="1">
        <f t="shared" si="3"/>
        <v>43544</v>
      </c>
      <c r="B19" s="20">
        <v>1358.695652173913</v>
      </c>
      <c r="C19" s="20">
        <f t="shared" si="4"/>
        <v>339.67391304347814</v>
      </c>
      <c r="D19" s="21" t="str">
        <f t="shared" si="0"/>
        <v>190320</v>
      </c>
      <c r="E19" s="22">
        <f t="shared" si="5"/>
        <v>2.458612</v>
      </c>
      <c r="F19" s="9">
        <v>0</v>
      </c>
      <c r="G19" s="14">
        <f t="shared" si="1"/>
        <v>100.07736250131703</v>
      </c>
      <c r="H19" s="24">
        <f t="shared" si="6"/>
        <v>-7.6249868297395551</v>
      </c>
      <c r="I19" s="20">
        <f t="shared" si="2"/>
        <v>332.04892621373858</v>
      </c>
      <c r="J19" s="17">
        <f t="shared" si="7"/>
        <v>3.3204892621373855E-2</v>
      </c>
    </row>
    <row r="20" spans="1:11" ht="12" customHeight="1" x14ac:dyDescent="0.3">
      <c r="A20" s="1">
        <f t="shared" si="3"/>
        <v>43545</v>
      </c>
      <c r="B20" s="20">
        <v>1426.6304347826087</v>
      </c>
      <c r="C20" s="20">
        <f t="shared" si="4"/>
        <v>407.60869565217388</v>
      </c>
      <c r="D20" s="21" t="str">
        <f t="shared" si="0"/>
        <v>190321</v>
      </c>
      <c r="E20" s="22">
        <f t="shared" si="5"/>
        <v>2.458612</v>
      </c>
      <c r="F20" s="9">
        <v>0</v>
      </c>
      <c r="G20" s="14">
        <f t="shared" si="1"/>
        <v>100.07722080761941</v>
      </c>
      <c r="H20" s="24">
        <f t="shared" si="6"/>
        <v>-9.0419238058814244</v>
      </c>
      <c r="I20" s="20">
        <f t="shared" si="2"/>
        <v>398.56677184629245</v>
      </c>
      <c r="J20" s="17">
        <f t="shared" si="7"/>
        <v>3.9856677184629243E-2</v>
      </c>
    </row>
    <row r="21" spans="1:11" ht="12" customHeight="1" x14ac:dyDescent="0.3">
      <c r="A21" s="1">
        <f t="shared" si="3"/>
        <v>43546</v>
      </c>
      <c r="B21" s="20">
        <v>1494.5652173913043</v>
      </c>
      <c r="C21" s="20">
        <f t="shared" si="4"/>
        <v>475.54347826086939</v>
      </c>
      <c r="D21" s="21" t="str">
        <f t="shared" si="0"/>
        <v>190322</v>
      </c>
      <c r="E21" s="22">
        <f t="shared" si="5"/>
        <v>2.458612</v>
      </c>
      <c r="F21" s="9">
        <v>0</v>
      </c>
      <c r="G21" s="14">
        <f t="shared" si="1"/>
        <v>100.0770795756974</v>
      </c>
      <c r="H21" s="24">
        <f t="shared" si="6"/>
        <v>-10.454243026032373</v>
      </c>
      <c r="I21" s="20">
        <f t="shared" si="2"/>
        <v>465.08923523483702</v>
      </c>
      <c r="J21" s="17">
        <f t="shared" si="7"/>
        <v>4.6508923523483701E-2</v>
      </c>
    </row>
    <row r="22" spans="1:11" ht="12" customHeight="1" x14ac:dyDescent="0.3">
      <c r="A22" s="1">
        <f t="shared" si="3"/>
        <v>43549</v>
      </c>
      <c r="B22" s="20">
        <v>1698.3695652173913</v>
      </c>
      <c r="C22" s="20">
        <f t="shared" si="4"/>
        <v>679.34782608695639</v>
      </c>
      <c r="D22" s="21" t="str">
        <f t="shared" si="0"/>
        <v>190325</v>
      </c>
      <c r="E22" s="22">
        <f t="shared" si="5"/>
        <v>2.458612</v>
      </c>
      <c r="F22" s="9">
        <v>0</v>
      </c>
      <c r="G22" s="14">
        <f t="shared" si="1"/>
        <v>100.07665865089827</v>
      </c>
      <c r="H22" s="24">
        <f t="shared" si="6"/>
        <v>-14.663491017330443</v>
      </c>
      <c r="I22" s="20">
        <f t="shared" si="2"/>
        <v>664.68433506962594</v>
      </c>
      <c r="J22" s="17">
        <f t="shared" si="7"/>
        <v>6.646843350696259E-2</v>
      </c>
    </row>
    <row r="23" spans="1:11" ht="12" customHeight="1" x14ac:dyDescent="0.3">
      <c r="A23" s="1">
        <f t="shared" si="3"/>
        <v>43550</v>
      </c>
      <c r="B23" s="20">
        <v>1766.3043478260868</v>
      </c>
      <c r="C23" s="20">
        <f t="shared" si="4"/>
        <v>747.2826086956519</v>
      </c>
      <c r="D23" s="21" t="str">
        <f t="shared" si="0"/>
        <v>190326</v>
      </c>
      <c r="E23" s="22">
        <f t="shared" si="5"/>
        <v>2.458612</v>
      </c>
      <c r="F23" s="9">
        <v>0</v>
      </c>
      <c r="G23" s="14">
        <f t="shared" si="1"/>
        <v>100.07651926639203</v>
      </c>
      <c r="H23" s="24">
        <f t="shared" si="6"/>
        <v>-16.057336079740026</v>
      </c>
      <c r="I23" s="20">
        <f t="shared" si="2"/>
        <v>731.22527261591188</v>
      </c>
      <c r="J23" s="17">
        <f t="shared" si="7"/>
        <v>7.3122527261591186E-2</v>
      </c>
    </row>
    <row r="24" spans="1:11" ht="12" customHeight="1" x14ac:dyDescent="0.3">
      <c r="A24" s="1">
        <f t="shared" si="3"/>
        <v>43551</v>
      </c>
      <c r="B24" s="20">
        <v>1834.2391304347827</v>
      </c>
      <c r="C24" s="20">
        <f t="shared" si="4"/>
        <v>815.21739130434787</v>
      </c>
      <c r="D24" s="21" t="str">
        <f t="shared" si="0"/>
        <v>190327</v>
      </c>
      <c r="E24" s="22">
        <f t="shared" si="5"/>
        <v>2.458612</v>
      </c>
      <c r="F24" s="9">
        <v>0</v>
      </c>
      <c r="G24" s="14">
        <f t="shared" si="1"/>
        <v>100.07638034381814</v>
      </c>
      <c r="H24" s="24">
        <f t="shared" si="6"/>
        <v>-17.446561818559303</v>
      </c>
      <c r="I24" s="20">
        <f t="shared" si="2"/>
        <v>797.77082948578857</v>
      </c>
      <c r="J24" s="17">
        <f t="shared" si="7"/>
        <v>7.9777082948578854E-2</v>
      </c>
    </row>
    <row r="25" spans="1:11" ht="12" customHeight="1" x14ac:dyDescent="0.3">
      <c r="A25" s="1">
        <f t="shared" si="3"/>
        <v>43552</v>
      </c>
      <c r="B25" s="20">
        <v>1902.1739130434785</v>
      </c>
      <c r="C25" s="20">
        <f t="shared" si="4"/>
        <v>883.15217391304361</v>
      </c>
      <c r="D25" s="21" t="str">
        <f t="shared" si="0"/>
        <v>190328</v>
      </c>
      <c r="E25" s="22">
        <f t="shared" si="5"/>
        <v>2.458612</v>
      </c>
      <c r="F25" s="9">
        <v>0</v>
      </c>
      <c r="G25" s="14">
        <f t="shared" si="1"/>
        <v>100.07624188320794</v>
      </c>
      <c r="H25" s="24">
        <f t="shared" si="6"/>
        <v>-18.831167920581038</v>
      </c>
      <c r="I25" s="20">
        <f t="shared" si="2"/>
        <v>864.32100599246257</v>
      </c>
      <c r="J25" s="17">
        <f t="shared" si="7"/>
        <v>8.6432100599246248E-2</v>
      </c>
    </row>
    <row r="26" spans="1:11" ht="12" customHeight="1" x14ac:dyDescent="0.3">
      <c r="A26" s="1">
        <f t="shared" si="3"/>
        <v>43553</v>
      </c>
      <c r="B26" s="20">
        <v>1970.108695652174</v>
      </c>
      <c r="C26" s="20">
        <f t="shared" si="4"/>
        <v>951.08695652173913</v>
      </c>
      <c r="D26" s="21" t="str">
        <f t="shared" si="0"/>
        <v>190329</v>
      </c>
      <c r="E26" s="22">
        <f t="shared" si="5"/>
        <v>2.458612</v>
      </c>
      <c r="F26" s="9">
        <v>0</v>
      </c>
      <c r="G26" s="14">
        <f t="shared" si="1"/>
        <v>100.07610388459278</v>
      </c>
      <c r="H26" s="24">
        <f t="shared" si="6"/>
        <v>-20.211154072171666</v>
      </c>
      <c r="I26" s="20">
        <f t="shared" si="2"/>
        <v>930.87580244956746</v>
      </c>
      <c r="J26" s="17">
        <f t="shared" si="7"/>
        <v>9.3087580244956752E-2</v>
      </c>
    </row>
    <row r="27" spans="1:11" ht="12" customHeight="1" x14ac:dyDescent="0.3">
      <c r="A27" s="1">
        <f t="shared" si="3"/>
        <v>43556</v>
      </c>
      <c r="B27" s="20">
        <v>2173.913043478261</v>
      </c>
      <c r="C27" s="20">
        <f t="shared" si="4"/>
        <v>1154.891304347826</v>
      </c>
      <c r="D27" s="21" t="str">
        <f t="shared" si="0"/>
        <v>190401</v>
      </c>
      <c r="E27" s="22">
        <f t="shared" si="5"/>
        <v>2.458612</v>
      </c>
      <c r="F27" s="9">
        <v>0</v>
      </c>
      <c r="G27" s="14">
        <f t="shared" si="1"/>
        <v>100.07569266103118</v>
      </c>
      <c r="H27" s="24">
        <f t="shared" si="6"/>
        <v>-24.323389688163388</v>
      </c>
      <c r="I27" s="20">
        <f t="shared" si="2"/>
        <v>1130.5679146596626</v>
      </c>
      <c r="J27" s="17">
        <f t="shared" si="7"/>
        <v>0.11305679146596626</v>
      </c>
    </row>
    <row r="28" spans="1:11" ht="12" customHeight="1" x14ac:dyDescent="0.3">
      <c r="A28" s="1">
        <f t="shared" si="3"/>
        <v>43557</v>
      </c>
      <c r="B28" s="20">
        <v>2241.8478260869565</v>
      </c>
      <c r="C28" s="20">
        <f t="shared" si="4"/>
        <v>1222.8260869565215</v>
      </c>
      <c r="D28" s="21" t="str">
        <f t="shared" si="0"/>
        <v>190402</v>
      </c>
      <c r="E28" s="22">
        <f t="shared" si="5"/>
        <v>2.458612</v>
      </c>
      <c r="F28" s="9">
        <v>0</v>
      </c>
      <c r="G28" s="14">
        <f t="shared" si="1"/>
        <v>100.07555651070983</v>
      </c>
      <c r="H28" s="24">
        <f t="shared" si="6"/>
        <v>-25.684892901693956</v>
      </c>
      <c r="I28" s="20">
        <f t="shared" si="2"/>
        <v>1197.1411940548276</v>
      </c>
      <c r="J28" s="17">
        <f t="shared" si="7"/>
        <v>0.11971411940548277</v>
      </c>
    </row>
    <row r="29" spans="1:11" ht="12" customHeight="1" x14ac:dyDescent="0.3">
      <c r="A29" s="1">
        <f t="shared" si="3"/>
        <v>43558</v>
      </c>
      <c r="B29" s="20">
        <v>2309.782608695652</v>
      </c>
      <c r="C29" s="20">
        <f t="shared" si="4"/>
        <v>1290.760869565217</v>
      </c>
      <c r="D29" s="21" t="str">
        <f t="shared" si="0"/>
        <v>190403</v>
      </c>
      <c r="E29" s="22">
        <f t="shared" si="5"/>
        <v>2.458612</v>
      </c>
      <c r="F29" s="9">
        <v>0</v>
      </c>
      <c r="G29" s="14">
        <f t="shared" si="1"/>
        <v>100.07542082254037</v>
      </c>
      <c r="H29" s="24">
        <f t="shared" si="6"/>
        <v>-27.041774596341384</v>
      </c>
      <c r="I29" s="20">
        <f t="shared" si="2"/>
        <v>1263.7190949688757</v>
      </c>
      <c r="J29" s="17">
        <f t="shared" si="7"/>
        <v>0.12637190949688756</v>
      </c>
    </row>
    <row r="30" spans="1:11" ht="12" customHeight="1" x14ac:dyDescent="0.3">
      <c r="A30" s="1">
        <f t="shared" si="3"/>
        <v>43559</v>
      </c>
      <c r="B30" s="20">
        <v>2377.717391304348</v>
      </c>
      <c r="C30" s="20">
        <f t="shared" si="4"/>
        <v>1358.695652173913</v>
      </c>
      <c r="D30" s="21" t="str">
        <f t="shared" si="0"/>
        <v>190404</v>
      </c>
      <c r="E30" s="22">
        <f t="shared" si="5"/>
        <v>2.458612</v>
      </c>
      <c r="F30" s="9">
        <v>0</v>
      </c>
      <c r="G30" s="14">
        <f t="shared" si="1"/>
        <v>100.07528559655411</v>
      </c>
      <c r="H30" s="24">
        <f t="shared" si="6"/>
        <v>-28.394034458898432</v>
      </c>
      <c r="I30" s="20">
        <f t="shared" si="2"/>
        <v>1330.3016177150146</v>
      </c>
      <c r="J30" s="17">
        <f t="shared" si="7"/>
        <v>0.13303016177150145</v>
      </c>
    </row>
    <row r="31" spans="1:11" ht="12" customHeight="1" x14ac:dyDescent="0.3">
      <c r="A31" s="1">
        <f t="shared" si="3"/>
        <v>43560</v>
      </c>
      <c r="B31" s="20">
        <v>2445.6521739130435</v>
      </c>
      <c r="C31" s="20">
        <f t="shared" si="4"/>
        <v>1426.6304347826085</v>
      </c>
      <c r="D31" s="21" t="str">
        <f t="shared" si="0"/>
        <v>190405</v>
      </c>
      <c r="E31" s="22">
        <f t="shared" si="5"/>
        <v>2.458612</v>
      </c>
      <c r="F31" s="9">
        <v>0</v>
      </c>
      <c r="G31" s="14">
        <f t="shared" si="1"/>
        <v>100.0751508327825</v>
      </c>
      <c r="H31" s="24">
        <f t="shared" si="6"/>
        <v>-29.741672175020994</v>
      </c>
      <c r="I31" s="20">
        <f t="shared" si="2"/>
        <v>1396.8887626075875</v>
      </c>
      <c r="J31" s="17">
        <f t="shared" si="7"/>
        <v>0.13968887626075877</v>
      </c>
    </row>
    <row r="32" spans="1:11" ht="12" customHeight="1" x14ac:dyDescent="0.3">
      <c r="A32" s="1">
        <f t="shared" si="3"/>
        <v>43563</v>
      </c>
      <c r="B32" s="20">
        <v>2649.45652173913</v>
      </c>
      <c r="C32" s="20">
        <f t="shared" si="4"/>
        <v>1630.4347826086951</v>
      </c>
      <c r="D32" s="21" t="str">
        <f t="shared" si="0"/>
        <v>190408</v>
      </c>
      <c r="E32" s="22">
        <f t="shared" si="5"/>
        <v>2.458612</v>
      </c>
      <c r="F32" s="9">
        <v>0</v>
      </c>
      <c r="G32" s="14">
        <f t="shared" si="1"/>
        <v>100.07474931506904</v>
      </c>
      <c r="H32" s="24">
        <f t="shared" si="6"/>
        <v>-33.756849309583004</v>
      </c>
      <c r="I32" s="20">
        <f t="shared" si="2"/>
        <v>1596.6779332991121</v>
      </c>
      <c r="J32" s="17">
        <f t="shared" si="7"/>
        <v>0.15966779332991121</v>
      </c>
    </row>
    <row r="33" spans="1:10" ht="12" customHeight="1" x14ac:dyDescent="0.3">
      <c r="A33" s="1">
        <f t="shared" si="3"/>
        <v>43564</v>
      </c>
      <c r="B33" s="20">
        <v>2717.391304347826</v>
      </c>
      <c r="C33" s="20">
        <f t="shared" si="4"/>
        <v>1698.369565217391</v>
      </c>
      <c r="D33" s="21" t="str">
        <f t="shared" si="0"/>
        <v>190409</v>
      </c>
      <c r="E33" s="22">
        <f t="shared" si="5"/>
        <v>2.458612</v>
      </c>
      <c r="F33" s="9">
        <v>0</v>
      </c>
      <c r="G33" s="14">
        <f t="shared" si="1"/>
        <v>100.07461640046967</v>
      </c>
      <c r="H33" s="24">
        <f t="shared" si="6"/>
        <v>-35.085995303347772</v>
      </c>
      <c r="I33" s="20">
        <f t="shared" si="2"/>
        <v>1663.2835699140433</v>
      </c>
      <c r="J33" s="17">
        <f t="shared" si="7"/>
        <v>0.16632835699140433</v>
      </c>
    </row>
    <row r="34" spans="1:10" ht="12" customHeight="1" x14ac:dyDescent="0.3">
      <c r="A34" s="1">
        <f t="shared" si="3"/>
        <v>43565</v>
      </c>
      <c r="B34" s="20">
        <v>2785.3260869565215</v>
      </c>
      <c r="C34" s="20">
        <f t="shared" si="4"/>
        <v>1766.3043478260865</v>
      </c>
      <c r="D34" s="21" t="str">
        <f t="shared" si="0"/>
        <v>190410</v>
      </c>
      <c r="E34" s="22">
        <f t="shared" si="5"/>
        <v>2.458612</v>
      </c>
      <c r="F34" s="9">
        <v>0</v>
      </c>
      <c r="G34" s="14">
        <f t="shared" si="1"/>
        <v>100.07448394824175</v>
      </c>
      <c r="H34" s="24">
        <f t="shared" si="6"/>
        <v>-36.410517582510238</v>
      </c>
      <c r="I34" s="20">
        <f t="shared" si="2"/>
        <v>1729.8938302435763</v>
      </c>
      <c r="J34" s="17">
        <f t="shared" si="7"/>
        <v>0.17298938302435762</v>
      </c>
    </row>
    <row r="35" spans="1:10" ht="12" customHeight="1" x14ac:dyDescent="0.3">
      <c r="A35" s="1">
        <f t="shared" si="3"/>
        <v>43566</v>
      </c>
      <c r="B35" s="20">
        <v>2853.2608695652175</v>
      </c>
      <c r="C35" s="20">
        <f t="shared" si="4"/>
        <v>1834.2391304347825</v>
      </c>
      <c r="D35" s="21" t="str">
        <f t="shared" si="0"/>
        <v>190411</v>
      </c>
      <c r="E35" s="22">
        <f t="shared" si="5"/>
        <v>2.458612</v>
      </c>
      <c r="F35" s="9">
        <v>0</v>
      </c>
      <c r="G35" s="14">
        <f t="shared" si="1"/>
        <v>100.0743519584168</v>
      </c>
      <c r="H35" s="24">
        <f t="shared" si="6"/>
        <v>-37.730415832015751</v>
      </c>
      <c r="I35" s="20">
        <f t="shared" si="2"/>
        <v>1796.5087146027668</v>
      </c>
      <c r="J35" s="17">
        <f t="shared" si="7"/>
        <v>0.17965087146027667</v>
      </c>
    </row>
    <row r="36" spans="1:10" ht="12" customHeight="1" x14ac:dyDescent="0.3">
      <c r="A36" s="1">
        <f t="shared" si="3"/>
        <v>43567</v>
      </c>
      <c r="B36" s="20">
        <v>2921.195652173913</v>
      </c>
      <c r="C36" s="20">
        <f t="shared" si="4"/>
        <v>1902.173913043478</v>
      </c>
      <c r="D36" s="21" t="str">
        <f t="shared" si="0"/>
        <v>190412</v>
      </c>
      <c r="E36" s="22">
        <f t="shared" si="5"/>
        <v>2.458612</v>
      </c>
      <c r="F36" s="9">
        <v>0</v>
      </c>
      <c r="G36" s="14">
        <f t="shared" si="1"/>
        <v>100.07422043102608</v>
      </c>
      <c r="H36" s="24">
        <f t="shared" si="6"/>
        <v>-39.045689739225509</v>
      </c>
      <c r="I36" s="20">
        <f t="shared" si="2"/>
        <v>1863.1282233042525</v>
      </c>
      <c r="J36" s="17">
        <f t="shared" si="7"/>
        <v>0.18631282233042526</v>
      </c>
    </row>
    <row r="37" spans="1:10" ht="12" customHeight="1" x14ac:dyDescent="0.3">
      <c r="A37" s="1">
        <f t="shared" si="3"/>
        <v>43570</v>
      </c>
      <c r="B37" s="20">
        <v>3125</v>
      </c>
      <c r="C37" s="20">
        <f t="shared" si="4"/>
        <v>2105.978260869565</v>
      </c>
      <c r="D37" s="21" t="str">
        <f t="shared" si="0"/>
        <v>190415</v>
      </c>
      <c r="E37" s="22">
        <f t="shared" si="5"/>
        <v>2.458612</v>
      </c>
      <c r="F37" s="9">
        <v>0</v>
      </c>
      <c r="G37" s="14">
        <f t="shared" si="1"/>
        <v>100.07382862377364</v>
      </c>
      <c r="H37" s="24">
        <f t="shared" si="6"/>
        <v>-42.963762263639182</v>
      </c>
      <c r="I37" s="20">
        <f t="shared" si="2"/>
        <v>2063.0144986059258</v>
      </c>
      <c r="J37" s="17">
        <f t="shared" si="7"/>
        <v>0.20630144986059257</v>
      </c>
    </row>
    <row r="38" spans="1:10" ht="12" customHeight="1" x14ac:dyDescent="0.3">
      <c r="A38" s="1">
        <f t="shared" si="3"/>
        <v>43571</v>
      </c>
      <c r="B38" s="20">
        <v>3192.9347826086964</v>
      </c>
      <c r="C38" s="20">
        <f t="shared" si="4"/>
        <v>2173.9130434782614</v>
      </c>
      <c r="D38" s="21" t="str">
        <f t="shared" si="0"/>
        <v>190416</v>
      </c>
      <c r="E38" s="22">
        <f t="shared" si="5"/>
        <v>2.458612</v>
      </c>
      <c r="F38" s="9">
        <v>0</v>
      </c>
      <c r="G38" s="14">
        <f t="shared" si="1"/>
        <v>100.07369894643399</v>
      </c>
      <c r="H38" s="24">
        <f t="shared" si="6"/>
        <v>-44.260535660072264</v>
      </c>
      <c r="I38" s="20">
        <f t="shared" si="2"/>
        <v>2129.6525078181894</v>
      </c>
      <c r="J38" s="17">
        <f t="shared" si="7"/>
        <v>0.21296525078181894</v>
      </c>
    </row>
    <row r="39" spans="1:10" ht="12" customHeight="1" x14ac:dyDescent="0.3">
      <c r="A39" s="1">
        <f t="shared" si="3"/>
        <v>43572</v>
      </c>
      <c r="B39" s="20">
        <v>3260.8695652173915</v>
      </c>
      <c r="C39" s="20">
        <f t="shared" si="4"/>
        <v>2241.8478260869565</v>
      </c>
      <c r="D39" s="21" t="str">
        <f t="shared" si="0"/>
        <v>190417</v>
      </c>
      <c r="E39" s="22">
        <f t="shared" si="5"/>
        <v>2.458612</v>
      </c>
      <c r="F39" s="9">
        <v>0</v>
      </c>
      <c r="G39" s="14">
        <f t="shared" si="1"/>
        <v>100.07356973168564</v>
      </c>
      <c r="H39" s="24">
        <f t="shared" si="6"/>
        <v>-45.552683143625927</v>
      </c>
      <c r="I39" s="20">
        <f t="shared" si="2"/>
        <v>2196.2951429433306</v>
      </c>
      <c r="J39" s="17">
        <f t="shared" si="7"/>
        <v>0.21962951429433303</v>
      </c>
    </row>
    <row r="40" spans="1:10" ht="12" customHeight="1" x14ac:dyDescent="0.3">
      <c r="A40" s="1">
        <f t="shared" si="3"/>
        <v>43573</v>
      </c>
      <c r="B40" s="20">
        <v>3328.804347826087</v>
      </c>
      <c r="C40" s="20">
        <f t="shared" si="4"/>
        <v>2309.782608695652</v>
      </c>
      <c r="D40" s="21" t="str">
        <f t="shared" si="0"/>
        <v>190418</v>
      </c>
      <c r="E40" s="22">
        <f t="shared" si="5"/>
        <v>2.458612</v>
      </c>
      <c r="F40" s="9">
        <v>0</v>
      </c>
      <c r="G40" s="14">
        <f t="shared" si="1"/>
        <v>100.07344097955995</v>
      </c>
      <c r="H40" s="24">
        <f t="shared" si="6"/>
        <v>-46.840204400524499</v>
      </c>
      <c r="I40" s="20">
        <f t="shared" si="2"/>
        <v>2262.9424042951277</v>
      </c>
      <c r="J40" s="17">
        <f t="shared" si="7"/>
        <v>0.22629424042951277</v>
      </c>
    </row>
    <row r="41" spans="1:10" ht="12" customHeight="1" x14ac:dyDescent="0.3">
      <c r="A41" s="1">
        <f t="shared" si="3"/>
        <v>43574</v>
      </c>
      <c r="B41" s="20">
        <v>3396.7391304347825</v>
      </c>
      <c r="C41" s="20">
        <f t="shared" si="4"/>
        <v>2377.7173913043475</v>
      </c>
      <c r="D41" s="21" t="str">
        <f t="shared" si="0"/>
        <v>190419</v>
      </c>
      <c r="E41" s="22">
        <f t="shared" si="5"/>
        <v>2.458612</v>
      </c>
      <c r="F41" s="9">
        <v>0</v>
      </c>
      <c r="G41" s="14">
        <f t="shared" si="1"/>
        <v>100.07331269008829</v>
      </c>
      <c r="H41" s="24">
        <f t="shared" si="6"/>
        <v>-48.123099117134416</v>
      </c>
      <c r="I41" s="20">
        <f t="shared" si="2"/>
        <v>2329.5942921872129</v>
      </c>
      <c r="J41" s="17">
        <f t="shared" si="7"/>
        <v>0.23295942921872126</v>
      </c>
    </row>
    <row r="42" spans="1:10" ht="12" customHeight="1" x14ac:dyDescent="0.3">
      <c r="A42" s="1">
        <f t="shared" si="3"/>
        <v>43577</v>
      </c>
      <c r="B42" s="20">
        <v>3600.54347826087</v>
      </c>
      <c r="C42" s="20">
        <f t="shared" si="4"/>
        <v>2581.521739130435</v>
      </c>
      <c r="D42" s="21" t="str">
        <f t="shared" si="0"/>
        <v>190422</v>
      </c>
      <c r="E42" s="22">
        <f t="shared" si="5"/>
        <v>2.458612</v>
      </c>
      <c r="F42" s="9">
        <v>0</v>
      </c>
      <c r="G42" s="14">
        <f t="shared" si="1"/>
        <v>100.07293059791182</v>
      </c>
      <c r="H42" s="24">
        <f t="shared" si="6"/>
        <v>-51.944020881791175</v>
      </c>
      <c r="I42" s="20">
        <f t="shared" si="2"/>
        <v>2529.5777182486436</v>
      </c>
      <c r="J42" s="17">
        <f t="shared" si="7"/>
        <v>0.25295777182486434</v>
      </c>
    </row>
    <row r="43" spans="1:10" ht="12" customHeight="1" x14ac:dyDescent="0.3">
      <c r="A43" s="1">
        <f t="shared" si="3"/>
        <v>43578</v>
      </c>
      <c r="B43" s="20">
        <v>3668.4782608695655</v>
      </c>
      <c r="C43" s="20">
        <f t="shared" si="4"/>
        <v>2649.4565217391305</v>
      </c>
      <c r="D43" s="21" t="str">
        <f t="shared" si="0"/>
        <v>190423</v>
      </c>
      <c r="E43" s="22">
        <f t="shared" si="5"/>
        <v>2.458612</v>
      </c>
      <c r="F43" s="9">
        <v>0</v>
      </c>
      <c r="G43" s="14">
        <f t="shared" si="1"/>
        <v>100.07280415937053</v>
      </c>
      <c r="H43" s="24">
        <f t="shared" si="6"/>
        <v>-53.208406294658062</v>
      </c>
      <c r="I43" s="20">
        <f t="shared" si="2"/>
        <v>2596.2481154444722</v>
      </c>
      <c r="J43" s="17">
        <f t="shared" si="7"/>
        <v>0.25962481154444722</v>
      </c>
    </row>
    <row r="44" spans="1:10" ht="12" customHeight="1" x14ac:dyDescent="0.3">
      <c r="A44" s="1">
        <f t="shared" si="3"/>
        <v>43579</v>
      </c>
      <c r="B44" s="20">
        <v>3736.4130434782605</v>
      </c>
      <c r="C44" s="20">
        <f t="shared" si="4"/>
        <v>2717.3913043478256</v>
      </c>
      <c r="D44" s="21" t="str">
        <f t="shared" si="0"/>
        <v>190424</v>
      </c>
      <c r="E44" s="22">
        <f t="shared" si="5"/>
        <v>2.458612</v>
      </c>
      <c r="F44" s="9">
        <v>0</v>
      </c>
      <c r="G44" s="14">
        <f t="shared" si="1"/>
        <v>100.07267818364032</v>
      </c>
      <c r="H44" s="24">
        <f t="shared" si="6"/>
        <v>-54.468163596794739</v>
      </c>
      <c r="I44" s="20">
        <f t="shared" si="2"/>
        <v>2662.9231407510306</v>
      </c>
      <c r="J44" s="17">
        <f t="shared" si="7"/>
        <v>0.26629231407510306</v>
      </c>
    </row>
    <row r="45" spans="1:10" ht="12" customHeight="1" x14ac:dyDescent="0.3">
      <c r="A45" s="1">
        <f t="shared" si="3"/>
        <v>43580</v>
      </c>
      <c r="B45" s="20">
        <v>3804.347826086957</v>
      </c>
      <c r="C45" s="20">
        <f t="shared" si="4"/>
        <v>2785.326086956522</v>
      </c>
      <c r="D45" s="21" t="str">
        <f t="shared" si="0"/>
        <v>190425</v>
      </c>
      <c r="E45" s="22">
        <f t="shared" si="5"/>
        <v>2.458612</v>
      </c>
      <c r="F45" s="9">
        <v>0</v>
      </c>
      <c r="G45" s="14">
        <f t="shared" si="1"/>
        <v>100.07255267075267</v>
      </c>
      <c r="H45" s="24">
        <f t="shared" si="6"/>
        <v>-55.723292473288666</v>
      </c>
      <c r="I45" s="20">
        <f t="shared" si="2"/>
        <v>2729.6027944832331</v>
      </c>
      <c r="J45" s="17">
        <f t="shared" si="7"/>
        <v>0.2729602794483233</v>
      </c>
    </row>
    <row r="46" spans="1:10" ht="12" customHeight="1" x14ac:dyDescent="0.3">
      <c r="A46" s="1">
        <f t="shared" si="3"/>
        <v>43581</v>
      </c>
      <c r="B46" s="20">
        <v>3872.282608695652</v>
      </c>
      <c r="C46" s="20">
        <f t="shared" si="4"/>
        <v>2853.260869565217</v>
      </c>
      <c r="D46" s="21" t="str">
        <f t="shared" si="0"/>
        <v>190426</v>
      </c>
      <c r="E46" s="22">
        <f t="shared" si="5"/>
        <v>2.458612</v>
      </c>
      <c r="F46" s="9">
        <v>0</v>
      </c>
      <c r="G46" s="14">
        <f t="shared" si="1"/>
        <v>100.07242762073894</v>
      </c>
      <c r="H46" s="24">
        <f t="shared" si="6"/>
        <v>-56.973792610648388</v>
      </c>
      <c r="I46" s="20">
        <f t="shared" si="2"/>
        <v>2796.2870769545689</v>
      </c>
      <c r="J46" s="17">
        <f t="shared" si="7"/>
        <v>0.27962870769545689</v>
      </c>
    </row>
    <row r="47" spans="1:10" ht="12" customHeight="1" x14ac:dyDescent="0.3">
      <c r="A47" s="1">
        <f t="shared" si="3"/>
        <v>43584</v>
      </c>
      <c r="B47" s="20">
        <v>4076.0869565217395</v>
      </c>
      <c r="C47" s="20">
        <f t="shared" si="4"/>
        <v>3057.0652173913045</v>
      </c>
      <c r="D47" s="21" t="str">
        <f t="shared" si="0"/>
        <v>190429</v>
      </c>
      <c r="E47" s="22">
        <f t="shared" si="5"/>
        <v>2.458612</v>
      </c>
      <c r="F47" s="9">
        <v>0</v>
      </c>
      <c r="G47" s="14">
        <f t="shared" si="1"/>
        <v>100.07205524825564</v>
      </c>
      <c r="H47" s="24">
        <f t="shared" si="6"/>
        <v>-60.697517443628612</v>
      </c>
      <c r="I47" s="20">
        <f t="shared" si="2"/>
        <v>2996.3676999476756</v>
      </c>
      <c r="J47" s="17">
        <f t="shared" si="7"/>
        <v>0.29963676999476757</v>
      </c>
    </row>
    <row r="48" spans="1:10" ht="12" customHeight="1" x14ac:dyDescent="0.3">
      <c r="A48" s="1">
        <f t="shared" si="3"/>
        <v>43585</v>
      </c>
      <c r="B48" s="20">
        <v>4144.021739130435</v>
      </c>
      <c r="C48" s="20">
        <f t="shared" si="4"/>
        <v>3125</v>
      </c>
      <c r="D48" s="21" t="str">
        <f t="shared" si="0"/>
        <v>190430</v>
      </c>
      <c r="E48" s="22">
        <f t="shared" si="5"/>
        <v>2.458612</v>
      </c>
      <c r="F48" s="9">
        <v>0</v>
      </c>
      <c r="G48" s="14">
        <f t="shared" si="1"/>
        <v>100.07193205005194</v>
      </c>
      <c r="H48" s="24">
        <f t="shared" si="6"/>
        <v>-61.929499480584127</v>
      </c>
      <c r="I48" s="20">
        <f t="shared" si="2"/>
        <v>3063.0705005194159</v>
      </c>
      <c r="J48" s="17">
        <f t="shared" si="7"/>
        <v>0.30630705005194159</v>
      </c>
    </row>
    <row r="49" spans="1:10" ht="12" customHeight="1" x14ac:dyDescent="0.3">
      <c r="A49" s="1">
        <f t="shared" si="3"/>
        <v>43586</v>
      </c>
      <c r="B49" s="20">
        <v>4211.95652173913</v>
      </c>
      <c r="C49" s="20">
        <f t="shared" si="4"/>
        <v>3192.9347826086951</v>
      </c>
      <c r="D49" s="21" t="str">
        <f t="shared" si="0"/>
        <v>190501</v>
      </c>
      <c r="E49" s="22">
        <f t="shared" si="5"/>
        <v>2.458612</v>
      </c>
      <c r="F49" s="9">
        <v>0</v>
      </c>
      <c r="G49" s="14">
        <f t="shared" si="1"/>
        <v>100.0718093148793</v>
      </c>
      <c r="H49" s="24">
        <f t="shared" si="6"/>
        <v>-63.156851206969122</v>
      </c>
      <c r="I49" s="20">
        <f t="shared" si="2"/>
        <v>3129.7779314017262</v>
      </c>
      <c r="J49" s="17">
        <f t="shared" si="7"/>
        <v>0.3129777931401726</v>
      </c>
    </row>
    <row r="50" spans="1:10" ht="12" customHeight="1" x14ac:dyDescent="0.3">
      <c r="A50" s="1">
        <f t="shared" si="3"/>
        <v>43587</v>
      </c>
      <c r="B50" s="20">
        <v>4279.8913043478269</v>
      </c>
      <c r="C50" s="20">
        <f t="shared" si="4"/>
        <v>3260.8695652173919</v>
      </c>
      <c r="D50" s="21" t="str">
        <f t="shared" si="0"/>
        <v>190502</v>
      </c>
      <c r="E50" s="22">
        <f t="shared" si="5"/>
        <v>2.458612</v>
      </c>
      <c r="F50" s="9">
        <v>0</v>
      </c>
      <c r="G50" s="14">
        <f t="shared" si="1"/>
        <v>100.07168704276916</v>
      </c>
      <c r="H50" s="24">
        <f t="shared" si="6"/>
        <v>-64.379572308439492</v>
      </c>
      <c r="I50" s="20">
        <f t="shared" si="2"/>
        <v>3196.4899929089524</v>
      </c>
      <c r="J50" s="17">
        <f t="shared" si="7"/>
        <v>0.31964899929089524</v>
      </c>
    </row>
    <row r="51" spans="1:10" ht="12" customHeight="1" x14ac:dyDescent="0.3">
      <c r="A51" s="1">
        <f t="shared" si="3"/>
        <v>43588</v>
      </c>
      <c r="B51" s="20">
        <v>4347.826086956522</v>
      </c>
      <c r="C51" s="20">
        <f t="shared" si="4"/>
        <v>3328.804347826087</v>
      </c>
      <c r="D51" s="21" t="str">
        <f t="shared" si="0"/>
        <v>190503</v>
      </c>
      <c r="E51" s="22">
        <f t="shared" si="5"/>
        <v>2.458612</v>
      </c>
      <c r="F51" s="9">
        <v>0</v>
      </c>
      <c r="G51" s="14">
        <f t="shared" si="1"/>
        <v>100.07156523375293</v>
      </c>
      <c r="H51" s="24">
        <f t="shared" si="6"/>
        <v>-65.59766247065113</v>
      </c>
      <c r="I51" s="20">
        <f t="shared" si="2"/>
        <v>3263.2066853554361</v>
      </c>
      <c r="J51" s="17">
        <f t="shared" si="7"/>
        <v>0.32632066853554365</v>
      </c>
    </row>
    <row r="52" spans="1:10" ht="12" customHeight="1" x14ac:dyDescent="0.3">
      <c r="A52" s="1">
        <f t="shared" si="3"/>
        <v>43591</v>
      </c>
      <c r="B52" s="20">
        <v>4551.630434782609</v>
      </c>
      <c r="C52" s="20">
        <f t="shared" si="4"/>
        <v>3532.608695652174</v>
      </c>
      <c r="D52" s="21" t="str">
        <f t="shared" si="0"/>
        <v>190506</v>
      </c>
      <c r="E52" s="22">
        <f t="shared" si="5"/>
        <v>2.458612</v>
      </c>
      <c r="F52" s="9">
        <v>0</v>
      </c>
      <c r="G52" s="14">
        <f t="shared" si="1"/>
        <v>100.07120258558226</v>
      </c>
      <c r="H52" s="24">
        <f t="shared" si="6"/>
        <v>-69.224144177439939</v>
      </c>
      <c r="I52" s="20">
        <f t="shared" si="2"/>
        <v>3463.3845514747341</v>
      </c>
      <c r="J52" s="17">
        <f t="shared" si="7"/>
        <v>0.34633845514747341</v>
      </c>
    </row>
    <row r="53" spans="1:10" ht="12" customHeight="1" x14ac:dyDescent="0.3">
      <c r="A53" s="1">
        <f t="shared" si="3"/>
        <v>43592</v>
      </c>
      <c r="B53" s="20">
        <v>4619.565217391304</v>
      </c>
      <c r="C53" s="20">
        <f t="shared" si="4"/>
        <v>3600.5434782608691</v>
      </c>
      <c r="D53" s="21" t="str">
        <f t="shared" si="0"/>
        <v>190507</v>
      </c>
      <c r="E53" s="22">
        <f t="shared" si="5"/>
        <v>2.458612</v>
      </c>
      <c r="F53" s="9">
        <v>0</v>
      </c>
      <c r="G53" s="14">
        <f t="shared" si="1"/>
        <v>100.07108262925614</v>
      </c>
      <c r="H53" s="24">
        <f t="shared" si="6"/>
        <v>-70.423707438607153</v>
      </c>
      <c r="I53" s="20">
        <f t="shared" si="2"/>
        <v>3530.1197708222617</v>
      </c>
      <c r="J53" s="17">
        <f t="shared" si="7"/>
        <v>0.3530119770822262</v>
      </c>
    </row>
    <row r="54" spans="1:10" ht="12" customHeight="1" x14ac:dyDescent="0.3">
      <c r="A54" s="1">
        <f t="shared" si="3"/>
        <v>43593</v>
      </c>
      <c r="B54" s="20">
        <v>4687.5</v>
      </c>
      <c r="C54" s="20">
        <f t="shared" si="4"/>
        <v>3668.478260869565</v>
      </c>
      <c r="D54" s="21" t="str">
        <f t="shared" si="0"/>
        <v>190508</v>
      </c>
      <c r="E54" s="22">
        <f t="shared" si="5"/>
        <v>2.458612</v>
      </c>
      <c r="F54" s="9">
        <v>0</v>
      </c>
      <c r="G54" s="14">
        <f t="shared" si="1"/>
        <v>100.07096313618115</v>
      </c>
      <c r="H54" s="24">
        <f t="shared" si="6"/>
        <v>-71.618638188510886</v>
      </c>
      <c r="I54" s="20">
        <f t="shared" si="2"/>
        <v>3596.8596226810541</v>
      </c>
      <c r="J54" s="17">
        <f t="shared" si="7"/>
        <v>0.35968596226810545</v>
      </c>
    </row>
    <row r="55" spans="1:10" ht="12" customHeight="1" x14ac:dyDescent="0.3">
      <c r="A55" s="1">
        <f t="shared" si="3"/>
        <v>43594</v>
      </c>
      <c r="B55" s="20">
        <v>4755.434782608696</v>
      </c>
      <c r="C55" s="20">
        <f t="shared" si="4"/>
        <v>3736.413043478261</v>
      </c>
      <c r="D55" s="21" t="str">
        <f t="shared" si="0"/>
        <v>190509</v>
      </c>
      <c r="E55" s="22">
        <f t="shared" si="5"/>
        <v>2.458612</v>
      </c>
      <c r="F55" s="9">
        <v>0</v>
      </c>
      <c r="G55" s="14">
        <f t="shared" si="1"/>
        <v>100.07084410638875</v>
      </c>
      <c r="H55" s="24">
        <f t="shared" si="6"/>
        <v>-72.808936112522815</v>
      </c>
      <c r="I55" s="20">
        <f t="shared" si="2"/>
        <v>3663.6041073657379</v>
      </c>
      <c r="J55" s="17">
        <f t="shared" si="7"/>
        <v>0.36636041073657377</v>
      </c>
    </row>
    <row r="56" spans="1:10" ht="12" customHeight="1" x14ac:dyDescent="0.3">
      <c r="A56" s="1">
        <f t="shared" si="3"/>
        <v>43595</v>
      </c>
      <c r="B56" s="20">
        <v>4823.369565217391</v>
      </c>
      <c r="C56" s="20">
        <f t="shared" si="4"/>
        <v>3804.347826086956</v>
      </c>
      <c r="D56" s="21" t="str">
        <f t="shared" si="0"/>
        <v>190510</v>
      </c>
      <c r="E56" s="22">
        <f t="shared" si="5"/>
        <v>2.458612</v>
      </c>
      <c r="F56" s="9">
        <v>0</v>
      </c>
      <c r="G56" s="14">
        <f t="shared" si="1"/>
        <v>100.07072553991037</v>
      </c>
      <c r="H56" s="24">
        <f t="shared" si="6"/>
        <v>-73.994600896298834</v>
      </c>
      <c r="I56" s="20">
        <f t="shared" si="2"/>
        <v>3730.3532251906572</v>
      </c>
      <c r="J56" s="17">
        <f t="shared" si="7"/>
        <v>0.37303532251906574</v>
      </c>
    </row>
    <row r="57" spans="1:10" ht="12" customHeight="1" x14ac:dyDescent="0.3">
      <c r="A57" s="1">
        <f t="shared" si="3"/>
        <v>43598</v>
      </c>
      <c r="B57" s="20">
        <v>5027.1739130434789</v>
      </c>
      <c r="C57" s="20">
        <f t="shared" si="4"/>
        <v>4008.152173913044</v>
      </c>
      <c r="D57" s="21" t="str">
        <f t="shared" si="0"/>
        <v>190513</v>
      </c>
      <c r="E57" s="22">
        <f t="shared" si="5"/>
        <v>2.458612</v>
      </c>
      <c r="F57" s="9">
        <v>0</v>
      </c>
      <c r="G57" s="14">
        <f t="shared" si="1"/>
        <v>100.07037262067385</v>
      </c>
      <c r="H57" s="24">
        <f t="shared" si="6"/>
        <v>-77.523793261491392</v>
      </c>
      <c r="I57" s="20">
        <f t="shared" si="2"/>
        <v>3930.6283806515526</v>
      </c>
      <c r="J57" s="17">
        <f t="shared" si="7"/>
        <v>0.39306283806515524</v>
      </c>
    </row>
    <row r="58" spans="1:10" ht="12" customHeight="1" x14ac:dyDescent="0.3">
      <c r="A58" s="1">
        <f t="shared" si="3"/>
        <v>43599</v>
      </c>
      <c r="B58" s="20">
        <v>5095.108695652174</v>
      </c>
      <c r="C58" s="20">
        <f t="shared" si="4"/>
        <v>4076.086956521739</v>
      </c>
      <c r="D58" s="21" t="str">
        <f t="shared" si="0"/>
        <v>190514</v>
      </c>
      <c r="E58" s="22">
        <f t="shared" si="5"/>
        <v>2.458612</v>
      </c>
      <c r="F58" s="9">
        <v>0</v>
      </c>
      <c r="G58" s="14">
        <f t="shared" si="1"/>
        <v>100.07025590776611</v>
      </c>
      <c r="H58" s="24">
        <f t="shared" si="6"/>
        <v>-78.690922338893188</v>
      </c>
      <c r="I58" s="20">
        <f t="shared" si="2"/>
        <v>3997.3960341828461</v>
      </c>
      <c r="J58" s="17">
        <f t="shared" si="7"/>
        <v>0.39973960341828463</v>
      </c>
    </row>
    <row r="59" spans="1:10" ht="12" customHeight="1" x14ac:dyDescent="0.3">
      <c r="A59" s="1">
        <f t="shared" si="3"/>
        <v>43600</v>
      </c>
      <c r="B59" s="20">
        <v>5163.0434782608691</v>
      </c>
      <c r="C59" s="20">
        <f t="shared" si="4"/>
        <v>4144.0217391304341</v>
      </c>
      <c r="D59" s="21" t="str">
        <f t="shared" si="0"/>
        <v>190515</v>
      </c>
      <c r="E59" s="22">
        <f t="shared" si="5"/>
        <v>2.458612</v>
      </c>
      <c r="F59" s="9">
        <v>0</v>
      </c>
      <c r="G59" s="14">
        <f t="shared" si="1"/>
        <v>100.07013965832961</v>
      </c>
      <c r="H59" s="24">
        <f t="shared" si="6"/>
        <v>-79.853416703912217</v>
      </c>
      <c r="I59" s="20">
        <f t="shared" si="2"/>
        <v>4064.1683224265216</v>
      </c>
      <c r="J59" s="17">
        <f t="shared" si="7"/>
        <v>0.40641683224265213</v>
      </c>
    </row>
    <row r="60" spans="1:10" ht="12" customHeight="1" x14ac:dyDescent="0.3">
      <c r="A60" s="1">
        <f t="shared" si="3"/>
        <v>43601</v>
      </c>
      <c r="B60" s="20">
        <v>5230.978260869565</v>
      </c>
      <c r="C60" s="20">
        <f t="shared" si="4"/>
        <v>4211.95652173913</v>
      </c>
      <c r="D60" s="21" t="str">
        <f t="shared" si="0"/>
        <v>190516</v>
      </c>
      <c r="E60" s="22">
        <f t="shared" si="5"/>
        <v>2.458612</v>
      </c>
      <c r="F60" s="9">
        <v>0</v>
      </c>
      <c r="G60" s="14">
        <f t="shared" si="1"/>
        <v>100.07002387239589</v>
      </c>
      <c r="H60" s="24">
        <f t="shared" si="6"/>
        <v>-81.011276041067504</v>
      </c>
      <c r="I60" s="20">
        <f t="shared" si="2"/>
        <v>4130.9452456980625</v>
      </c>
      <c r="J60" s="17">
        <f t="shared" si="7"/>
        <v>0.41309452456980622</v>
      </c>
    </row>
    <row r="61" spans="1:10" ht="12" customHeight="1" x14ac:dyDescent="0.3">
      <c r="A61" s="1">
        <f t="shared" si="3"/>
        <v>43602</v>
      </c>
      <c r="B61" s="20">
        <v>5298.9130434782601</v>
      </c>
      <c r="C61" s="20">
        <f t="shared" si="4"/>
        <v>4279.8913043478251</v>
      </c>
      <c r="D61" s="21" t="str">
        <f t="shared" si="0"/>
        <v>190517</v>
      </c>
      <c r="E61" s="22">
        <f t="shared" si="5"/>
        <v>2.458612</v>
      </c>
      <c r="F61" s="9">
        <v>0</v>
      </c>
      <c r="G61" s="14">
        <f t="shared" si="1"/>
        <v>100.06990854999638</v>
      </c>
      <c r="H61" s="24">
        <f t="shared" si="6"/>
        <v>-82.164500036157037</v>
      </c>
      <c r="I61" s="20">
        <f t="shared" si="2"/>
        <v>4197.7268043116683</v>
      </c>
      <c r="J61" s="17">
        <f t="shared" si="7"/>
        <v>0.41977268043116683</v>
      </c>
    </row>
    <row r="62" spans="1:10" ht="12" customHeight="1" x14ac:dyDescent="0.3">
      <c r="A62" s="1">
        <f t="shared" si="3"/>
        <v>43605</v>
      </c>
      <c r="B62" s="20">
        <v>5502.717391304348</v>
      </c>
      <c r="C62" s="20">
        <f t="shared" si="4"/>
        <v>4483.695652173913</v>
      </c>
      <c r="D62" s="21" t="str">
        <f t="shared" si="0"/>
        <v>190520</v>
      </c>
      <c r="E62" s="22">
        <f t="shared" si="5"/>
        <v>2.458612</v>
      </c>
      <c r="F62" s="9">
        <v>0</v>
      </c>
      <c r="G62" s="14">
        <f t="shared" si="1"/>
        <v>100.06956536431787</v>
      </c>
      <c r="H62" s="24">
        <f t="shared" si="6"/>
        <v>-85.596356821326935</v>
      </c>
      <c r="I62" s="20">
        <f t="shared" si="2"/>
        <v>4398.0992953525856</v>
      </c>
      <c r="J62" s="17">
        <f t="shared" si="7"/>
        <v>0.43980992953525855</v>
      </c>
    </row>
    <row r="63" spans="1:10" ht="12" customHeight="1" x14ac:dyDescent="0.3">
      <c r="A63" s="1">
        <f t="shared" si="3"/>
        <v>43606</v>
      </c>
      <c r="B63" s="20">
        <v>5570.652173913043</v>
      </c>
      <c r="C63" s="20">
        <f t="shared" si="4"/>
        <v>4551.6304347826081</v>
      </c>
      <c r="D63" s="21" t="str">
        <f t="shared" si="0"/>
        <v>190521</v>
      </c>
      <c r="E63" s="22">
        <f t="shared" si="5"/>
        <v>2.458612</v>
      </c>
      <c r="F63" s="9">
        <v>0</v>
      </c>
      <c r="G63" s="14">
        <f t="shared" si="1"/>
        <v>100.06945189636991</v>
      </c>
      <c r="H63" s="24">
        <f t="shared" si="6"/>
        <v>-86.73103630087553</v>
      </c>
      <c r="I63" s="20">
        <f t="shared" si="2"/>
        <v>4464.8993984817325</v>
      </c>
      <c r="J63" s="17">
        <f t="shared" si="7"/>
        <v>0.44648993984817326</v>
      </c>
    </row>
    <row r="64" spans="1:10" ht="12" customHeight="1" x14ac:dyDescent="0.3">
      <c r="A64" s="1">
        <f t="shared" si="3"/>
        <v>43607</v>
      </c>
      <c r="B64" s="20">
        <v>5638.5869565217399</v>
      </c>
      <c r="C64" s="20">
        <f t="shared" si="4"/>
        <v>4619.5652173913049</v>
      </c>
      <c r="D64" s="21" t="str">
        <f t="shared" si="0"/>
        <v>190522</v>
      </c>
      <c r="E64" s="22">
        <f t="shared" si="5"/>
        <v>2.458612</v>
      </c>
      <c r="F64" s="9">
        <v>0</v>
      </c>
      <c r="G64" s="14">
        <f t="shared" si="1"/>
        <v>100.06933889211354</v>
      </c>
      <c r="H64" s="24">
        <f t="shared" si="6"/>
        <v>-87.861078864648334</v>
      </c>
      <c r="I64" s="20">
        <f t="shared" si="2"/>
        <v>4531.7041385266566</v>
      </c>
      <c r="J64" s="17">
        <f t="shared" si="7"/>
        <v>0.45317041385266565</v>
      </c>
    </row>
    <row r="65" spans="1:10" ht="12" customHeight="1" x14ac:dyDescent="0.3">
      <c r="A65" s="1">
        <f t="shared" si="3"/>
        <v>43608</v>
      </c>
      <c r="B65" s="20">
        <v>5706.521739130435</v>
      </c>
      <c r="C65" s="20">
        <f t="shared" si="4"/>
        <v>4687.5</v>
      </c>
      <c r="D65" s="21" t="str">
        <f t="shared" si="0"/>
        <v>190523</v>
      </c>
      <c r="E65" s="22">
        <f t="shared" si="5"/>
        <v>2.458612</v>
      </c>
      <c r="F65" s="9">
        <v>0</v>
      </c>
      <c r="G65" s="14">
        <f t="shared" si="1"/>
        <v>100.06922635158018</v>
      </c>
      <c r="H65" s="24">
        <f t="shared" si="6"/>
        <v>-88.986484198159118</v>
      </c>
      <c r="I65" s="20">
        <f t="shared" si="2"/>
        <v>4598.5135158018411</v>
      </c>
      <c r="J65" s="17">
        <f t="shared" si="7"/>
        <v>0.45985135158018409</v>
      </c>
    </row>
    <row r="66" spans="1:10" ht="12" customHeight="1" x14ac:dyDescent="0.3">
      <c r="A66" s="1">
        <f t="shared" si="3"/>
        <v>43609</v>
      </c>
      <c r="B66" s="20">
        <v>5774.4565217391309</v>
      </c>
      <c r="C66" s="20">
        <f t="shared" si="4"/>
        <v>4755.434782608696</v>
      </c>
      <c r="D66" s="21" t="str">
        <f t="shared" si="0"/>
        <v>190524</v>
      </c>
      <c r="E66" s="22">
        <f t="shared" si="5"/>
        <v>2.458612</v>
      </c>
      <c r="F66" s="9">
        <v>0</v>
      </c>
      <c r="G66" s="14">
        <f t="shared" si="1"/>
        <v>100.06911427480136</v>
      </c>
      <c r="H66" s="24">
        <f t="shared" si="6"/>
        <v>-90.107251986353276</v>
      </c>
      <c r="I66" s="20">
        <f t="shared" si="2"/>
        <v>4665.3275306223422</v>
      </c>
      <c r="J66" s="17">
        <f t="shared" si="7"/>
        <v>0.46653275306223424</v>
      </c>
    </row>
    <row r="67" spans="1:10" ht="12" customHeight="1" x14ac:dyDescent="0.3">
      <c r="A67" s="1">
        <f t="shared" si="3"/>
        <v>43612</v>
      </c>
      <c r="B67" s="20">
        <v>5978.260869565217</v>
      </c>
      <c r="C67" s="20">
        <f t="shared" si="4"/>
        <v>4959.2391304347821</v>
      </c>
      <c r="D67" s="21" t="str">
        <f t="shared" si="0"/>
        <v>190527</v>
      </c>
      <c r="E67" s="22">
        <f t="shared" si="5"/>
        <v>2.458612</v>
      </c>
      <c r="F67" s="9">
        <v>0</v>
      </c>
      <c r="G67" s="14">
        <f t="shared" si="1"/>
        <v>100.06878082730677</v>
      </c>
      <c r="H67" s="24">
        <f t="shared" si="6"/>
        <v>-93.441726932326219</v>
      </c>
      <c r="I67" s="20">
        <f t="shared" si="2"/>
        <v>4865.7974035024563</v>
      </c>
      <c r="J67" s="17">
        <f t="shared" si="7"/>
        <v>0.48657974035024559</v>
      </c>
    </row>
    <row r="68" spans="1:10" ht="12" customHeight="1" x14ac:dyDescent="0.3">
      <c r="A68" s="1">
        <f t="shared" si="3"/>
        <v>43613</v>
      </c>
      <c r="B68" s="20">
        <v>6046.1956521739121</v>
      </c>
      <c r="C68" s="20">
        <f t="shared" si="4"/>
        <v>5027.1739130434771</v>
      </c>
      <c r="D68" s="21" t="str">
        <f t="shared" si="0"/>
        <v>190528</v>
      </c>
      <c r="E68" s="22">
        <f t="shared" si="5"/>
        <v>2.458612</v>
      </c>
      <c r="F68" s="9">
        <v>0</v>
      </c>
      <c r="G68" s="14">
        <f t="shared" si="1"/>
        <v>100.06867060586085</v>
      </c>
      <c r="H68" s="24">
        <f t="shared" si="6"/>
        <v>-94.54394139154941</v>
      </c>
      <c r="I68" s="20">
        <f t="shared" si="2"/>
        <v>4932.6299716519279</v>
      </c>
      <c r="J68" s="17">
        <f t="shared" si="7"/>
        <v>0.49326299716519284</v>
      </c>
    </row>
    <row r="69" spans="1:10" ht="12" customHeight="1" x14ac:dyDescent="0.3">
      <c r="A69" s="1">
        <f t="shared" si="3"/>
        <v>43614</v>
      </c>
      <c r="B69" s="20">
        <v>6114.130434782609</v>
      </c>
      <c r="C69" s="20">
        <f t="shared" si="4"/>
        <v>5095.108695652174</v>
      </c>
      <c r="D69" s="21" t="str">
        <f t="shared" si="0"/>
        <v>190529</v>
      </c>
      <c r="E69" s="22">
        <f t="shared" si="5"/>
        <v>2.458612</v>
      </c>
      <c r="F69" s="9">
        <v>0</v>
      </c>
      <c r="G69" s="14">
        <f t="shared" si="1"/>
        <v>100.06856084832687</v>
      </c>
      <c r="H69" s="24">
        <f t="shared" si="6"/>
        <v>-95.641516731319612</v>
      </c>
      <c r="I69" s="20">
        <f t="shared" si="2"/>
        <v>4999.4671789208542</v>
      </c>
      <c r="J69" s="17">
        <f t="shared" si="7"/>
        <v>0.49994671789208545</v>
      </c>
    </row>
    <row r="70" spans="1:10" ht="12" customHeight="1" x14ac:dyDescent="0.3">
      <c r="A70" s="1">
        <f t="shared" si="3"/>
        <v>43615</v>
      </c>
      <c r="B70" s="20">
        <v>6182.065217391304</v>
      </c>
      <c r="C70" s="20">
        <f t="shared" si="4"/>
        <v>5163.0434782608691</v>
      </c>
      <c r="D70" s="21" t="str">
        <f t="shared" si="0"/>
        <v>190530</v>
      </c>
      <c r="E70" s="22">
        <f t="shared" si="5"/>
        <v>2.458612</v>
      </c>
      <c r="F70" s="9">
        <v>0</v>
      </c>
      <c r="G70" s="14">
        <f t="shared" si="1"/>
        <v>100.06845155473631</v>
      </c>
      <c r="H70" s="24">
        <f t="shared" si="6"/>
        <v>-96.734452636866294</v>
      </c>
      <c r="I70" s="20">
        <f t="shared" si="2"/>
        <v>5066.309025624003</v>
      </c>
      <c r="J70" s="17">
        <f t="shared" si="7"/>
        <v>0.50663090256240029</v>
      </c>
    </row>
    <row r="71" spans="1:10" ht="12" customHeight="1" x14ac:dyDescent="0.3">
      <c r="A71" s="1">
        <f t="shared" si="3"/>
        <v>43616</v>
      </c>
      <c r="B71" s="20">
        <v>6250</v>
      </c>
      <c r="C71" s="20">
        <f t="shared" si="4"/>
        <v>5230.978260869565</v>
      </c>
      <c r="D71" s="21" t="str">
        <f t="shared" si="0"/>
        <v>190531</v>
      </c>
      <c r="E71" s="22">
        <f t="shared" si="5"/>
        <v>2.458612</v>
      </c>
      <c r="F71" s="9">
        <v>0</v>
      </c>
      <c r="G71" s="14">
        <f t="shared" si="1"/>
        <v>100.06834272512067</v>
      </c>
      <c r="H71" s="24">
        <f t="shared" si="6"/>
        <v>-97.822748793277029</v>
      </c>
      <c r="I71" s="20">
        <f t="shared" si="2"/>
        <v>5133.1555120762878</v>
      </c>
      <c r="J71" s="17">
        <f t="shared" si="7"/>
        <v>0.51331555120762884</v>
      </c>
    </row>
    <row r="72" spans="1:10" ht="12" customHeight="1" x14ac:dyDescent="0.3">
      <c r="A72" s="1">
        <f t="shared" si="3"/>
        <v>43619</v>
      </c>
      <c r="B72" s="20">
        <v>6453.8043478260861</v>
      </c>
      <c r="C72" s="20">
        <f t="shared" si="4"/>
        <v>5434.7826086956511</v>
      </c>
      <c r="D72" s="21" t="str">
        <f t="shared" si="0"/>
        <v>190603</v>
      </c>
      <c r="E72" s="22">
        <f t="shared" si="5"/>
        <v>2.458612</v>
      </c>
      <c r="F72" s="9">
        <v>0</v>
      </c>
      <c r="G72" s="14">
        <f t="shared" si="1"/>
        <v>100.06801902043823</v>
      </c>
      <c r="H72" s="24">
        <f t="shared" si="6"/>
        <v>-101.05979561771507</v>
      </c>
      <c r="I72" s="20">
        <f t="shared" si="2"/>
        <v>5333.7228130779358</v>
      </c>
      <c r="J72" s="17">
        <f t="shared" si="7"/>
        <v>0.53337228130779357</v>
      </c>
    </row>
    <row r="73" spans="1:10" ht="12" customHeight="1" x14ac:dyDescent="0.3">
      <c r="A73" s="1">
        <f t="shared" si="3"/>
        <v>43620</v>
      </c>
      <c r="B73" s="20">
        <v>6521.739130434783</v>
      </c>
      <c r="C73" s="20">
        <f t="shared" si="4"/>
        <v>5502.717391304348</v>
      </c>
      <c r="D73" s="21" t="str">
        <f t="shared" si="0"/>
        <v>190604</v>
      </c>
      <c r="E73" s="22">
        <f t="shared" si="5"/>
        <v>2.458612</v>
      </c>
      <c r="F73" s="9">
        <v>0</v>
      </c>
      <c r="G73" s="14">
        <f t="shared" si="1"/>
        <v>100.06791204703728</v>
      </c>
      <c r="H73" s="24">
        <f t="shared" si="6"/>
        <v>-102.12952962717736</v>
      </c>
      <c r="I73" s="20">
        <f t="shared" si="2"/>
        <v>5400.5878616771706</v>
      </c>
      <c r="J73" s="17">
        <f t="shared" si="7"/>
        <v>0.54005878616771708</v>
      </c>
    </row>
    <row r="74" spans="1:10" ht="12" customHeight="1" x14ac:dyDescent="0.3">
      <c r="A74" s="1">
        <f t="shared" si="3"/>
        <v>43621</v>
      </c>
      <c r="B74" s="20">
        <v>6589.6739130434789</v>
      </c>
      <c r="C74" s="20">
        <f t="shared" si="4"/>
        <v>5570.652173913044</v>
      </c>
      <c r="D74" s="21" t="str">
        <f t="shared" si="0"/>
        <v>190605</v>
      </c>
      <c r="E74" s="22">
        <f t="shared" si="5"/>
        <v>2.458612</v>
      </c>
      <c r="F74" s="9">
        <v>0</v>
      </c>
      <c r="G74" s="14">
        <f t="shared" si="1"/>
        <v>100.06780553776871</v>
      </c>
      <c r="H74" s="24">
        <f t="shared" si="6"/>
        <v>-103.19462231294095</v>
      </c>
      <c r="I74" s="20">
        <f t="shared" si="2"/>
        <v>5467.4575516001032</v>
      </c>
      <c r="J74" s="17">
        <f t="shared" si="7"/>
        <v>0.54674575516001034</v>
      </c>
    </row>
    <row r="75" spans="1:10" ht="12" customHeight="1" x14ac:dyDescent="0.3">
      <c r="A75" s="1">
        <f t="shared" si="3"/>
        <v>43622</v>
      </c>
      <c r="B75" s="20">
        <v>6657.608695652174</v>
      </c>
      <c r="C75" s="20">
        <f t="shared" si="4"/>
        <v>5638.586956521739</v>
      </c>
      <c r="D75" s="21" t="str">
        <f t="shared" si="0"/>
        <v>190606</v>
      </c>
      <c r="E75" s="22">
        <f t="shared" si="5"/>
        <v>2.458612</v>
      </c>
      <c r="F75" s="9">
        <v>0</v>
      </c>
      <c r="G75" s="14">
        <f t="shared" si="1"/>
        <v>100.06769949266409</v>
      </c>
      <c r="H75" s="24">
        <f t="shared" si="6"/>
        <v>-104.25507335909857</v>
      </c>
      <c r="I75" s="20">
        <f t="shared" si="2"/>
        <v>5534.3318831626402</v>
      </c>
      <c r="J75" s="17">
        <f t="shared" si="7"/>
        <v>0.55343318831626398</v>
      </c>
    </row>
    <row r="76" spans="1:10" ht="12" customHeight="1" x14ac:dyDescent="0.3">
      <c r="A76" s="1">
        <f t="shared" si="3"/>
        <v>43623</v>
      </c>
      <c r="B76" s="20">
        <v>6725.5434782608691</v>
      </c>
      <c r="C76" s="20">
        <f t="shared" si="4"/>
        <v>5706.5217391304341</v>
      </c>
      <c r="D76" s="21" t="str">
        <f t="shared" si="0"/>
        <v>190607</v>
      </c>
      <c r="E76" s="22">
        <f t="shared" si="5"/>
        <v>2.458612</v>
      </c>
      <c r="F76" s="9">
        <v>0</v>
      </c>
      <c r="G76" s="14">
        <f t="shared" si="1"/>
        <v>100.0675939117549</v>
      </c>
      <c r="H76" s="24">
        <f t="shared" si="6"/>
        <v>-105.31088245102183</v>
      </c>
      <c r="I76" s="20">
        <f t="shared" si="2"/>
        <v>5601.2108566794122</v>
      </c>
      <c r="J76" s="17">
        <f t="shared" si="7"/>
        <v>0.56012108566794117</v>
      </c>
    </row>
    <row r="77" spans="1:10" ht="12" customHeight="1" x14ac:dyDescent="0.3">
      <c r="A77" s="1">
        <f t="shared" si="3"/>
        <v>43626</v>
      </c>
      <c r="B77" s="20">
        <v>6929.347826086957</v>
      </c>
      <c r="C77" s="20">
        <f t="shared" si="4"/>
        <v>5910.326086956522</v>
      </c>
      <c r="D77" s="21" t="str">
        <f t="shared" si="0"/>
        <v>190610</v>
      </c>
      <c r="E77" s="22">
        <f t="shared" si="5"/>
        <v>2.458612</v>
      </c>
      <c r="F77" s="9">
        <v>0</v>
      </c>
      <c r="G77" s="14">
        <f t="shared" si="1"/>
        <v>100.06727995451503</v>
      </c>
      <c r="H77" s="24">
        <f t="shared" si="6"/>
        <v>-108.4504548497023</v>
      </c>
      <c r="I77" s="20">
        <f t="shared" si="2"/>
        <v>5801.8756321068195</v>
      </c>
      <c r="J77" s="17">
        <f t="shared" si="7"/>
        <v>0.58018756321068199</v>
      </c>
    </row>
    <row r="78" spans="1:10" ht="12" customHeight="1" x14ac:dyDescent="0.3">
      <c r="A78" s="1">
        <f t="shared" si="3"/>
        <v>43627</v>
      </c>
      <c r="B78" s="20">
        <v>6997.2826086956529</v>
      </c>
      <c r="C78" s="20">
        <f t="shared" si="4"/>
        <v>5978.2608695652179</v>
      </c>
      <c r="D78" s="21" t="str">
        <f t="shared" si="0"/>
        <v>190611</v>
      </c>
      <c r="E78" s="22">
        <f t="shared" si="5"/>
        <v>2.458612</v>
      </c>
      <c r="F78" s="9">
        <v>0</v>
      </c>
      <c r="G78" s="14">
        <f t="shared" si="1"/>
        <v>100.06717623070267</v>
      </c>
      <c r="H78" s="24">
        <f t="shared" si="6"/>
        <v>-109.48769297328909</v>
      </c>
      <c r="I78" s="20">
        <f t="shared" si="2"/>
        <v>5868.7731765919289</v>
      </c>
      <c r="J78" s="17">
        <f t="shared" si="7"/>
        <v>0.58687731765919282</v>
      </c>
    </row>
    <row r="79" spans="1:10" ht="12" customHeight="1" x14ac:dyDescent="0.3">
      <c r="A79" s="1">
        <f t="shared" si="3"/>
        <v>43628</v>
      </c>
      <c r="B79" s="20">
        <v>7065.2173913043471</v>
      </c>
      <c r="C79" s="20">
        <f t="shared" si="4"/>
        <v>6046.1956521739121</v>
      </c>
      <c r="D79" s="21" t="str">
        <f t="shared" si="0"/>
        <v>190612</v>
      </c>
      <c r="E79" s="22">
        <f t="shared" si="5"/>
        <v>2.458612</v>
      </c>
      <c r="F79" s="9">
        <v>0</v>
      </c>
      <c r="G79" s="14">
        <f t="shared" si="1"/>
        <v>100.06707297124332</v>
      </c>
      <c r="H79" s="24">
        <f t="shared" si="6"/>
        <v>-110.52028756679989</v>
      </c>
      <c r="I79" s="20">
        <f t="shared" si="2"/>
        <v>5935.675364607112</v>
      </c>
      <c r="J79" s="17">
        <f t="shared" si="7"/>
        <v>0.59356753646071125</v>
      </c>
    </row>
    <row r="80" spans="1:10" ht="12" customHeight="1" x14ac:dyDescent="0.3">
      <c r="A80" s="1">
        <f t="shared" si="3"/>
        <v>43629</v>
      </c>
      <c r="B80" s="20">
        <v>7133.152173913043</v>
      </c>
      <c r="C80" s="20">
        <f t="shared" si="4"/>
        <v>6114.1304347826081</v>
      </c>
      <c r="D80" s="21" t="str">
        <f t="shared" si="0"/>
        <v>190613</v>
      </c>
      <c r="E80" s="22">
        <f t="shared" si="5"/>
        <v>2.458612</v>
      </c>
      <c r="F80" s="9">
        <v>0</v>
      </c>
      <c r="G80" s="14">
        <f t="shared" si="1"/>
        <v>100.06697017616852</v>
      </c>
      <c r="H80" s="24">
        <f t="shared" si="6"/>
        <v>-111.54823831475369</v>
      </c>
      <c r="I80" s="20">
        <f t="shared" si="2"/>
        <v>6002.5821964678544</v>
      </c>
      <c r="J80" s="17">
        <f t="shared" si="7"/>
        <v>0.60025821964678538</v>
      </c>
    </row>
    <row r="81" spans="1:10" ht="12" customHeight="1" x14ac:dyDescent="0.3">
      <c r="A81" s="1">
        <f t="shared" si="3"/>
        <v>43630</v>
      </c>
      <c r="B81" s="20">
        <v>7201.0869565217399</v>
      </c>
      <c r="C81" s="20">
        <f t="shared" si="4"/>
        <v>6182.0652173913049</v>
      </c>
      <c r="D81" s="21" t="str">
        <f t="shared" si="0"/>
        <v>190614</v>
      </c>
      <c r="E81" s="22">
        <f t="shared" si="5"/>
        <v>2.458612</v>
      </c>
      <c r="F81" s="9">
        <v>0</v>
      </c>
      <c r="G81" s="14">
        <f t="shared" si="1"/>
        <v>100.06686784550975</v>
      </c>
      <c r="H81" s="24">
        <f t="shared" si="6"/>
        <v>-112.57154490252218</v>
      </c>
      <c r="I81" s="20">
        <f t="shared" si="2"/>
        <v>6069.493672488783</v>
      </c>
      <c r="J81" s="17">
        <f t="shared" si="7"/>
        <v>0.60694936724887827</v>
      </c>
    </row>
    <row r="82" spans="1:10" ht="12" customHeight="1" x14ac:dyDescent="0.3">
      <c r="A82" s="1">
        <f t="shared" si="3"/>
        <v>43633</v>
      </c>
      <c r="B82" s="20">
        <v>7404.891304347826</v>
      </c>
      <c r="C82" s="20">
        <f t="shared" si="4"/>
        <v>6385.869565217391</v>
      </c>
      <c r="D82" s="21" t="str">
        <f t="shared" si="0"/>
        <v>190617</v>
      </c>
      <c r="E82" s="22">
        <f t="shared" si="5"/>
        <v>2.458612</v>
      </c>
      <c r="F82" s="9">
        <v>0</v>
      </c>
      <c r="G82" s="14">
        <f t="shared" si="1"/>
        <v>100.06656364034501</v>
      </c>
      <c r="H82" s="24">
        <f t="shared" si="6"/>
        <v>-115.61359654990611</v>
      </c>
      <c r="I82" s="20">
        <f t="shared" si="2"/>
        <v>6270.2559686674849</v>
      </c>
      <c r="J82" s="17">
        <f t="shared" si="7"/>
        <v>0.62702559686674841</v>
      </c>
    </row>
    <row r="83" spans="1:10" ht="12" customHeight="1" x14ac:dyDescent="0.3">
      <c r="A83" s="1">
        <f t="shared" si="3"/>
        <v>43634</v>
      </c>
      <c r="B83" s="20">
        <v>7472.8260869565211</v>
      </c>
      <c r="C83" s="20">
        <f t="shared" si="4"/>
        <v>6453.8043478260861</v>
      </c>
      <c r="D83" s="21" t="str">
        <f t="shared" si="0"/>
        <v>190618</v>
      </c>
      <c r="E83" s="22">
        <f t="shared" si="5"/>
        <v>2.458612</v>
      </c>
      <c r="F83" s="9">
        <v>0</v>
      </c>
      <c r="G83" s="14">
        <f t="shared" si="1"/>
        <v>100.0664631676657</v>
      </c>
      <c r="H83" s="24">
        <f t="shared" si="6"/>
        <v>-116.6183233429763</v>
      </c>
      <c r="I83" s="20">
        <f t="shared" si="2"/>
        <v>6337.1860244831096</v>
      </c>
      <c r="J83" s="17">
        <f t="shared" si="7"/>
        <v>0.63371860244831102</v>
      </c>
    </row>
    <row r="84" spans="1:10" ht="12" customHeight="1" x14ac:dyDescent="0.3">
      <c r="A84" s="1">
        <f t="shared" si="3"/>
        <v>43635</v>
      </c>
      <c r="B84" s="20">
        <v>7540.760869565217</v>
      </c>
      <c r="C84" s="20">
        <f t="shared" si="4"/>
        <v>6521.7391304347821</v>
      </c>
      <c r="D84" s="21" t="str">
        <f t="shared" si="0"/>
        <v>190619</v>
      </c>
      <c r="E84" s="22">
        <f t="shared" si="5"/>
        <v>2.458612</v>
      </c>
      <c r="F84" s="9">
        <v>0</v>
      </c>
      <c r="G84" s="14">
        <f t="shared" si="1"/>
        <v>100.06636315956008</v>
      </c>
      <c r="H84" s="24">
        <f t="shared" si="6"/>
        <v>-117.61840439916683</v>
      </c>
      <c r="I84" s="20">
        <f t="shared" si="2"/>
        <v>6404.120726035615</v>
      </c>
      <c r="J84" s="17">
        <f t="shared" si="7"/>
        <v>0.64041207260356159</v>
      </c>
    </row>
    <row r="85" spans="1:10" ht="12" customHeight="1" x14ac:dyDescent="0.3">
      <c r="A85" s="1">
        <f t="shared" si="3"/>
        <v>43636</v>
      </c>
      <c r="B85" s="20">
        <v>7608.6956521739139</v>
      </c>
      <c r="C85" s="20">
        <f t="shared" si="4"/>
        <v>6589.6739130434789</v>
      </c>
      <c r="D85" s="21" t="str">
        <f t="shared" si="0"/>
        <v>190620</v>
      </c>
      <c r="E85" s="22">
        <f t="shared" si="5"/>
        <v>2.458612</v>
      </c>
      <c r="F85" s="9">
        <v>0</v>
      </c>
      <c r="G85" s="14">
        <f t="shared" si="1"/>
        <v>100.0662636160597</v>
      </c>
      <c r="H85" s="24">
        <f t="shared" si="6"/>
        <v>-118.61383940299675</v>
      </c>
      <c r="I85" s="20">
        <f t="shared" si="2"/>
        <v>6471.0600736404822</v>
      </c>
      <c r="J85" s="17">
        <f t="shared" si="7"/>
        <v>0.64710600736404822</v>
      </c>
    </row>
    <row r="86" spans="1:10" ht="12" customHeight="1" x14ac:dyDescent="0.3">
      <c r="A86" s="1">
        <f t="shared" si="3"/>
        <v>43637</v>
      </c>
      <c r="B86" s="20">
        <v>7676.6304347826072</v>
      </c>
      <c r="C86" s="20">
        <f t="shared" si="4"/>
        <v>6657.6086956521722</v>
      </c>
      <c r="D86" s="21" t="str">
        <f t="shared" si="0"/>
        <v>190621</v>
      </c>
      <c r="E86" s="22">
        <f t="shared" si="5"/>
        <v>2.458612</v>
      </c>
      <c r="F86" s="9">
        <v>0</v>
      </c>
      <c r="G86" s="14">
        <f t="shared" si="1"/>
        <v>100.06616453719609</v>
      </c>
      <c r="H86" s="24">
        <f t="shared" si="6"/>
        <v>-119.60462803912721</v>
      </c>
      <c r="I86" s="20">
        <f t="shared" si="2"/>
        <v>6538.0040676130448</v>
      </c>
      <c r="J86" s="17">
        <f t="shared" si="7"/>
        <v>0.65380040676130446</v>
      </c>
    </row>
    <row r="87" spans="1:10" ht="12" customHeight="1" x14ac:dyDescent="0.3">
      <c r="A87" s="1">
        <f t="shared" si="3"/>
        <v>43640</v>
      </c>
      <c r="B87" s="20">
        <v>7880.434782608696</v>
      </c>
      <c r="C87" s="20">
        <f t="shared" si="4"/>
        <v>6861.413043478261</v>
      </c>
      <c r="D87" s="21" t="str">
        <f t="shared" si="0"/>
        <v>190624</v>
      </c>
      <c r="E87" s="22">
        <f t="shared" si="5"/>
        <v>2.458612</v>
      </c>
      <c r="F87" s="9">
        <v>0</v>
      </c>
      <c r="G87" s="14">
        <f t="shared" si="1"/>
        <v>100.06587008874125</v>
      </c>
      <c r="H87" s="24">
        <f t="shared" si="6"/>
        <v>-122.54911258750668</v>
      </c>
      <c r="I87" s="20">
        <f t="shared" si="2"/>
        <v>6738.8639308907541</v>
      </c>
      <c r="J87" s="17">
        <f t="shared" si="7"/>
        <v>0.67388639308907539</v>
      </c>
    </row>
    <row r="88" spans="1:10" ht="12" customHeight="1" x14ac:dyDescent="0.3">
      <c r="A88" s="1">
        <f t="shared" si="3"/>
        <v>43641</v>
      </c>
      <c r="B88" s="20">
        <v>7948.3695652173928</v>
      </c>
      <c r="C88" s="20">
        <f t="shared" si="4"/>
        <v>6929.3478260869579</v>
      </c>
      <c r="D88" s="21" t="str">
        <f t="shared" si="0"/>
        <v>190625</v>
      </c>
      <c r="E88" s="22">
        <f t="shared" si="5"/>
        <v>2.458612</v>
      </c>
      <c r="F88" s="9">
        <v>0</v>
      </c>
      <c r="G88" s="14">
        <f t="shared" si="1"/>
        <v>100.06577286874011</v>
      </c>
      <c r="H88" s="24">
        <f t="shared" si="6"/>
        <v>-123.5213125988821</v>
      </c>
      <c r="I88" s="20">
        <f t="shared" si="2"/>
        <v>6805.8265134880758</v>
      </c>
      <c r="J88" s="17">
        <f t="shared" si="7"/>
        <v>0.68058265134880758</v>
      </c>
    </row>
    <row r="89" spans="1:10" ht="12" customHeight="1" x14ac:dyDescent="0.3">
      <c r="A89" s="1">
        <f t="shared" si="3"/>
        <v>43642</v>
      </c>
      <c r="B89" s="20">
        <v>8016.3043478260861</v>
      </c>
      <c r="C89" s="20">
        <f t="shared" si="4"/>
        <v>6997.2826086956511</v>
      </c>
      <c r="D89" s="21" t="str">
        <f t="shared" si="0"/>
        <v>190626</v>
      </c>
      <c r="E89" s="22">
        <f t="shared" si="5"/>
        <v>2.458612</v>
      </c>
      <c r="F89" s="9">
        <v>0</v>
      </c>
      <c r="G89" s="14">
        <f t="shared" si="1"/>
        <v>100.06567611353347</v>
      </c>
      <c r="H89" s="24">
        <f t="shared" si="6"/>
        <v>-124.4888646652953</v>
      </c>
      <c r="I89" s="20">
        <f t="shared" si="2"/>
        <v>6872.7937440303558</v>
      </c>
      <c r="J89" s="17">
        <f t="shared" si="7"/>
        <v>0.68727937440303555</v>
      </c>
    </row>
    <row r="90" spans="1:10" ht="12" customHeight="1" x14ac:dyDescent="0.3">
      <c r="A90" s="1">
        <f t="shared" si="3"/>
        <v>43643</v>
      </c>
      <c r="B90" s="20">
        <v>8084.239130434783</v>
      </c>
      <c r="C90" s="20">
        <f t="shared" si="4"/>
        <v>7065.217391304348</v>
      </c>
      <c r="D90" s="21" t="str">
        <f t="shared" si="0"/>
        <v>190627</v>
      </c>
      <c r="E90" s="22">
        <f t="shared" si="5"/>
        <v>2.458612</v>
      </c>
      <c r="F90" s="9">
        <v>0</v>
      </c>
      <c r="G90" s="14">
        <f t="shared" si="1"/>
        <v>100.06557982315286</v>
      </c>
      <c r="H90" s="24">
        <f t="shared" si="6"/>
        <v>-125.45176847140738</v>
      </c>
      <c r="I90" s="20">
        <f t="shared" si="2"/>
        <v>6939.7656228329406</v>
      </c>
      <c r="J90" s="17">
        <f t="shared" si="7"/>
        <v>0.69397656228329407</v>
      </c>
    </row>
    <row r="91" spans="1:10" ht="12" customHeight="1" x14ac:dyDescent="0.3">
      <c r="A91" s="1">
        <f t="shared" si="3"/>
        <v>43644</v>
      </c>
      <c r="B91" s="20">
        <v>8152.1739130434789</v>
      </c>
      <c r="C91" s="20">
        <f t="shared" si="4"/>
        <v>7133.152173913044</v>
      </c>
      <c r="D91" s="21" t="str">
        <f t="shared" si="0"/>
        <v>190628</v>
      </c>
      <c r="E91" s="22">
        <f t="shared" si="5"/>
        <v>2.458612</v>
      </c>
      <c r="F91" s="9">
        <v>0</v>
      </c>
      <c r="G91" s="14">
        <f t="shared" si="1"/>
        <v>100.06548399762985</v>
      </c>
      <c r="H91" s="24">
        <f t="shared" si="6"/>
        <v>-126.41002370145316</v>
      </c>
      <c r="I91" s="20">
        <f t="shared" si="2"/>
        <v>7006.7421502115903</v>
      </c>
      <c r="J91" s="17">
        <f t="shared" si="7"/>
        <v>0.70067421502115901</v>
      </c>
    </row>
    <row r="92" spans="1:10" ht="12" customHeight="1" x14ac:dyDescent="0.3">
      <c r="A92" s="1">
        <f t="shared" si="3"/>
        <v>43647</v>
      </c>
      <c r="B92" s="20">
        <v>8355.9782608695659</v>
      </c>
      <c r="C92" s="20">
        <f t="shared" si="4"/>
        <v>7336.9565217391309</v>
      </c>
      <c r="D92" s="21" t="str">
        <f t="shared" si="0"/>
        <v>190701</v>
      </c>
      <c r="E92" s="22">
        <f t="shared" si="5"/>
        <v>2.458612</v>
      </c>
      <c r="F92" s="9">
        <v>0</v>
      </c>
      <c r="G92" s="14">
        <f t="shared" si="1"/>
        <v>100.0651993105219</v>
      </c>
      <c r="H92" s="24">
        <f t="shared" si="6"/>
        <v>-129.25689478095137</v>
      </c>
      <c r="I92" s="20">
        <f t="shared" si="2"/>
        <v>7207.6996269581796</v>
      </c>
      <c r="J92" s="17">
        <f t="shared" si="7"/>
        <v>0.72076996269581795</v>
      </c>
    </row>
    <row r="93" spans="1:10" ht="12" customHeight="1" x14ac:dyDescent="0.3">
      <c r="A93" s="1">
        <f t="shared" si="3"/>
        <v>43648</v>
      </c>
      <c r="B93" s="20">
        <v>8423.9130434782601</v>
      </c>
      <c r="C93" s="20">
        <f t="shared" si="4"/>
        <v>7404.8913043478251</v>
      </c>
      <c r="D93" s="21" t="str">
        <f t="shared" si="0"/>
        <v>190702</v>
      </c>
      <c r="E93" s="22">
        <f t="shared" si="5"/>
        <v>2.458612</v>
      </c>
      <c r="F93" s="9">
        <v>0</v>
      </c>
      <c r="G93" s="14">
        <f t="shared" si="1"/>
        <v>100.06510534474484</v>
      </c>
      <c r="H93" s="24">
        <f t="shared" si="6"/>
        <v>-130.19655255163798</v>
      </c>
      <c r="I93" s="20">
        <f t="shared" si="2"/>
        <v>7274.6947517961871</v>
      </c>
      <c r="J93" s="17">
        <f t="shared" si="7"/>
        <v>0.72746947517961869</v>
      </c>
    </row>
    <row r="94" spans="1:10" ht="12" customHeight="1" x14ac:dyDescent="0.3">
      <c r="A94" s="1">
        <f t="shared" si="3"/>
        <v>43649</v>
      </c>
      <c r="B94" s="20">
        <v>8491.847826086956</v>
      </c>
      <c r="C94" s="20">
        <f t="shared" si="4"/>
        <v>7472.8260869565211</v>
      </c>
      <c r="D94" s="21" t="str">
        <f t="shared" si="0"/>
        <v>190703</v>
      </c>
      <c r="E94" s="22">
        <f t="shared" si="5"/>
        <v>2.458612</v>
      </c>
      <c r="F94" s="9">
        <v>0</v>
      </c>
      <c r="G94" s="14">
        <f t="shared" si="1"/>
        <v>100.06501184398314</v>
      </c>
      <c r="H94" s="24">
        <f t="shared" si="6"/>
        <v>-131.13156016856919</v>
      </c>
      <c r="I94" s="20">
        <f t="shared" si="2"/>
        <v>7341.6945267879519</v>
      </c>
      <c r="J94" s="17">
        <f t="shared" si="7"/>
        <v>0.73416945267879519</v>
      </c>
    </row>
    <row r="95" spans="1:10" ht="12" customHeight="1" x14ac:dyDescent="0.3">
      <c r="A95" s="1">
        <f t="shared" si="3"/>
        <v>43650</v>
      </c>
      <c r="B95" s="20">
        <v>8559.7826086956538</v>
      </c>
      <c r="C95" s="20">
        <f t="shared" si="4"/>
        <v>7540.7608695652189</v>
      </c>
      <c r="D95" s="21" t="str">
        <f t="shared" si="0"/>
        <v>190704</v>
      </c>
      <c r="E95" s="22">
        <f t="shared" si="5"/>
        <v>2.458612</v>
      </c>
      <c r="F95" s="9">
        <v>0</v>
      </c>
      <c r="G95" s="14">
        <f t="shared" si="1"/>
        <v>100.06491880826839</v>
      </c>
      <c r="H95" s="24">
        <f t="shared" si="6"/>
        <v>-132.06191731612194</v>
      </c>
      <c r="I95" s="20">
        <f t="shared" si="2"/>
        <v>7408.6989522490967</v>
      </c>
      <c r="J95" s="17">
        <f t="shared" si="7"/>
        <v>0.74086989522490965</v>
      </c>
    </row>
    <row r="96" spans="1:10" ht="12" customHeight="1" x14ac:dyDescent="0.3">
      <c r="A96" s="1">
        <f t="shared" si="3"/>
        <v>43651</v>
      </c>
      <c r="B96" s="20">
        <v>8627.7173913043462</v>
      </c>
      <c r="C96" s="20">
        <f t="shared" si="4"/>
        <v>7608.6956521739112</v>
      </c>
      <c r="D96" s="21" t="str">
        <f t="shared" si="0"/>
        <v>190705</v>
      </c>
      <c r="E96" s="22">
        <f t="shared" si="5"/>
        <v>2.458612</v>
      </c>
      <c r="F96" s="9">
        <v>0</v>
      </c>
      <c r="G96" s="14">
        <f t="shared" si="1"/>
        <v>100.06482623763216</v>
      </c>
      <c r="H96" s="24">
        <f t="shared" si="6"/>
        <v>-132.9876236783889</v>
      </c>
      <c r="I96" s="20">
        <f t="shared" si="2"/>
        <v>7475.7080284955227</v>
      </c>
      <c r="J96" s="17">
        <f t="shared" si="7"/>
        <v>0.74757080284955224</v>
      </c>
    </row>
    <row r="97" spans="1:10" ht="12" customHeight="1" x14ac:dyDescent="0.3">
      <c r="A97" s="1">
        <f t="shared" si="3"/>
        <v>43654</v>
      </c>
      <c r="B97" s="20">
        <v>8831.5217391304341</v>
      </c>
      <c r="C97" s="20">
        <f t="shared" si="4"/>
        <v>7812.4999999999991</v>
      </c>
      <c r="D97" s="21" t="str">
        <f t="shared" si="0"/>
        <v>190708</v>
      </c>
      <c r="E97" s="22">
        <f t="shared" si="5"/>
        <v>2.458612</v>
      </c>
      <c r="F97" s="9">
        <v>0</v>
      </c>
      <c r="G97" s="14">
        <f t="shared" si="1"/>
        <v>100.06455131651032</v>
      </c>
      <c r="H97" s="24">
        <f t="shared" si="6"/>
        <v>-135.73683489681798</v>
      </c>
      <c r="I97" s="20">
        <f t="shared" si="2"/>
        <v>7676.7631651031807</v>
      </c>
      <c r="J97" s="17">
        <f t="shared" si="7"/>
        <v>0.76767631651031809</v>
      </c>
    </row>
    <row r="98" spans="1:10" ht="12" customHeight="1" x14ac:dyDescent="0.3">
      <c r="A98" s="1">
        <f t="shared" si="3"/>
        <v>43655</v>
      </c>
      <c r="B98" s="20">
        <v>8899.45652173913</v>
      </c>
      <c r="C98" s="20">
        <f t="shared" si="4"/>
        <v>7880.4347826086951</v>
      </c>
      <c r="D98" s="21" t="str">
        <f t="shared" si="0"/>
        <v>190709</v>
      </c>
      <c r="E98" s="22">
        <f t="shared" si="5"/>
        <v>2.458612</v>
      </c>
      <c r="F98" s="9">
        <v>0</v>
      </c>
      <c r="G98" s="14">
        <f t="shared" si="1"/>
        <v>100.06446060650389</v>
      </c>
      <c r="H98" s="24">
        <f t="shared" si="6"/>
        <v>-136.64393496114258</v>
      </c>
      <c r="I98" s="20">
        <f t="shared" si="2"/>
        <v>7743.7908476475523</v>
      </c>
      <c r="J98" s="17">
        <f t="shared" si="7"/>
        <v>0.77437908476475525</v>
      </c>
    </row>
    <row r="99" spans="1:10" ht="12" customHeight="1" x14ac:dyDescent="0.3">
      <c r="A99" s="1">
        <f t="shared" si="3"/>
        <v>43656</v>
      </c>
      <c r="B99" s="20">
        <v>8967.391304347826</v>
      </c>
      <c r="C99" s="20">
        <f t="shared" si="4"/>
        <v>7948.369565217391</v>
      </c>
      <c r="D99" s="21" t="str">
        <f t="shared" si="0"/>
        <v>190710</v>
      </c>
      <c r="E99" s="22">
        <f t="shared" si="5"/>
        <v>2.458612</v>
      </c>
      <c r="F99" s="9">
        <v>0</v>
      </c>
      <c r="G99" s="14">
        <f t="shared" si="1"/>
        <v>100.06437036173385</v>
      </c>
      <c r="H99" s="24">
        <f t="shared" si="6"/>
        <v>-137.54638266149755</v>
      </c>
      <c r="I99" s="20">
        <f t="shared" si="2"/>
        <v>7810.8231825558933</v>
      </c>
      <c r="J99" s="17">
        <f t="shared" si="7"/>
        <v>0.78108231825558927</v>
      </c>
    </row>
    <row r="100" spans="1:10" ht="12" customHeight="1" x14ac:dyDescent="0.3">
      <c r="A100" s="1">
        <f t="shared" si="3"/>
        <v>43657</v>
      </c>
      <c r="B100" s="20">
        <v>9035.3260869565202</v>
      </c>
      <c r="C100" s="20">
        <f t="shared" si="4"/>
        <v>8016.3043478260852</v>
      </c>
      <c r="D100" s="21" t="str">
        <f t="shared" si="0"/>
        <v>190711</v>
      </c>
      <c r="E100" s="22">
        <f t="shared" si="5"/>
        <v>2.458612</v>
      </c>
      <c r="F100" s="9">
        <v>0</v>
      </c>
      <c r="G100" s="14">
        <f t="shared" si="1"/>
        <v>100.0642805822318</v>
      </c>
      <c r="H100" s="24">
        <f t="shared" si="6"/>
        <v>-138.44417768197559</v>
      </c>
      <c r="I100" s="20">
        <f t="shared" si="2"/>
        <v>7877.8601701441094</v>
      </c>
      <c r="J100" s="17">
        <f t="shared" si="7"/>
        <v>0.78778601701441098</v>
      </c>
    </row>
    <row r="101" spans="1:10" ht="12" customHeight="1" x14ac:dyDescent="0.3">
      <c r="A101" s="1">
        <f t="shared" si="3"/>
        <v>43658</v>
      </c>
      <c r="B101" s="20">
        <v>9103.2608695652179</v>
      </c>
      <c r="C101" s="20">
        <f t="shared" si="4"/>
        <v>8084.239130434783</v>
      </c>
      <c r="D101" s="21" t="str">
        <f t="shared" si="0"/>
        <v>190712</v>
      </c>
      <c r="E101" s="22">
        <f t="shared" si="5"/>
        <v>2.458612</v>
      </c>
      <c r="F101" s="9">
        <v>0</v>
      </c>
      <c r="G101" s="14">
        <f t="shared" si="1"/>
        <v>100.06419126802929</v>
      </c>
      <c r="H101" s="24">
        <f t="shared" si="6"/>
        <v>-139.33731970709573</v>
      </c>
      <c r="I101" s="20">
        <f t="shared" si="2"/>
        <v>7944.901810727687</v>
      </c>
      <c r="J101" s="17">
        <f t="shared" si="7"/>
        <v>0.7944901810727687</v>
      </c>
    </row>
    <row r="102" spans="1:10" ht="12" customHeight="1" x14ac:dyDescent="0.3">
      <c r="A102" s="1">
        <f t="shared" si="3"/>
        <v>43661</v>
      </c>
      <c r="B102" s="20">
        <v>9307.065217391304</v>
      </c>
      <c r="C102" s="20">
        <f t="shared" si="4"/>
        <v>8288.0434782608681</v>
      </c>
      <c r="D102" s="21" t="str">
        <f t="shared" si="0"/>
        <v>190715</v>
      </c>
      <c r="E102" s="22">
        <f t="shared" si="5"/>
        <v>2.458612</v>
      </c>
      <c r="F102" s="9">
        <v>0</v>
      </c>
      <c r="G102" s="14">
        <f t="shared" si="1"/>
        <v>100.06392611753496</v>
      </c>
      <c r="H102" s="24">
        <f t="shared" si="6"/>
        <v>-141.98882465038309</v>
      </c>
      <c r="I102" s="20">
        <f t="shared" si="2"/>
        <v>8146.0546536104848</v>
      </c>
      <c r="J102" s="17">
        <f t="shared" si="7"/>
        <v>0.8146054653610485</v>
      </c>
    </row>
    <row r="103" spans="1:10" ht="12" customHeight="1" x14ac:dyDescent="0.3">
      <c r="A103" s="1">
        <f t="shared" si="3"/>
        <v>43662</v>
      </c>
      <c r="B103" s="20">
        <v>9375</v>
      </c>
      <c r="C103" s="20">
        <f t="shared" si="4"/>
        <v>8355.9782608695641</v>
      </c>
      <c r="D103" s="21" t="str">
        <f t="shared" si="0"/>
        <v>190716</v>
      </c>
      <c r="E103" s="22">
        <f t="shared" si="5"/>
        <v>2.458612</v>
      </c>
      <c r="F103" s="9">
        <v>0</v>
      </c>
      <c r="G103" s="14">
        <f t="shared" si="1"/>
        <v>100.06383866484653</v>
      </c>
      <c r="H103" s="24">
        <f t="shared" si="6"/>
        <v>-142.86335153471441</v>
      </c>
      <c r="I103" s="20">
        <f t="shared" si="2"/>
        <v>8213.1149093348504</v>
      </c>
      <c r="J103" s="17">
        <f t="shared" si="7"/>
        <v>0.8213114909334851</v>
      </c>
    </row>
    <row r="104" spans="1:10" ht="12" customHeight="1" x14ac:dyDescent="0.3">
      <c r="A104" s="1">
        <f t="shared" si="3"/>
        <v>43663</v>
      </c>
      <c r="B104" s="20">
        <v>9442.934782608696</v>
      </c>
      <c r="C104" s="20">
        <f t="shared" si="4"/>
        <v>8423.9130434782601</v>
      </c>
      <c r="D104" s="21" t="str">
        <f t="shared" si="0"/>
        <v>190717</v>
      </c>
      <c r="E104" s="22">
        <f t="shared" si="5"/>
        <v>2.458612</v>
      </c>
      <c r="F104" s="9">
        <v>0</v>
      </c>
      <c r="G104" s="14">
        <f t="shared" si="1"/>
        <v>100.06375167761563</v>
      </c>
      <c r="H104" s="24">
        <f t="shared" si="6"/>
        <v>-143.733223843725</v>
      </c>
      <c r="I104" s="20">
        <f t="shared" si="2"/>
        <v>8280.1798196345353</v>
      </c>
      <c r="J104" s="17">
        <f t="shared" si="7"/>
        <v>0.82801798196345355</v>
      </c>
    </row>
    <row r="105" spans="1:10" ht="12" customHeight="1" x14ac:dyDescent="0.3">
      <c r="A105" s="1">
        <f t="shared" si="3"/>
        <v>43664</v>
      </c>
      <c r="B105" s="20">
        <v>9510.8695652173919</v>
      </c>
      <c r="C105" s="20">
        <f t="shared" si="4"/>
        <v>8491.847826086956</v>
      </c>
      <c r="D105" s="21" t="str">
        <f t="shared" si="0"/>
        <v>190718</v>
      </c>
      <c r="E105" s="22">
        <f t="shared" si="5"/>
        <v>2.458612</v>
      </c>
      <c r="F105" s="9">
        <v>0</v>
      </c>
      <c r="G105" s="14">
        <f t="shared" si="1"/>
        <v>100.06366515587376</v>
      </c>
      <c r="H105" s="24">
        <f t="shared" si="6"/>
        <v>-144.59844126236021</v>
      </c>
      <c r="I105" s="20">
        <f t="shared" si="2"/>
        <v>8347.2493848245958</v>
      </c>
      <c r="J105" s="17">
        <f t="shared" si="7"/>
        <v>0.83472493848245954</v>
      </c>
    </row>
    <row r="106" spans="1:10" ht="12" customHeight="1" x14ac:dyDescent="0.3">
      <c r="A106" s="1">
        <f t="shared" si="3"/>
        <v>43665</v>
      </c>
      <c r="B106" s="20">
        <v>9578.8043478260861</v>
      </c>
      <c r="C106" s="20">
        <f t="shared" si="4"/>
        <v>8559.7826086956502</v>
      </c>
      <c r="D106" s="21" t="str">
        <f t="shared" si="0"/>
        <v>190719</v>
      </c>
      <c r="E106" s="22">
        <f t="shared" si="5"/>
        <v>2.458612</v>
      </c>
      <c r="F106" s="9">
        <v>0</v>
      </c>
      <c r="G106" s="14">
        <f t="shared" si="1"/>
        <v>100.06357909965261</v>
      </c>
      <c r="H106" s="24">
        <f t="shared" si="6"/>
        <v>-145.45900347386009</v>
      </c>
      <c r="I106" s="20">
        <f t="shared" si="2"/>
        <v>8414.3236052217908</v>
      </c>
      <c r="J106" s="17">
        <f t="shared" si="7"/>
        <v>0.84143236052217907</v>
      </c>
    </row>
    <row r="107" spans="1:10" ht="12" customHeight="1" x14ac:dyDescent="0.3">
      <c r="A107" s="1">
        <f t="shared" si="3"/>
        <v>43668</v>
      </c>
      <c r="B107" s="20">
        <v>9782.608695652174</v>
      </c>
      <c r="C107" s="20">
        <f t="shared" si="4"/>
        <v>8763.5869565217381</v>
      </c>
      <c r="D107" s="21" t="str">
        <f t="shared" si="0"/>
        <v>190722</v>
      </c>
      <c r="E107" s="22">
        <f t="shared" si="5"/>
        <v>2.458612</v>
      </c>
      <c r="F107" s="9">
        <v>0</v>
      </c>
      <c r="G107" s="14">
        <f t="shared" si="1"/>
        <v>100.06332372442941</v>
      </c>
      <c r="H107" s="24">
        <f t="shared" si="6"/>
        <v>-148.01275570590633</v>
      </c>
      <c r="I107" s="20">
        <f t="shared" si="2"/>
        <v>8615.5742008158322</v>
      </c>
      <c r="J107" s="17">
        <f t="shared" si="7"/>
        <v>0.8615574200815832</v>
      </c>
    </row>
    <row r="108" spans="1:10" ht="12" customHeight="1" x14ac:dyDescent="0.3">
      <c r="A108" s="1">
        <f t="shared" si="3"/>
        <v>43669</v>
      </c>
      <c r="B108" s="20">
        <v>9850.54347826087</v>
      </c>
      <c r="C108" s="20">
        <f t="shared" si="4"/>
        <v>8831.5217391304341</v>
      </c>
      <c r="D108" s="21" t="str">
        <f t="shared" si="0"/>
        <v>190723</v>
      </c>
      <c r="E108" s="22">
        <f t="shared" si="5"/>
        <v>2.458612</v>
      </c>
      <c r="F108" s="9">
        <v>0</v>
      </c>
      <c r="G108" s="14">
        <f t="shared" si="1"/>
        <v>100.06323953060705</v>
      </c>
      <c r="H108" s="24">
        <f t="shared" si="6"/>
        <v>-148.85469392950768</v>
      </c>
      <c r="I108" s="20">
        <f t="shared" si="2"/>
        <v>8682.6670452009257</v>
      </c>
      <c r="J108" s="17">
        <f t="shared" si="7"/>
        <v>0.86826670452009258</v>
      </c>
    </row>
    <row r="109" spans="1:10" ht="12" customHeight="1" x14ac:dyDescent="0.3">
      <c r="A109" s="1">
        <f t="shared" si="3"/>
        <v>43670</v>
      </c>
      <c r="B109" s="20">
        <v>9918.4782608695659</v>
      </c>
      <c r="C109" s="20">
        <f t="shared" si="4"/>
        <v>8899.45652173913</v>
      </c>
      <c r="D109" s="21" t="str">
        <f t="shared" si="0"/>
        <v>190724</v>
      </c>
      <c r="E109" s="22">
        <f t="shared" si="5"/>
        <v>2.458612</v>
      </c>
      <c r="F109" s="9">
        <v>0</v>
      </c>
      <c r="G109" s="14">
        <f t="shared" si="1"/>
        <v>100.06315580246344</v>
      </c>
      <c r="H109" s="24">
        <f t="shared" si="6"/>
        <v>-149.69197536558454</v>
      </c>
      <c r="I109" s="20">
        <f t="shared" si="2"/>
        <v>8749.7645463735462</v>
      </c>
      <c r="J109" s="17">
        <f t="shared" si="7"/>
        <v>0.87497645463735452</v>
      </c>
    </row>
    <row r="110" spans="1:10" ht="12" customHeight="1" x14ac:dyDescent="0.3">
      <c r="A110" s="1">
        <f t="shared" si="3"/>
        <v>43671</v>
      </c>
      <c r="B110" s="20">
        <v>9986.4130434782601</v>
      </c>
      <c r="C110" s="20">
        <f t="shared" si="4"/>
        <v>8967.3913043478242</v>
      </c>
      <c r="D110" s="21" t="str">
        <f t="shared" si="0"/>
        <v>190725</v>
      </c>
      <c r="E110" s="22">
        <f t="shared" si="5"/>
        <v>2.458612</v>
      </c>
      <c r="F110" s="9">
        <v>0</v>
      </c>
      <c r="G110" s="14">
        <f t="shared" si="1"/>
        <v>100.06307254003013</v>
      </c>
      <c r="H110" s="24">
        <f t="shared" si="6"/>
        <v>-150.52459969865595</v>
      </c>
      <c r="I110" s="20">
        <f t="shared" si="2"/>
        <v>8816.8667046491682</v>
      </c>
      <c r="J110" s="17">
        <f t="shared" si="7"/>
        <v>0.88168667046491689</v>
      </c>
    </row>
    <row r="111" spans="1:10" ht="12" customHeight="1" x14ac:dyDescent="0.3">
      <c r="A111" s="1">
        <f t="shared" si="3"/>
        <v>43672</v>
      </c>
      <c r="B111" s="20">
        <v>10054.347826086958</v>
      </c>
      <c r="C111" s="20">
        <f t="shared" si="4"/>
        <v>9035.326086956522</v>
      </c>
      <c r="D111" s="21" t="str">
        <f t="shared" si="0"/>
        <v>190726</v>
      </c>
      <c r="E111" s="22">
        <f t="shared" si="5"/>
        <v>2.458612</v>
      </c>
      <c r="F111" s="9">
        <v>0</v>
      </c>
      <c r="G111" s="14">
        <f t="shared" si="1"/>
        <v>100.06298974333875</v>
      </c>
      <c r="H111" s="24">
        <f t="shared" si="6"/>
        <v>-151.35256661253038</v>
      </c>
      <c r="I111" s="20">
        <f t="shared" si="2"/>
        <v>8883.9735203439923</v>
      </c>
      <c r="J111" s="17">
        <f t="shared" si="7"/>
        <v>0.88839735203439918</v>
      </c>
    </row>
    <row r="112" spans="1:10" ht="12" customHeight="1" x14ac:dyDescent="0.3">
      <c r="A112" s="1">
        <f t="shared" si="3"/>
        <v>43675</v>
      </c>
      <c r="B112" s="20">
        <v>10258.152173913042</v>
      </c>
      <c r="C112" s="20">
        <f t="shared" si="4"/>
        <v>9239.1304347826062</v>
      </c>
      <c r="D112" s="21" t="str">
        <f t="shared" si="0"/>
        <v>190729</v>
      </c>
      <c r="E112" s="22">
        <f t="shared" si="5"/>
        <v>2.458612</v>
      </c>
      <c r="F112" s="9">
        <v>0</v>
      </c>
      <c r="G112" s="14">
        <f t="shared" si="1"/>
        <v>100.06274414803244</v>
      </c>
      <c r="H112" s="24">
        <f t="shared" si="6"/>
        <v>-153.80851967563558</v>
      </c>
      <c r="I112" s="20">
        <f t="shared" si="2"/>
        <v>9085.3219151069716</v>
      </c>
      <c r="J112" s="17">
        <f t="shared" si="7"/>
        <v>0.9085321915106972</v>
      </c>
    </row>
    <row r="113" spans="1:10" ht="12" customHeight="1" x14ac:dyDescent="0.3">
      <c r="A113" s="1">
        <f t="shared" si="3"/>
        <v>43676</v>
      </c>
      <c r="B113" s="20">
        <v>10326.086956521738</v>
      </c>
      <c r="C113" s="20">
        <f t="shared" si="4"/>
        <v>9307.0652173913022</v>
      </c>
      <c r="D113" s="21" t="str">
        <f t="shared" si="0"/>
        <v>190730</v>
      </c>
      <c r="E113" s="22">
        <f t="shared" si="5"/>
        <v>2.458612</v>
      </c>
      <c r="F113" s="9">
        <v>0</v>
      </c>
      <c r="G113" s="14">
        <f t="shared" si="1"/>
        <v>100.06266321462498</v>
      </c>
      <c r="H113" s="24">
        <f t="shared" si="6"/>
        <v>-154.61785375023851</v>
      </c>
      <c r="I113" s="20">
        <f t="shared" si="2"/>
        <v>9152.4473636410639</v>
      </c>
      <c r="J113" s="17">
        <f t="shared" si="7"/>
        <v>0.91524473636410641</v>
      </c>
    </row>
    <row r="114" spans="1:10" ht="12" customHeight="1" x14ac:dyDescent="0.3">
      <c r="A114" s="1">
        <f t="shared" si="3"/>
        <v>43677</v>
      </c>
      <c r="B114" s="20">
        <v>10394.021739130434</v>
      </c>
      <c r="C114" s="20">
        <f t="shared" si="4"/>
        <v>9374.9999999999982</v>
      </c>
      <c r="D114" s="21" t="str">
        <f t="shared" si="0"/>
        <v>190731</v>
      </c>
      <c r="E114" s="22">
        <f t="shared" si="5"/>
        <v>2.458612</v>
      </c>
      <c r="F114" s="9">
        <v>0</v>
      </c>
      <c r="G114" s="14">
        <f t="shared" si="1"/>
        <v>100.06258274711756</v>
      </c>
      <c r="H114" s="24">
        <f t="shared" si="6"/>
        <v>-155.42252882440266</v>
      </c>
      <c r="I114" s="20">
        <f t="shared" si="2"/>
        <v>9219.5774711755948</v>
      </c>
      <c r="J114" s="17">
        <f t="shared" si="7"/>
        <v>0.92195774711755951</v>
      </c>
    </row>
    <row r="115" spans="1:10" ht="12" customHeight="1" x14ac:dyDescent="0.3">
      <c r="A115" s="1">
        <f t="shared" si="3"/>
        <v>43678</v>
      </c>
      <c r="B115" s="20">
        <v>10461.95652173913</v>
      </c>
      <c r="C115" s="20">
        <f t="shared" si="4"/>
        <v>9442.9347826086941</v>
      </c>
      <c r="D115" s="21" t="str">
        <f t="shared" si="0"/>
        <v>190801</v>
      </c>
      <c r="E115" s="22">
        <f t="shared" si="5"/>
        <v>2.458612</v>
      </c>
      <c r="F115" s="9">
        <v>0</v>
      </c>
      <c r="G115" s="14">
        <f t="shared" si="1"/>
        <v>100.06250274554181</v>
      </c>
      <c r="H115" s="24">
        <f t="shared" si="6"/>
        <v>-156.22254458193652</v>
      </c>
      <c r="I115" s="20">
        <f t="shared" si="2"/>
        <v>9286.7122380267574</v>
      </c>
      <c r="J115" s="17">
        <f t="shared" si="7"/>
        <v>0.92867122380267575</v>
      </c>
    </row>
    <row r="116" spans="1:10" ht="12" customHeight="1" x14ac:dyDescent="0.3">
      <c r="A116" s="1">
        <f t="shared" si="3"/>
        <v>43679</v>
      </c>
      <c r="B116" s="20">
        <v>10529.891304347824</v>
      </c>
      <c r="C116" s="20">
        <f t="shared" si="4"/>
        <v>9510.8695652173883</v>
      </c>
      <c r="D116" s="21" t="str">
        <f t="shared" si="0"/>
        <v>190802</v>
      </c>
      <c r="E116" s="22">
        <f t="shared" si="5"/>
        <v>2.458612</v>
      </c>
      <c r="F116" s="9">
        <v>0</v>
      </c>
      <c r="G116" s="14">
        <f t="shared" si="1"/>
        <v>100.06242320992934</v>
      </c>
      <c r="H116" s="24">
        <f t="shared" si="6"/>
        <v>-157.01790070664856</v>
      </c>
      <c r="I116" s="20">
        <f t="shared" si="2"/>
        <v>9353.8516645107393</v>
      </c>
      <c r="J116" s="17">
        <f t="shared" si="7"/>
        <v>0.93538516645107395</v>
      </c>
    </row>
    <row r="117" spans="1:10" ht="12" customHeight="1" x14ac:dyDescent="0.3">
      <c r="A117" s="1">
        <f t="shared" si="3"/>
        <v>43682</v>
      </c>
      <c r="B117" s="20">
        <v>10733.695652173914</v>
      </c>
      <c r="C117" s="20">
        <f t="shared" si="4"/>
        <v>9714.673913043478</v>
      </c>
      <c r="D117" s="21" t="str">
        <f t="shared" si="0"/>
        <v>190805</v>
      </c>
      <c r="E117" s="22">
        <f t="shared" si="5"/>
        <v>2.458612</v>
      </c>
      <c r="F117" s="9">
        <v>0</v>
      </c>
      <c r="G117" s="14">
        <f t="shared" si="1"/>
        <v>100.06218739918793</v>
      </c>
      <c r="H117" s="24">
        <f t="shared" si="6"/>
        <v>-159.37600812065966</v>
      </c>
      <c r="I117" s="20">
        <f t="shared" si="2"/>
        <v>9555.2979049228179</v>
      </c>
      <c r="J117" s="17">
        <f t="shared" si="7"/>
        <v>0.95552979049228182</v>
      </c>
    </row>
    <row r="118" spans="1:10" ht="12" customHeight="1" x14ac:dyDescent="0.3">
      <c r="A118" s="1">
        <f t="shared" si="3"/>
        <v>43683</v>
      </c>
      <c r="B118" s="20">
        <v>10801.630434782608</v>
      </c>
      <c r="C118" s="20">
        <f t="shared" si="4"/>
        <v>9782.6086956521722</v>
      </c>
      <c r="D118" s="21" t="str">
        <f t="shared" si="0"/>
        <v>190806</v>
      </c>
      <c r="E118" s="22">
        <f t="shared" si="5"/>
        <v>2.458612</v>
      </c>
      <c r="F118" s="9">
        <v>0</v>
      </c>
      <c r="G118" s="14">
        <f t="shared" si="1"/>
        <v>100.06210972774494</v>
      </c>
      <c r="H118" s="24">
        <f t="shared" si="6"/>
        <v>-160.15272255060609</v>
      </c>
      <c r="I118" s="20">
        <f t="shared" si="2"/>
        <v>9622.4559731015652</v>
      </c>
      <c r="J118" s="17">
        <f t="shared" si="7"/>
        <v>0.96224559731015646</v>
      </c>
    </row>
    <row r="119" spans="1:10" ht="12" customHeight="1" x14ac:dyDescent="0.3">
      <c r="A119" s="1">
        <f t="shared" si="3"/>
        <v>43684</v>
      </c>
      <c r="B119" s="20">
        <v>10869.565217391304</v>
      </c>
      <c r="C119" s="20">
        <f t="shared" si="4"/>
        <v>9850.5434782608681</v>
      </c>
      <c r="D119" s="21" t="str">
        <f t="shared" si="0"/>
        <v>190807</v>
      </c>
      <c r="E119" s="22">
        <f t="shared" si="5"/>
        <v>2.458612</v>
      </c>
      <c r="F119" s="9">
        <v>0</v>
      </c>
      <c r="G119" s="14">
        <f t="shared" si="1"/>
        <v>100.06203252242339</v>
      </c>
      <c r="H119" s="24">
        <f t="shared" si="6"/>
        <v>-160.92477576606257</v>
      </c>
      <c r="I119" s="20">
        <f t="shared" si="2"/>
        <v>9689.6187024948049</v>
      </c>
      <c r="J119" s="17">
        <f t="shared" si="7"/>
        <v>0.96896187024948044</v>
      </c>
    </row>
    <row r="120" spans="1:10" ht="12" customHeight="1" x14ac:dyDescent="0.3">
      <c r="A120" s="1">
        <f t="shared" si="3"/>
        <v>43685</v>
      </c>
      <c r="B120" s="20">
        <v>10937.5</v>
      </c>
      <c r="C120" s="20">
        <f t="shared" si="4"/>
        <v>9918.4782608695641</v>
      </c>
      <c r="D120" s="21" t="str">
        <f t="shared" si="0"/>
        <v>190808</v>
      </c>
      <c r="E120" s="22">
        <f t="shared" si="5"/>
        <v>2.458612</v>
      </c>
      <c r="F120" s="9">
        <v>0</v>
      </c>
      <c r="G120" s="14">
        <f t="shared" si="1"/>
        <v>100.06195578325494</v>
      </c>
      <c r="H120" s="24">
        <f t="shared" si="6"/>
        <v>-161.69216745055337</v>
      </c>
      <c r="I120" s="20">
        <f t="shared" si="2"/>
        <v>9756.7860934190103</v>
      </c>
      <c r="J120" s="17">
        <f t="shared" si="7"/>
        <v>0.97567860934190098</v>
      </c>
    </row>
    <row r="121" spans="1:10" ht="12" customHeight="1" x14ac:dyDescent="0.3">
      <c r="A121" s="1">
        <f t="shared" si="3"/>
        <v>43686</v>
      </c>
      <c r="B121" s="20">
        <v>11005.434782608696</v>
      </c>
      <c r="C121" s="20">
        <f t="shared" si="4"/>
        <v>9986.4130434782601</v>
      </c>
      <c r="D121" s="21" t="str">
        <f t="shared" si="0"/>
        <v>190809</v>
      </c>
      <c r="E121" s="22">
        <f t="shared" si="5"/>
        <v>2.458612</v>
      </c>
      <c r="F121" s="9">
        <v>0</v>
      </c>
      <c r="G121" s="14">
        <f t="shared" si="1"/>
        <v>100.06187951027123</v>
      </c>
      <c r="H121" s="24">
        <f t="shared" si="6"/>
        <v>-162.45489728774487</v>
      </c>
      <c r="I121" s="20">
        <f t="shared" si="2"/>
        <v>9823.9581461905145</v>
      </c>
      <c r="J121" s="17">
        <f t="shared" si="7"/>
        <v>0.98239581461905157</v>
      </c>
    </row>
    <row r="122" spans="1:10" ht="12" customHeight="1" x14ac:dyDescent="0.3">
      <c r="A122" s="1">
        <f t="shared" si="3"/>
        <v>43689</v>
      </c>
      <c r="B122" s="20">
        <v>11209.239130434782</v>
      </c>
      <c r="C122" s="20">
        <f t="shared" si="4"/>
        <v>10190.217391304346</v>
      </c>
      <c r="D122" s="21" t="str">
        <f t="shared" si="0"/>
        <v>190812</v>
      </c>
      <c r="E122" s="22">
        <f t="shared" si="5"/>
        <v>2.458612</v>
      </c>
      <c r="F122" s="9">
        <v>0</v>
      </c>
      <c r="G122" s="14">
        <f t="shared" si="1"/>
        <v>100.06165348874501</v>
      </c>
      <c r="H122" s="24">
        <f t="shared" si="6"/>
        <v>-164.71511254991353</v>
      </c>
      <c r="I122" s="20">
        <f t="shared" si="2"/>
        <v>10025.502278754433</v>
      </c>
      <c r="J122" s="17">
        <f t="shared" si="7"/>
        <v>1.0025502278754432</v>
      </c>
    </row>
    <row r="123" spans="1:10" ht="12" customHeight="1" x14ac:dyDescent="0.3">
      <c r="A123" s="1">
        <f t="shared" si="3"/>
        <v>43690</v>
      </c>
      <c r="B123" s="20">
        <v>11277.17391304348</v>
      </c>
      <c r="C123" s="20">
        <f t="shared" si="4"/>
        <v>10258.152173913044</v>
      </c>
      <c r="D123" s="21" t="str">
        <f t="shared" si="0"/>
        <v>190813</v>
      </c>
      <c r="E123" s="22">
        <f t="shared" si="5"/>
        <v>2.458612</v>
      </c>
      <c r="F123" s="9">
        <v>0</v>
      </c>
      <c r="G123" s="14">
        <f t="shared" si="1"/>
        <v>100.06157908081674</v>
      </c>
      <c r="H123" s="24">
        <f t="shared" si="6"/>
        <v>-165.45919183258206</v>
      </c>
      <c r="I123" s="20">
        <f t="shared" si="2"/>
        <v>10092.692982080462</v>
      </c>
      <c r="J123" s="17">
        <f t="shared" si="7"/>
        <v>1.0092692982080462</v>
      </c>
    </row>
    <row r="124" spans="1:10" ht="12" customHeight="1" x14ac:dyDescent="0.3">
      <c r="A124" s="1">
        <f t="shared" si="3"/>
        <v>43691</v>
      </c>
      <c r="B124" s="20">
        <v>11345.108695652176</v>
      </c>
      <c r="C124" s="20">
        <f t="shared" si="4"/>
        <v>10326.08695652174</v>
      </c>
      <c r="D124" s="21" t="str">
        <f t="shared" si="0"/>
        <v>190814</v>
      </c>
      <c r="E124" s="22">
        <f t="shared" si="5"/>
        <v>2.458612</v>
      </c>
      <c r="F124" s="9">
        <v>0</v>
      </c>
      <c r="G124" s="14">
        <f t="shared" si="1"/>
        <v>100.06150513923144</v>
      </c>
      <c r="H124" s="24">
        <f t="shared" si="6"/>
        <v>-166.1986076855726</v>
      </c>
      <c r="I124" s="20">
        <f t="shared" si="2"/>
        <v>10159.888348836168</v>
      </c>
      <c r="J124" s="17">
        <f t="shared" si="7"/>
        <v>1.0159888348836168</v>
      </c>
    </row>
    <row r="125" spans="1:10" ht="12" customHeight="1" x14ac:dyDescent="0.3">
      <c r="A125" s="1">
        <f t="shared" si="3"/>
        <v>43692</v>
      </c>
      <c r="B125" s="20">
        <v>11413.04347826087</v>
      </c>
      <c r="C125" s="20">
        <f t="shared" si="4"/>
        <v>10394.021739130434</v>
      </c>
      <c r="D125" s="21" t="str">
        <f t="shared" si="0"/>
        <v>190815</v>
      </c>
      <c r="E125" s="22">
        <f t="shared" si="5"/>
        <v>2.458612</v>
      </c>
      <c r="F125" s="9">
        <v>0</v>
      </c>
      <c r="G125" s="14">
        <f t="shared" si="1"/>
        <v>100.06143166402082</v>
      </c>
      <c r="H125" s="24">
        <f t="shared" si="6"/>
        <v>-166.93335979184099</v>
      </c>
      <c r="I125" s="20">
        <f t="shared" si="2"/>
        <v>10227.088379338593</v>
      </c>
      <c r="J125" s="17">
        <f t="shared" si="7"/>
        <v>1.0227088379338591</v>
      </c>
    </row>
    <row r="126" spans="1:10" ht="12" customHeight="1" x14ac:dyDescent="0.3">
      <c r="A126" s="1">
        <f t="shared" si="3"/>
        <v>43693</v>
      </c>
      <c r="B126" s="20">
        <v>11480.978260869566</v>
      </c>
      <c r="C126" s="20">
        <f t="shared" si="4"/>
        <v>10461.95652173913</v>
      </c>
      <c r="D126" s="21" t="str">
        <f t="shared" si="0"/>
        <v>190816</v>
      </c>
      <c r="E126" s="22">
        <f t="shared" si="5"/>
        <v>2.458612</v>
      </c>
      <c r="F126" s="9">
        <v>0</v>
      </c>
      <c r="G126" s="14">
        <f t="shared" si="1"/>
        <v>100.06135865521645</v>
      </c>
      <c r="H126" s="24">
        <f t="shared" si="6"/>
        <v>-167.66344783547993</v>
      </c>
      <c r="I126" s="20">
        <f t="shared" si="2"/>
        <v>10294.293073903649</v>
      </c>
      <c r="J126" s="17">
        <f t="shared" si="7"/>
        <v>1.0294293073903651</v>
      </c>
    </row>
    <row r="127" spans="1:10" ht="12" customHeight="1" x14ac:dyDescent="0.3">
      <c r="A127" s="1">
        <f t="shared" si="3"/>
        <v>43696</v>
      </c>
      <c r="B127" s="20">
        <v>11684.782608695652</v>
      </c>
      <c r="C127" s="20">
        <f t="shared" si="4"/>
        <v>10665.760869565216</v>
      </c>
      <c r="D127" s="21" t="str">
        <f t="shared" si="0"/>
        <v>190819</v>
      </c>
      <c r="E127" s="22">
        <f t="shared" si="5"/>
        <v>2.458612</v>
      </c>
      <c r="F127" s="9">
        <v>0</v>
      </c>
      <c r="G127" s="14">
        <f t="shared" si="1"/>
        <v>100.06114242755784</v>
      </c>
      <c r="H127" s="24">
        <f t="shared" si="6"/>
        <v>-169.82572442159949</v>
      </c>
      <c r="I127" s="20">
        <f t="shared" si="2"/>
        <v>10495.935145143616</v>
      </c>
      <c r="J127" s="17">
        <f t="shared" si="7"/>
        <v>1.0495935145143616</v>
      </c>
    </row>
    <row r="128" spans="1:10" ht="12" customHeight="1" x14ac:dyDescent="0.3">
      <c r="A128" s="1">
        <f t="shared" si="3"/>
        <v>43697</v>
      </c>
      <c r="B128" s="20">
        <v>11752.717391304348</v>
      </c>
      <c r="C128" s="20">
        <f t="shared" si="4"/>
        <v>10733.695652173912</v>
      </c>
      <c r="D128" s="21" t="str">
        <f t="shared" si="0"/>
        <v>190820</v>
      </c>
      <c r="E128" s="22">
        <f t="shared" si="5"/>
        <v>2.458612</v>
      </c>
      <c r="F128" s="9">
        <v>0</v>
      </c>
      <c r="G128" s="14">
        <f t="shared" si="1"/>
        <v>100.06107128469534</v>
      </c>
      <c r="H128" s="24">
        <f t="shared" si="6"/>
        <v>-170.5371530465527</v>
      </c>
      <c r="I128" s="20">
        <f t="shared" si="2"/>
        <v>10563.158499127359</v>
      </c>
      <c r="J128" s="17">
        <f t="shared" si="7"/>
        <v>1.0563158499127359</v>
      </c>
    </row>
    <row r="129" spans="1:11" ht="12" customHeight="1" x14ac:dyDescent="0.3">
      <c r="A129" s="1">
        <f t="shared" si="3"/>
        <v>43698</v>
      </c>
      <c r="B129" s="20">
        <v>11820.652173913042</v>
      </c>
      <c r="C129" s="20">
        <f t="shared" si="4"/>
        <v>10801.630434782606</v>
      </c>
      <c r="D129" s="21" t="str">
        <f t="shared" si="0"/>
        <v>190821</v>
      </c>
      <c r="E129" s="22">
        <f t="shared" si="5"/>
        <v>2.458612</v>
      </c>
      <c r="F129" s="9">
        <v>0</v>
      </c>
      <c r="G129" s="14">
        <f t="shared" si="1"/>
        <v>100.06100060839744</v>
      </c>
      <c r="H129" s="24">
        <f t="shared" si="6"/>
        <v>-171.24391602564515</v>
      </c>
      <c r="I129" s="20">
        <f t="shared" si="2"/>
        <v>10630.386518756961</v>
      </c>
      <c r="J129" s="17">
        <f t="shared" si="7"/>
        <v>1.0630386518756962</v>
      </c>
      <c r="K129" s="13"/>
    </row>
    <row r="130" spans="1:11" ht="12" customHeight="1" x14ac:dyDescent="0.3">
      <c r="A130" s="1">
        <f t="shared" si="3"/>
        <v>43699</v>
      </c>
      <c r="B130" s="20">
        <v>11888.586956521738</v>
      </c>
      <c r="C130" s="20">
        <f t="shared" si="4"/>
        <v>10869.565217391302</v>
      </c>
      <c r="D130" s="21" t="str">
        <f t="shared" si="0"/>
        <v>190822</v>
      </c>
      <c r="E130" s="22">
        <f t="shared" si="5"/>
        <v>2.458612</v>
      </c>
      <c r="F130" s="9">
        <v>0</v>
      </c>
      <c r="G130" s="14">
        <f t="shared" si="1"/>
        <v>100.06093039869582</v>
      </c>
      <c r="H130" s="24">
        <f t="shared" si="6"/>
        <v>-171.94601304183266</v>
      </c>
      <c r="I130" s="20">
        <f t="shared" si="2"/>
        <v>10697.61920434947</v>
      </c>
      <c r="J130" s="17">
        <f t="shared" si="7"/>
        <v>1.0697619204349469</v>
      </c>
    </row>
    <row r="131" spans="1:11" ht="12" customHeight="1" x14ac:dyDescent="0.3">
      <c r="A131" s="1">
        <f t="shared" si="3"/>
        <v>43700</v>
      </c>
      <c r="B131" s="20">
        <v>11956.521739130434</v>
      </c>
      <c r="C131" s="20">
        <f t="shared" si="4"/>
        <v>10937.499999999998</v>
      </c>
      <c r="D131" s="21" t="str">
        <f t="shared" si="0"/>
        <v>190823</v>
      </c>
      <c r="E131" s="22">
        <f t="shared" si="5"/>
        <v>2.458612</v>
      </c>
      <c r="F131" s="9">
        <v>0</v>
      </c>
      <c r="G131" s="14">
        <f t="shared" si="1"/>
        <v>100.06086065562218</v>
      </c>
      <c r="H131" s="24">
        <f t="shared" si="6"/>
        <v>-172.6434437782132</v>
      </c>
      <c r="I131" s="20">
        <f t="shared" si="2"/>
        <v>10764.856556221785</v>
      </c>
      <c r="J131" s="17">
        <f t="shared" si="7"/>
        <v>1.0764856556221785</v>
      </c>
    </row>
    <row r="132" spans="1:11" ht="12" customHeight="1" x14ac:dyDescent="0.3">
      <c r="A132" s="1">
        <f t="shared" si="3"/>
        <v>43703</v>
      </c>
      <c r="B132" s="20">
        <v>12160.32608695652</v>
      </c>
      <c r="C132" s="20">
        <f t="shared" si="4"/>
        <v>11141.304347826084</v>
      </c>
      <c r="D132" s="21" t="str">
        <f t="shared" si="0"/>
        <v>190826</v>
      </c>
      <c r="E132" s="22">
        <f t="shared" si="5"/>
        <v>2.458612</v>
      </c>
      <c r="F132" s="9">
        <v>0</v>
      </c>
      <c r="G132" s="14">
        <f t="shared" si="1"/>
        <v>100.06065422648584</v>
      </c>
      <c r="H132" s="24">
        <f t="shared" si="6"/>
        <v>-174.70773514162374</v>
      </c>
      <c r="I132" s="20">
        <f t="shared" si="2"/>
        <v>10966.596612684461</v>
      </c>
      <c r="J132" s="17">
        <f t="shared" si="7"/>
        <v>1.0966596612684461</v>
      </c>
    </row>
    <row r="133" spans="1:11" ht="12" customHeight="1" x14ac:dyDescent="0.3">
      <c r="A133" s="1">
        <f t="shared" si="3"/>
        <v>43704</v>
      </c>
      <c r="B133" s="20">
        <v>12228.260869565218</v>
      </c>
      <c r="C133" s="20">
        <f t="shared" si="4"/>
        <v>11209.239130434782</v>
      </c>
      <c r="D133" s="21" t="str">
        <f t="shared" si="0"/>
        <v>190827</v>
      </c>
      <c r="E133" s="22">
        <f t="shared" si="5"/>
        <v>2.458612</v>
      </c>
      <c r="F133" s="9">
        <v>0</v>
      </c>
      <c r="G133" s="14">
        <f t="shared" si="1"/>
        <v>100.06058635024083</v>
      </c>
      <c r="H133" s="24">
        <f t="shared" si="6"/>
        <v>-175.38649759174518</v>
      </c>
      <c r="I133" s="20">
        <f t="shared" si="2"/>
        <v>11033.852632843036</v>
      </c>
      <c r="J133" s="17">
        <f t="shared" si="7"/>
        <v>1.1033852632843038</v>
      </c>
    </row>
    <row r="134" spans="1:11" ht="12" customHeight="1" x14ac:dyDescent="0.3">
      <c r="A134" s="1">
        <f t="shared" si="3"/>
        <v>43705</v>
      </c>
      <c r="B134" s="20">
        <v>12296.195652173914</v>
      </c>
      <c r="C134" s="20">
        <f t="shared" si="4"/>
        <v>11277.173913043478</v>
      </c>
      <c r="D134" s="21" t="str">
        <f t="shared" si="0"/>
        <v>190828</v>
      </c>
      <c r="E134" s="22">
        <f t="shared" si="5"/>
        <v>2.458612</v>
      </c>
      <c r="F134" s="9">
        <v>0</v>
      </c>
      <c r="G134" s="14">
        <f t="shared" si="1"/>
        <v>100.0605189407822</v>
      </c>
      <c r="H134" s="24">
        <f t="shared" si="6"/>
        <v>-176.06059217797562</v>
      </c>
      <c r="I134" s="20">
        <f t="shared" si="2"/>
        <v>11101.113320865503</v>
      </c>
      <c r="J134" s="17">
        <f t="shared" si="7"/>
        <v>1.1101113320865503</v>
      </c>
    </row>
    <row r="135" spans="1:11" ht="12" customHeight="1" x14ac:dyDescent="0.3">
      <c r="A135" s="1">
        <f t="shared" si="3"/>
        <v>43706</v>
      </c>
      <c r="B135" s="20">
        <v>12364.130434782608</v>
      </c>
      <c r="C135" s="20">
        <f t="shared" si="4"/>
        <v>11345.108695652172</v>
      </c>
      <c r="D135" s="21" t="str">
        <f t="shared" si="0"/>
        <v>190829</v>
      </c>
      <c r="E135" s="22">
        <f t="shared" si="5"/>
        <v>2.458612</v>
      </c>
      <c r="F135" s="9">
        <v>0</v>
      </c>
      <c r="G135" s="14">
        <f t="shared" si="1"/>
        <v>100.06045199814162</v>
      </c>
      <c r="H135" s="24">
        <f t="shared" si="6"/>
        <v>-176.73001858383941</v>
      </c>
      <c r="I135" s="20">
        <f t="shared" si="2"/>
        <v>11168.378677068333</v>
      </c>
      <c r="J135" s="17">
        <f t="shared" si="7"/>
        <v>1.1168378677068334</v>
      </c>
    </row>
    <row r="136" spans="1:11" ht="12" customHeight="1" x14ac:dyDescent="0.3">
      <c r="A136" s="1">
        <f t="shared" si="3"/>
        <v>43707</v>
      </c>
      <c r="B136" s="20">
        <v>12432.065217391304</v>
      </c>
      <c r="C136" s="20">
        <f t="shared" si="4"/>
        <v>11413.043478260868</v>
      </c>
      <c r="D136" s="21" t="str">
        <f t="shared" si="0"/>
        <v>190830</v>
      </c>
      <c r="E136" s="22">
        <f t="shared" si="5"/>
        <v>2.458612</v>
      </c>
      <c r="F136" s="9">
        <v>0</v>
      </c>
      <c r="G136" s="14">
        <f t="shared" si="1"/>
        <v>100.06038552235076</v>
      </c>
      <c r="H136" s="24">
        <f t="shared" si="6"/>
        <v>-177.3947764924344</v>
      </c>
      <c r="I136" s="20">
        <f t="shared" si="2"/>
        <v>11235.648701768434</v>
      </c>
      <c r="J136" s="17">
        <f t="shared" si="7"/>
        <v>1.1235648701768435</v>
      </c>
    </row>
    <row r="137" spans="1:11" ht="12" customHeight="1" x14ac:dyDescent="0.3">
      <c r="A137" s="1">
        <f t="shared" si="3"/>
        <v>43710</v>
      </c>
      <c r="B137" s="20">
        <v>137.36263736263737</v>
      </c>
      <c r="C137" s="20">
        <f t="shared" si="4"/>
        <v>11618.340898232202</v>
      </c>
      <c r="D137" s="21" t="str">
        <f t="shared" si="0"/>
        <v>190902</v>
      </c>
      <c r="E137" s="22">
        <f t="shared" si="5"/>
        <v>2.458612</v>
      </c>
      <c r="F137" s="9">
        <v>0</v>
      </c>
      <c r="G137" s="14">
        <f t="shared" si="1"/>
        <v>100.06028229059568</v>
      </c>
      <c r="H137" s="24">
        <f t="shared" si="6"/>
        <v>-178.4270940432009</v>
      </c>
      <c r="I137" s="20">
        <f t="shared" si="2"/>
        <v>11439.913804189</v>
      </c>
      <c r="J137" s="17">
        <f t="shared" si="7"/>
        <v>1.1439913804188999</v>
      </c>
    </row>
    <row r="138" spans="1:11" ht="12" customHeight="1" x14ac:dyDescent="0.3">
      <c r="A138" s="1">
        <f t="shared" si="3"/>
        <v>43711</v>
      </c>
      <c r="B138" s="20">
        <v>206.04395604395603</v>
      </c>
      <c r="C138" s="20">
        <f t="shared" si="4"/>
        <v>11687.02221691352</v>
      </c>
      <c r="D138" s="21" t="str">
        <f t="shared" si="0"/>
        <v>190903</v>
      </c>
      <c r="E138" s="22">
        <f t="shared" si="5"/>
        <v>2.458612</v>
      </c>
      <c r="F138" s="9">
        <v>0</v>
      </c>
      <c r="G138" s="14">
        <f t="shared" si="1"/>
        <v>100.06013095239184</v>
      </c>
      <c r="H138" s="24">
        <f t="shared" si="6"/>
        <v>-179.94047608155483</v>
      </c>
      <c r="I138" s="20">
        <f t="shared" si="2"/>
        <v>11507.081740831965</v>
      </c>
      <c r="J138" s="17">
        <f t="shared" si="7"/>
        <v>1.1507081740831966</v>
      </c>
    </row>
    <row r="139" spans="1:11" ht="12" customHeight="1" x14ac:dyDescent="0.3">
      <c r="A139" s="1">
        <f t="shared" si="3"/>
        <v>43712</v>
      </c>
      <c r="B139" s="20">
        <v>274.72527472527474</v>
      </c>
      <c r="C139" s="20">
        <f t="shared" si="4"/>
        <v>11755.703535594837</v>
      </c>
      <c r="D139" s="21" t="str">
        <f t="shared" si="0"/>
        <v>190904</v>
      </c>
      <c r="E139" s="22">
        <f t="shared" si="5"/>
        <v>2.458612</v>
      </c>
      <c r="F139" s="9">
        <v>0</v>
      </c>
      <c r="G139" s="14">
        <f t="shared" si="1"/>
        <v>100.05998007530893</v>
      </c>
      <c r="H139" s="24">
        <f t="shared" si="6"/>
        <v>-181.44924691071651</v>
      </c>
      <c r="I139" s="20">
        <f t="shared" si="2"/>
        <v>11574.25428868412</v>
      </c>
      <c r="J139" s="17">
        <f t="shared" si="7"/>
        <v>1.157425428868412</v>
      </c>
    </row>
    <row r="140" spans="1:11" ht="12" customHeight="1" x14ac:dyDescent="0.3">
      <c r="A140" s="1">
        <f t="shared" si="3"/>
        <v>43713</v>
      </c>
      <c r="B140" s="20">
        <v>343.40659340659346</v>
      </c>
      <c r="C140" s="20">
        <f t="shared" si="4"/>
        <v>11824.384854276155</v>
      </c>
      <c r="D140" s="21" t="str">
        <f t="shared" si="0"/>
        <v>190905</v>
      </c>
      <c r="E140" s="22">
        <f t="shared" si="5"/>
        <v>2.458612</v>
      </c>
      <c r="F140" s="9">
        <v>0</v>
      </c>
      <c r="G140" s="14">
        <f t="shared" si="1"/>
        <v>100.05982965937821</v>
      </c>
      <c r="H140" s="24">
        <f t="shared" si="6"/>
        <v>-182.95340621790498</v>
      </c>
      <c r="I140" s="20">
        <f t="shared" si="2"/>
        <v>11641.431448058251</v>
      </c>
      <c r="J140" s="17">
        <f t="shared" si="7"/>
        <v>1.164143144805825</v>
      </c>
    </row>
    <row r="141" spans="1:11" ht="12" customHeight="1" x14ac:dyDescent="0.3">
      <c r="A141" s="1">
        <f t="shared" si="3"/>
        <v>43714</v>
      </c>
      <c r="B141" s="20">
        <v>412.08791208791206</v>
      </c>
      <c r="C141" s="20">
        <f t="shared" si="4"/>
        <v>11893.066172957473</v>
      </c>
      <c r="D141" s="21" t="str">
        <f t="shared" si="0"/>
        <v>190906</v>
      </c>
      <c r="E141" s="22">
        <f t="shared" si="5"/>
        <v>2.458612</v>
      </c>
      <c r="F141" s="9">
        <v>0</v>
      </c>
      <c r="G141" s="14">
        <f t="shared" si="1"/>
        <v>100.05967970463099</v>
      </c>
      <c r="H141" s="24">
        <f t="shared" si="6"/>
        <v>-184.45295369005521</v>
      </c>
      <c r="I141" s="20">
        <f t="shared" si="2"/>
        <v>11708.613219267418</v>
      </c>
      <c r="J141" s="17">
        <f t="shared" si="7"/>
        <v>1.1708613219267419</v>
      </c>
    </row>
    <row r="142" spans="1:11" ht="12" customHeight="1" x14ac:dyDescent="0.3">
      <c r="A142" s="1">
        <f t="shared" si="3"/>
        <v>43717</v>
      </c>
      <c r="B142" s="20">
        <v>618.13186813186815</v>
      </c>
      <c r="C142" s="20">
        <f t="shared" si="4"/>
        <v>12099.110129001429</v>
      </c>
      <c r="D142" s="21" t="str">
        <f t="shared" si="0"/>
        <v>190909</v>
      </c>
      <c r="E142" s="22">
        <f t="shared" si="5"/>
        <v>2.458612</v>
      </c>
      <c r="F142" s="9">
        <v>0</v>
      </c>
      <c r="G142" s="14">
        <f t="shared" si="1"/>
        <v>100.05923260780352</v>
      </c>
      <c r="H142" s="24">
        <f t="shared" si="6"/>
        <v>-188.92392196477201</v>
      </c>
      <c r="I142" s="20">
        <f t="shared" si="2"/>
        <v>11910.186207036657</v>
      </c>
      <c r="J142" s="17">
        <f t="shared" si="7"/>
        <v>1.1910186207036657</v>
      </c>
    </row>
    <row r="143" spans="1:11" ht="12" customHeight="1" x14ac:dyDescent="0.3">
      <c r="A143" s="1">
        <f t="shared" si="3"/>
        <v>43718</v>
      </c>
      <c r="B143" s="20">
        <v>686.81318681318692</v>
      </c>
      <c r="C143" s="20">
        <f t="shared" si="4"/>
        <v>12167.791447682746</v>
      </c>
      <c r="D143" s="21" t="str">
        <f t="shared" si="0"/>
        <v>190910</v>
      </c>
      <c r="E143" s="22">
        <f t="shared" si="5"/>
        <v>2.458612</v>
      </c>
      <c r="F143" s="9">
        <v>0</v>
      </c>
      <c r="G143" s="14">
        <f t="shared" si="1"/>
        <v>100.05908449810342</v>
      </c>
      <c r="H143" s="24">
        <f t="shared" si="6"/>
        <v>-190.40501896583351</v>
      </c>
      <c r="I143" s="20">
        <f t="shared" si="2"/>
        <v>11977.386428716913</v>
      </c>
      <c r="J143" s="17">
        <f t="shared" si="7"/>
        <v>1.1977386428716912</v>
      </c>
    </row>
    <row r="144" spans="1:11" ht="12" customHeight="1" x14ac:dyDescent="0.3">
      <c r="A144" s="1">
        <f t="shared" si="3"/>
        <v>43719</v>
      </c>
      <c r="B144" s="20">
        <v>755.49450549450546</v>
      </c>
      <c r="C144" s="20">
        <f t="shared" si="4"/>
        <v>12236.472766364064</v>
      </c>
      <c r="D144" s="21" t="str">
        <f t="shared" si="0"/>
        <v>190911</v>
      </c>
      <c r="E144" s="22">
        <f t="shared" si="5"/>
        <v>2.458612</v>
      </c>
      <c r="F144" s="9">
        <v>0</v>
      </c>
      <c r="G144" s="14">
        <f t="shared" si="1"/>
        <v>100.0589368497434</v>
      </c>
      <c r="H144" s="24">
        <f t="shared" si="6"/>
        <v>-191.88150256596259</v>
      </c>
      <c r="I144" s="20">
        <f t="shared" si="2"/>
        <v>12044.591263798102</v>
      </c>
      <c r="J144" s="17">
        <f t="shared" si="7"/>
        <v>1.2044591263798101</v>
      </c>
    </row>
    <row r="145" spans="1:10" ht="12" customHeight="1" x14ac:dyDescent="0.3">
      <c r="A145" s="1">
        <f t="shared" si="3"/>
        <v>43720</v>
      </c>
      <c r="B145" s="20">
        <v>824.17582417582412</v>
      </c>
      <c r="C145" s="20">
        <f t="shared" si="4"/>
        <v>12305.154085045382</v>
      </c>
      <c r="D145" s="21" t="str">
        <f t="shared" si="0"/>
        <v>190912</v>
      </c>
      <c r="E145" s="22">
        <f t="shared" si="5"/>
        <v>2.458612</v>
      </c>
      <c r="F145" s="9">
        <v>0</v>
      </c>
      <c r="G145" s="14">
        <f t="shared" si="1"/>
        <v>100.05878966275476</v>
      </c>
      <c r="H145" s="24">
        <f t="shared" si="6"/>
        <v>-193.35337245237838</v>
      </c>
      <c r="I145" s="20">
        <f t="shared" si="2"/>
        <v>12111.800712593003</v>
      </c>
      <c r="J145" s="17">
        <f t="shared" si="7"/>
        <v>1.2111800712593002</v>
      </c>
    </row>
    <row r="146" spans="1:10" ht="12" customHeight="1" x14ac:dyDescent="0.3">
      <c r="A146" s="1">
        <f t="shared" si="3"/>
        <v>43721</v>
      </c>
      <c r="B146" s="20">
        <v>892.85714285714278</v>
      </c>
      <c r="C146" s="20">
        <f t="shared" si="4"/>
        <v>12373.8354037267</v>
      </c>
      <c r="D146" s="21" t="str">
        <f t="shared" si="0"/>
        <v>190913</v>
      </c>
      <c r="E146" s="22">
        <f t="shared" si="5"/>
        <v>2.458612</v>
      </c>
      <c r="F146" s="9">
        <v>0</v>
      </c>
      <c r="G146" s="14">
        <f t="shared" si="1"/>
        <v>100.0586429371688</v>
      </c>
      <c r="H146" s="24">
        <f t="shared" si="6"/>
        <v>-194.82062831201577</v>
      </c>
      <c r="I146" s="20">
        <f t="shared" si="2"/>
        <v>12179.014775414684</v>
      </c>
      <c r="J146" s="17">
        <f t="shared" si="7"/>
        <v>1.2179014775414685</v>
      </c>
    </row>
    <row r="147" spans="1:10" ht="12" customHeight="1" x14ac:dyDescent="0.3">
      <c r="A147" s="1">
        <f t="shared" si="3"/>
        <v>43724</v>
      </c>
      <c r="B147" s="20">
        <v>1098.901098901099</v>
      </c>
      <c r="C147" s="20">
        <f t="shared" si="4"/>
        <v>12579.879359770655</v>
      </c>
      <c r="D147" s="21" t="str">
        <f t="shared" si="0"/>
        <v>190916</v>
      </c>
      <c r="E147" s="22">
        <f t="shared" si="5"/>
        <v>2.458612</v>
      </c>
      <c r="F147" s="9">
        <v>0</v>
      </c>
      <c r="G147" s="14">
        <f t="shared" si="1"/>
        <v>100.05820552914027</v>
      </c>
      <c r="H147" s="24">
        <f t="shared" si="6"/>
        <v>-199.19470859733224</v>
      </c>
      <c r="I147" s="20">
        <f t="shared" si="2"/>
        <v>12380.684651173324</v>
      </c>
      <c r="J147" s="17">
        <f t="shared" si="7"/>
        <v>1.2380684651173324</v>
      </c>
    </row>
    <row r="148" spans="1:10" ht="12" customHeight="1" x14ac:dyDescent="0.3">
      <c r="A148" s="1">
        <f t="shared" si="3"/>
        <v>43725</v>
      </c>
      <c r="B148" s="20">
        <v>1167.5824175824175</v>
      </c>
      <c r="C148" s="20">
        <f t="shared" si="4"/>
        <v>12648.560678451973</v>
      </c>
      <c r="D148" s="21" t="str">
        <f t="shared" si="0"/>
        <v>190917</v>
      </c>
      <c r="E148" s="22">
        <f t="shared" si="5"/>
        <v>2.458612</v>
      </c>
      <c r="F148" s="9">
        <v>0</v>
      </c>
      <c r="G148" s="14">
        <f t="shared" si="1"/>
        <v>100.05806064947831</v>
      </c>
      <c r="H148" s="24">
        <f t="shared" si="6"/>
        <v>-200.64350521693086</v>
      </c>
      <c r="I148" s="20">
        <f t="shared" si="2"/>
        <v>12447.917173235042</v>
      </c>
      <c r="J148" s="17">
        <f t="shared" si="7"/>
        <v>1.2447917173235041</v>
      </c>
    </row>
    <row r="149" spans="1:10" ht="12" customHeight="1" x14ac:dyDescent="0.3">
      <c r="A149" s="1">
        <f t="shared" si="3"/>
        <v>43726</v>
      </c>
      <c r="B149" s="20">
        <v>1236.2637362637363</v>
      </c>
      <c r="C149" s="20">
        <f t="shared" si="4"/>
        <v>12717.241997133293</v>
      </c>
      <c r="D149" s="21" t="str">
        <f t="shared" si="0"/>
        <v>190918</v>
      </c>
      <c r="E149" s="22">
        <f t="shared" si="5"/>
        <v>2.458612</v>
      </c>
      <c r="F149" s="9">
        <v>0</v>
      </c>
      <c r="G149" s="14">
        <f t="shared" si="1"/>
        <v>100.05791623137564</v>
      </c>
      <c r="H149" s="24">
        <f t="shared" si="6"/>
        <v>-202.08768624357276</v>
      </c>
      <c r="I149" s="20">
        <f t="shared" si="2"/>
        <v>12515.15431088972</v>
      </c>
      <c r="J149" s="17">
        <f t="shared" si="7"/>
        <v>1.251515431088972</v>
      </c>
    </row>
    <row r="150" spans="1:10" ht="12" customHeight="1" x14ac:dyDescent="0.3">
      <c r="A150" s="1">
        <f t="shared" si="3"/>
        <v>43727</v>
      </c>
      <c r="B150" s="20">
        <v>1304.9450549450551</v>
      </c>
      <c r="C150" s="20">
        <f t="shared" si="4"/>
        <v>12785.923315814613</v>
      </c>
      <c r="D150" s="21" t="str">
        <f t="shared" si="0"/>
        <v>190919</v>
      </c>
      <c r="E150" s="22">
        <f t="shared" si="5"/>
        <v>2.458612</v>
      </c>
      <c r="F150" s="9">
        <v>0</v>
      </c>
      <c r="G150" s="14">
        <f t="shared" si="1"/>
        <v>100.05777227486364</v>
      </c>
      <c r="H150" s="24">
        <f t="shared" si="6"/>
        <v>-203.52725136362437</v>
      </c>
      <c r="I150" s="20">
        <f t="shared" si="2"/>
        <v>12582.396064450988</v>
      </c>
      <c r="J150" s="17">
        <f t="shared" si="7"/>
        <v>1.2582396064450987</v>
      </c>
    </row>
    <row r="151" spans="1:10" ht="12" customHeight="1" x14ac:dyDescent="0.3">
      <c r="A151" s="1">
        <f t="shared" si="3"/>
        <v>43728</v>
      </c>
      <c r="B151" s="20">
        <v>1373.6263736263738</v>
      </c>
      <c r="C151" s="20">
        <f t="shared" si="4"/>
        <v>12854.604634495932</v>
      </c>
      <c r="D151" s="21" t="str">
        <f t="shared" si="0"/>
        <v>190920</v>
      </c>
      <c r="E151" s="22">
        <f t="shared" si="5"/>
        <v>2.458612</v>
      </c>
      <c r="F151" s="9">
        <v>0</v>
      </c>
      <c r="G151" s="14">
        <f t="shared" si="1"/>
        <v>100.05762877997361</v>
      </c>
      <c r="H151" s="24">
        <f t="shared" si="6"/>
        <v>-204.96220026387849</v>
      </c>
      <c r="I151" s="20">
        <f t="shared" si="2"/>
        <v>12649.642434232053</v>
      </c>
      <c r="J151" s="17">
        <f t="shared" si="7"/>
        <v>1.2649642434232053</v>
      </c>
    </row>
    <row r="152" spans="1:10" ht="12" customHeight="1" x14ac:dyDescent="0.3">
      <c r="A152" s="1">
        <f t="shared" si="3"/>
        <v>43731</v>
      </c>
      <c r="B152" s="20">
        <v>1579.6703296703295</v>
      </c>
      <c r="C152" s="20">
        <f t="shared" si="4"/>
        <v>13060.648590539888</v>
      </c>
      <c r="D152" s="21" t="str">
        <f t="shared" si="0"/>
        <v>190923</v>
      </c>
      <c r="E152" s="22">
        <f t="shared" si="5"/>
        <v>2.458612</v>
      </c>
      <c r="F152" s="9">
        <v>0</v>
      </c>
      <c r="G152" s="14">
        <f t="shared" si="1"/>
        <v>100.05720106534876</v>
      </c>
      <c r="H152" s="24">
        <f t="shared" si="6"/>
        <v>-209.23934651236209</v>
      </c>
      <c r="I152" s="20">
        <f t="shared" si="2"/>
        <v>12851.409244027525</v>
      </c>
      <c r="J152" s="17">
        <f t="shared" si="7"/>
        <v>1.2851409244027525</v>
      </c>
    </row>
    <row r="153" spans="1:10" ht="12" customHeight="1" x14ac:dyDescent="0.3">
      <c r="A153" s="1">
        <f t="shared" si="3"/>
        <v>43732</v>
      </c>
      <c r="B153" s="20">
        <v>1648.3516483516482</v>
      </c>
      <c r="C153" s="20">
        <f t="shared" si="4"/>
        <v>13129.329909221207</v>
      </c>
      <c r="D153" s="21" t="str">
        <f t="shared" si="0"/>
        <v>190924</v>
      </c>
      <c r="E153" s="22">
        <f t="shared" si="5"/>
        <v>2.458612</v>
      </c>
      <c r="F153" s="9">
        <v>0</v>
      </c>
      <c r="G153" s="14">
        <f t="shared" si="1"/>
        <v>100.05705941726004</v>
      </c>
      <c r="H153" s="24">
        <f t="shared" si="6"/>
        <v>-210.65582739964842</v>
      </c>
      <c r="I153" s="20">
        <f t="shared" si="2"/>
        <v>12918.674081821559</v>
      </c>
      <c r="J153" s="17">
        <f t="shared" si="7"/>
        <v>1.2918674081821557</v>
      </c>
    </row>
    <row r="154" spans="1:10" ht="12" customHeight="1" x14ac:dyDescent="0.3">
      <c r="A154" s="1">
        <f t="shared" si="3"/>
        <v>43733</v>
      </c>
      <c r="B154" s="20">
        <v>1717.0329670329672</v>
      </c>
      <c r="C154" s="20">
        <f t="shared" si="4"/>
        <v>13198.011227902527</v>
      </c>
      <c r="D154" s="21" t="str">
        <f t="shared" si="0"/>
        <v>190925</v>
      </c>
      <c r="E154" s="22">
        <f t="shared" si="5"/>
        <v>2.458612</v>
      </c>
      <c r="F154" s="9">
        <v>0</v>
      </c>
      <c r="G154" s="14">
        <f t="shared" si="1"/>
        <v>100.05691823094998</v>
      </c>
      <c r="H154" s="24">
        <f t="shared" si="6"/>
        <v>-212.06769050024832</v>
      </c>
      <c r="I154" s="20">
        <f t="shared" si="2"/>
        <v>12985.94353740228</v>
      </c>
      <c r="J154" s="17">
        <f t="shared" si="7"/>
        <v>1.298594353740228</v>
      </c>
    </row>
    <row r="155" spans="1:10" ht="12" customHeight="1" x14ac:dyDescent="0.3">
      <c r="A155" s="1">
        <f t="shared" si="3"/>
        <v>43734</v>
      </c>
      <c r="B155" s="20">
        <v>1785.7142857142856</v>
      </c>
      <c r="C155" s="20">
        <f t="shared" si="4"/>
        <v>13266.692546583845</v>
      </c>
      <c r="D155" s="21" t="str">
        <f t="shared" si="0"/>
        <v>190926</v>
      </c>
      <c r="E155" s="22">
        <f t="shared" si="5"/>
        <v>2.458612</v>
      </c>
      <c r="F155" s="9">
        <v>0</v>
      </c>
      <c r="G155" s="14">
        <f t="shared" si="1"/>
        <v>100.05677750644995</v>
      </c>
      <c r="H155" s="24">
        <f t="shared" si="6"/>
        <v>-213.47493550052829</v>
      </c>
      <c r="I155" s="20">
        <f t="shared" si="2"/>
        <v>13053.217611083317</v>
      </c>
      <c r="J155" s="17">
        <f t="shared" si="7"/>
        <v>1.3053217611083316</v>
      </c>
    </row>
    <row r="156" spans="1:10" ht="12" customHeight="1" x14ac:dyDescent="0.3">
      <c r="A156" s="1">
        <f t="shared" si="3"/>
        <v>43735</v>
      </c>
      <c r="B156" s="20">
        <v>1854.3956043956046</v>
      </c>
      <c r="C156" s="20">
        <f t="shared" si="4"/>
        <v>13335.373865265165</v>
      </c>
      <c r="D156" s="21" t="str">
        <f t="shared" si="0"/>
        <v>190927</v>
      </c>
      <c r="E156" s="22">
        <f t="shared" si="5"/>
        <v>2.458612</v>
      </c>
      <c r="F156" s="9">
        <v>0</v>
      </c>
      <c r="G156" s="14">
        <f t="shared" si="1"/>
        <v>100.05663724379129</v>
      </c>
      <c r="H156" s="24">
        <f t="shared" si="6"/>
        <v>-214.87756208713904</v>
      </c>
      <c r="I156" s="20">
        <f t="shared" si="2"/>
        <v>13120.496303178026</v>
      </c>
      <c r="J156" s="17">
        <f t="shared" si="7"/>
        <v>1.3120496303178026</v>
      </c>
    </row>
    <row r="157" spans="1:10" ht="12" customHeight="1" x14ac:dyDescent="0.3">
      <c r="A157" s="1">
        <f t="shared" si="3"/>
        <v>43738</v>
      </c>
      <c r="B157" s="20">
        <v>2060.4395604395604</v>
      </c>
      <c r="C157" s="20">
        <f t="shared" si="4"/>
        <v>13541.41782130912</v>
      </c>
      <c r="D157" s="21" t="str">
        <f t="shared" si="0"/>
        <v>190930</v>
      </c>
      <c r="E157" s="22">
        <f t="shared" si="5"/>
        <v>2.458612</v>
      </c>
      <c r="F157" s="9">
        <v>0</v>
      </c>
      <c r="G157" s="14">
        <f t="shared" si="1"/>
        <v>100.05621922717705</v>
      </c>
      <c r="H157" s="24">
        <f t="shared" si="6"/>
        <v>-219.05772822947256</v>
      </c>
      <c r="I157" s="20">
        <f t="shared" si="2"/>
        <v>13322.360093079647</v>
      </c>
      <c r="J157" s="17">
        <f t="shared" si="7"/>
        <v>1.3322360093079648</v>
      </c>
    </row>
    <row r="158" spans="1:10" ht="12" customHeight="1" x14ac:dyDescent="0.3">
      <c r="A158" s="1">
        <f t="shared" si="3"/>
        <v>43739</v>
      </c>
      <c r="B158" s="20">
        <v>2129.1208791208792</v>
      </c>
      <c r="C158" s="20">
        <f t="shared" si="4"/>
        <v>13610.099139990438</v>
      </c>
      <c r="D158" s="21" t="str">
        <f t="shared" si="0"/>
        <v>191001</v>
      </c>
      <c r="E158" s="22">
        <f t="shared" si="5"/>
        <v>2.458612</v>
      </c>
      <c r="F158" s="9">
        <v>0</v>
      </c>
      <c r="G158" s="14">
        <f t="shared" si="1"/>
        <v>100.05608081219741</v>
      </c>
      <c r="H158" s="24">
        <f t="shared" si="6"/>
        <v>-220.44187802592319</v>
      </c>
      <c r="I158" s="20">
        <f t="shared" si="2"/>
        <v>13389.657261964514</v>
      </c>
      <c r="J158" s="17">
        <f t="shared" si="7"/>
        <v>1.3389657261964514</v>
      </c>
    </row>
    <row r="159" spans="1:10" ht="12" customHeight="1" x14ac:dyDescent="0.3">
      <c r="A159" s="1">
        <f t="shared" si="3"/>
        <v>43740</v>
      </c>
      <c r="B159" s="20">
        <v>2197.802197802198</v>
      </c>
      <c r="C159" s="20">
        <f t="shared" si="4"/>
        <v>13678.780458671758</v>
      </c>
      <c r="D159" s="21" t="str">
        <f t="shared" si="0"/>
        <v>191002</v>
      </c>
      <c r="E159" s="22">
        <f t="shared" si="5"/>
        <v>2.458612</v>
      </c>
      <c r="F159" s="9">
        <v>0</v>
      </c>
      <c r="G159" s="14">
        <f t="shared" si="1"/>
        <v>100.05594285921586</v>
      </c>
      <c r="H159" s="24">
        <f t="shared" si="6"/>
        <v>-221.82140784138937</v>
      </c>
      <c r="I159" s="20">
        <f t="shared" si="2"/>
        <v>13456.959050830368</v>
      </c>
      <c r="J159" s="17">
        <f t="shared" si="7"/>
        <v>1.3456959050830368</v>
      </c>
    </row>
    <row r="160" spans="1:10" ht="12" customHeight="1" x14ac:dyDescent="0.3">
      <c r="A160" s="1">
        <f t="shared" si="3"/>
        <v>43741</v>
      </c>
      <c r="B160" s="20">
        <v>2266.4835164835163</v>
      </c>
      <c r="C160" s="20">
        <f t="shared" si="4"/>
        <v>13747.461777353075</v>
      </c>
      <c r="D160" s="21" t="str">
        <f t="shared" si="0"/>
        <v>191003</v>
      </c>
      <c r="E160" s="22">
        <f t="shared" si="5"/>
        <v>2.458612</v>
      </c>
      <c r="F160" s="9">
        <v>0</v>
      </c>
      <c r="G160" s="14">
        <f t="shared" si="1"/>
        <v>100.05580536826386</v>
      </c>
      <c r="H160" s="24">
        <f t="shared" si="6"/>
        <v>-223.1963173613849</v>
      </c>
      <c r="I160" s="20">
        <f t="shared" si="2"/>
        <v>13524.26545999169</v>
      </c>
      <c r="J160" s="17">
        <f t="shared" si="7"/>
        <v>1.3524265459991689</v>
      </c>
    </row>
    <row r="161" spans="1:10" ht="12" customHeight="1" x14ac:dyDescent="0.3">
      <c r="A161" s="1">
        <f t="shared" si="3"/>
        <v>43742</v>
      </c>
      <c r="B161" s="20">
        <v>2335.164835164835</v>
      </c>
      <c r="C161" s="20">
        <f t="shared" si="4"/>
        <v>13816.143096034393</v>
      </c>
      <c r="D161" s="21" t="str">
        <f t="shared" si="0"/>
        <v>191004</v>
      </c>
      <c r="E161" s="22">
        <f t="shared" si="5"/>
        <v>2.458612</v>
      </c>
      <c r="F161" s="9">
        <v>0</v>
      </c>
      <c r="G161" s="14">
        <f t="shared" si="1"/>
        <v>100.05566833937272</v>
      </c>
      <c r="H161" s="24">
        <f t="shared" si="6"/>
        <v>-224.56660627284467</v>
      </c>
      <c r="I161" s="20">
        <f t="shared" si="2"/>
        <v>13591.576489761548</v>
      </c>
      <c r="J161" s="17">
        <f t="shared" si="7"/>
        <v>1.3591576489761548</v>
      </c>
    </row>
    <row r="162" spans="1:10" ht="12" customHeight="1" x14ac:dyDescent="0.3">
      <c r="A162" s="1">
        <f t="shared" si="3"/>
        <v>43745</v>
      </c>
      <c r="B162" s="20">
        <v>2541.2087912087909</v>
      </c>
      <c r="C162" s="20">
        <f t="shared" si="4"/>
        <v>14022.187052078349</v>
      </c>
      <c r="D162" s="21" t="str">
        <f t="shared" si="0"/>
        <v>191007</v>
      </c>
      <c r="E162" s="22">
        <f t="shared" si="5"/>
        <v>2.458612</v>
      </c>
      <c r="F162" s="9">
        <v>0</v>
      </c>
      <c r="G162" s="14">
        <f t="shared" si="1"/>
        <v>100.05526002537815</v>
      </c>
      <c r="H162" s="24">
        <f t="shared" si="6"/>
        <v>-228.64974621853659</v>
      </c>
      <c r="I162" s="20">
        <f t="shared" si="2"/>
        <v>13793.537305859812</v>
      </c>
      <c r="J162" s="17">
        <f t="shared" si="7"/>
        <v>1.3793537305859813</v>
      </c>
    </row>
    <row r="163" spans="1:10" ht="12" customHeight="1" x14ac:dyDescent="0.3">
      <c r="A163" s="1">
        <f t="shared" si="3"/>
        <v>43746</v>
      </c>
      <c r="B163" s="20">
        <v>2609.8901098901101</v>
      </c>
      <c r="C163" s="20">
        <f t="shared" si="4"/>
        <v>14090.868370759668</v>
      </c>
      <c r="D163" s="21" t="str">
        <f t="shared" si="0"/>
        <v>191008</v>
      </c>
      <c r="E163" s="22">
        <f t="shared" si="5"/>
        <v>2.458612</v>
      </c>
      <c r="F163" s="9">
        <v>0</v>
      </c>
      <c r="G163" s="14">
        <f t="shared" si="1"/>
        <v>100.05512484504415</v>
      </c>
      <c r="H163" s="24">
        <f t="shared" si="6"/>
        <v>-230.00154955852281</v>
      </c>
      <c r="I163" s="20">
        <f t="shared" si="2"/>
        <v>13860.866821201145</v>
      </c>
      <c r="J163" s="17">
        <f t="shared" si="7"/>
        <v>1.3860866821201145</v>
      </c>
    </row>
    <row r="164" spans="1:10" ht="12" customHeight="1" x14ac:dyDescent="0.3">
      <c r="A164" s="1">
        <f t="shared" si="3"/>
        <v>43747</v>
      </c>
      <c r="B164" s="20">
        <v>2678.5714285714284</v>
      </c>
      <c r="C164" s="20">
        <f t="shared" si="4"/>
        <v>14159.549689440986</v>
      </c>
      <c r="D164" s="21" t="str">
        <f t="shared" si="0"/>
        <v>191009</v>
      </c>
      <c r="E164" s="22">
        <f t="shared" si="5"/>
        <v>2.458612</v>
      </c>
      <c r="F164" s="9">
        <v>0</v>
      </c>
      <c r="G164" s="14">
        <f t="shared" si="1"/>
        <v>100.05499012692786</v>
      </c>
      <c r="H164" s="24">
        <f t="shared" si="6"/>
        <v>-231.34873072137907</v>
      </c>
      <c r="I164" s="20">
        <f t="shared" si="2"/>
        <v>13928.200958719608</v>
      </c>
      <c r="J164" s="17">
        <f t="shared" si="7"/>
        <v>1.392820095871961</v>
      </c>
    </row>
    <row r="165" spans="1:10" ht="12" customHeight="1" x14ac:dyDescent="0.3">
      <c r="A165" s="1">
        <f t="shared" si="3"/>
        <v>43748</v>
      </c>
      <c r="B165" s="20">
        <v>2747.2527472527477</v>
      </c>
      <c r="C165" s="20">
        <f t="shared" si="4"/>
        <v>14228.231008122306</v>
      </c>
      <c r="D165" s="21" t="str">
        <f t="shared" si="0"/>
        <v>191010</v>
      </c>
      <c r="E165" s="22">
        <f t="shared" si="5"/>
        <v>2.458612</v>
      </c>
      <c r="F165" s="9">
        <v>0</v>
      </c>
      <c r="G165" s="14">
        <f t="shared" si="1"/>
        <v>100.05485587106065</v>
      </c>
      <c r="H165" s="24">
        <f t="shared" si="6"/>
        <v>-232.69128939347181</v>
      </c>
      <c r="I165" s="20">
        <f t="shared" si="2"/>
        <v>13995.539718728834</v>
      </c>
      <c r="J165" s="17">
        <f t="shared" si="7"/>
        <v>1.3995539718728836</v>
      </c>
    </row>
    <row r="166" spans="1:10" ht="12" customHeight="1" x14ac:dyDescent="0.3">
      <c r="A166" s="1">
        <f t="shared" si="3"/>
        <v>43749</v>
      </c>
      <c r="B166" s="20">
        <v>2815.9340659340655</v>
      </c>
      <c r="C166" s="20">
        <f t="shared" si="4"/>
        <v>14296.912326803624</v>
      </c>
      <c r="D166" s="21" t="str">
        <f t="shared" si="0"/>
        <v>191011</v>
      </c>
      <c r="E166" s="22">
        <f t="shared" si="5"/>
        <v>2.458612</v>
      </c>
      <c r="F166" s="9">
        <v>0</v>
      </c>
      <c r="G166" s="14">
        <f t="shared" si="1"/>
        <v>100.0547220774739</v>
      </c>
      <c r="H166" s="24">
        <f t="shared" si="6"/>
        <v>-234.02922526102543</v>
      </c>
      <c r="I166" s="20">
        <f t="shared" si="2"/>
        <v>14062.883101542599</v>
      </c>
      <c r="J166" s="17">
        <f t="shared" si="7"/>
        <v>1.4062883101542598</v>
      </c>
    </row>
    <row r="167" spans="1:10" ht="12" customHeight="1" x14ac:dyDescent="0.3">
      <c r="A167" s="1">
        <f t="shared" si="3"/>
        <v>43752</v>
      </c>
      <c r="B167" s="20">
        <v>3021.9780219780218</v>
      </c>
      <c r="C167" s="20">
        <f t="shared" si="4"/>
        <v>14502.956282847579</v>
      </c>
      <c r="D167" s="21" t="str">
        <f t="shared" si="0"/>
        <v>191014</v>
      </c>
      <c r="E167" s="22">
        <f t="shared" si="5"/>
        <v>2.458612</v>
      </c>
      <c r="F167" s="9">
        <v>0</v>
      </c>
      <c r="G167" s="14">
        <f t="shared" si="1"/>
        <v>100.0543234707103</v>
      </c>
      <c r="H167" s="24">
        <f t="shared" si="6"/>
        <v>-238.01529289698919</v>
      </c>
      <c r="I167" s="20">
        <f t="shared" si="2"/>
        <v>14264.94098995059</v>
      </c>
      <c r="J167" s="17">
        <f t="shared" si="7"/>
        <v>1.426494098995059</v>
      </c>
    </row>
    <row r="168" spans="1:10" ht="12" customHeight="1" x14ac:dyDescent="0.3">
      <c r="A168" s="1">
        <f t="shared" si="3"/>
        <v>43753</v>
      </c>
      <c r="B168" s="20">
        <v>3090.6593406593411</v>
      </c>
      <c r="C168" s="20">
        <f t="shared" si="4"/>
        <v>14571.637601528899</v>
      </c>
      <c r="D168" s="21" t="str">
        <f t="shared" si="0"/>
        <v>191015</v>
      </c>
      <c r="E168" s="22">
        <f t="shared" si="5"/>
        <v>2.458612</v>
      </c>
      <c r="F168" s="9">
        <v>0</v>
      </c>
      <c r="G168" s="14">
        <f t="shared" si="1"/>
        <v>100.05419152655924</v>
      </c>
      <c r="H168" s="24">
        <f t="shared" si="6"/>
        <v>-239.33473440763464</v>
      </c>
      <c r="I168" s="20">
        <f t="shared" si="2"/>
        <v>14332.302867121263</v>
      </c>
      <c r="J168" s="17">
        <f t="shared" si="7"/>
        <v>1.4332302867121263</v>
      </c>
    </row>
    <row r="169" spans="1:10" ht="12" customHeight="1" x14ac:dyDescent="0.3">
      <c r="A169" s="1">
        <f t="shared" si="3"/>
        <v>43754</v>
      </c>
      <c r="B169" s="20">
        <v>3159.3406593406589</v>
      </c>
      <c r="C169" s="20">
        <f t="shared" si="4"/>
        <v>14640.318920210217</v>
      </c>
      <c r="D169" s="21" t="str">
        <f t="shared" si="0"/>
        <v>191016</v>
      </c>
      <c r="E169" s="22">
        <f t="shared" si="5"/>
        <v>2.458612</v>
      </c>
      <c r="F169" s="9">
        <v>0</v>
      </c>
      <c r="G169" s="14">
        <f t="shared" si="1"/>
        <v>100.05406004484558</v>
      </c>
      <c r="H169" s="24">
        <f t="shared" si="6"/>
        <v>-240.64955154415202</v>
      </c>
      <c r="I169" s="20">
        <f t="shared" si="2"/>
        <v>14399.669368666066</v>
      </c>
      <c r="J169" s="17">
        <f t="shared" si="7"/>
        <v>1.4399669368666066</v>
      </c>
    </row>
    <row r="170" spans="1:10" ht="12" customHeight="1" x14ac:dyDescent="0.3">
      <c r="A170" s="1">
        <f t="shared" si="3"/>
        <v>43755</v>
      </c>
      <c r="B170" s="20">
        <v>3228.0219780219782</v>
      </c>
      <c r="C170" s="20">
        <f t="shared" si="4"/>
        <v>14709.000238891536</v>
      </c>
      <c r="D170" s="21" t="str">
        <f t="shared" si="0"/>
        <v>191017</v>
      </c>
      <c r="E170" s="22">
        <f t="shared" si="5"/>
        <v>2.458612</v>
      </c>
      <c r="F170" s="9">
        <v>0</v>
      </c>
      <c r="G170" s="14">
        <f t="shared" si="1"/>
        <v>100.0539290256007</v>
      </c>
      <c r="H170" s="24">
        <f t="shared" si="6"/>
        <v>-241.95974399304984</v>
      </c>
      <c r="I170" s="20">
        <f t="shared" si="2"/>
        <v>14467.040494898487</v>
      </c>
      <c r="J170" s="17">
        <f t="shared" si="7"/>
        <v>1.4467040494898487</v>
      </c>
    </row>
    <row r="171" spans="1:10" ht="12" customHeight="1" x14ac:dyDescent="0.3">
      <c r="A171" s="1">
        <f t="shared" si="3"/>
        <v>43756</v>
      </c>
      <c r="B171" s="20">
        <v>3296.7032967032965</v>
      </c>
      <c r="C171" s="20">
        <f t="shared" si="4"/>
        <v>14777.681557572854</v>
      </c>
      <c r="D171" s="21" t="str">
        <f t="shared" si="0"/>
        <v>191018</v>
      </c>
      <c r="E171" s="22">
        <f t="shared" si="5"/>
        <v>2.458612</v>
      </c>
      <c r="F171" s="9">
        <v>0</v>
      </c>
      <c r="G171" s="14">
        <f t="shared" si="1"/>
        <v>100.05379846885597</v>
      </c>
      <c r="H171" s="24">
        <f t="shared" si="6"/>
        <v>-243.26531144026831</v>
      </c>
      <c r="I171" s="20">
        <f t="shared" si="2"/>
        <v>14534.416246132587</v>
      </c>
      <c r="J171" s="17">
        <f t="shared" si="7"/>
        <v>1.4534416246132587</v>
      </c>
    </row>
    <row r="172" spans="1:10" ht="12" customHeight="1" x14ac:dyDescent="0.3">
      <c r="A172" s="1">
        <f t="shared" si="3"/>
        <v>43759</v>
      </c>
      <c r="B172" s="20">
        <v>3502.7472527472523</v>
      </c>
      <c r="C172" s="20">
        <f t="shared" si="4"/>
        <v>14983.72551361681</v>
      </c>
      <c r="D172" s="21" t="str">
        <f t="shared" si="0"/>
        <v>191021</v>
      </c>
      <c r="E172" s="22">
        <f t="shared" si="5"/>
        <v>2.458612</v>
      </c>
      <c r="F172" s="9">
        <v>0</v>
      </c>
      <c r="G172" s="14">
        <f t="shared" si="1"/>
        <v>100.05340957393679</v>
      </c>
      <c r="H172" s="24">
        <f t="shared" si="6"/>
        <v>-247.15426063210089</v>
      </c>
      <c r="I172" s="20">
        <f t="shared" si="2"/>
        <v>14736.571252984708</v>
      </c>
      <c r="J172" s="17">
        <f t="shared" si="7"/>
        <v>1.4736571252984709</v>
      </c>
    </row>
    <row r="173" spans="1:10" ht="12" customHeight="1" x14ac:dyDescent="0.3">
      <c r="A173" s="1">
        <f t="shared" si="3"/>
        <v>43760</v>
      </c>
      <c r="B173" s="20">
        <v>3571.4285714285711</v>
      </c>
      <c r="C173" s="20">
        <f t="shared" si="4"/>
        <v>15052.406832298129</v>
      </c>
      <c r="D173" s="21" t="str">
        <f t="shared" si="0"/>
        <v>191022</v>
      </c>
      <c r="E173" s="22">
        <f t="shared" si="5"/>
        <v>2.458612</v>
      </c>
      <c r="F173" s="9">
        <v>0</v>
      </c>
      <c r="G173" s="14">
        <f t="shared" si="1"/>
        <v>100.05328086750674</v>
      </c>
      <c r="H173" s="24">
        <f t="shared" si="6"/>
        <v>-248.44132493257123</v>
      </c>
      <c r="I173" s="20">
        <f t="shared" si="2"/>
        <v>14803.965507365558</v>
      </c>
      <c r="J173" s="17">
        <f t="shared" si="7"/>
        <v>1.4803965507365557</v>
      </c>
    </row>
    <row r="174" spans="1:10" ht="12" customHeight="1" x14ac:dyDescent="0.3">
      <c r="A174" s="1">
        <f t="shared" si="3"/>
        <v>43761</v>
      </c>
      <c r="B174" s="20">
        <v>3640.1098901098903</v>
      </c>
      <c r="C174" s="20">
        <f t="shared" si="4"/>
        <v>15121.088150979449</v>
      </c>
      <c r="D174" s="21" t="str">
        <f t="shared" si="0"/>
        <v>191023</v>
      </c>
      <c r="E174" s="22">
        <f t="shared" si="5"/>
        <v>2.458612</v>
      </c>
      <c r="F174" s="9">
        <v>0</v>
      </c>
      <c r="G174" s="14">
        <f t="shared" si="1"/>
        <v>100.05315262373384</v>
      </c>
      <c r="H174" s="24">
        <f t="shared" si="6"/>
        <v>-249.72376266163113</v>
      </c>
      <c r="I174" s="20">
        <f t="shared" si="2"/>
        <v>14871.364388317817</v>
      </c>
      <c r="J174" s="17">
        <f t="shared" si="7"/>
        <v>1.4871364388317816</v>
      </c>
    </row>
    <row r="175" spans="1:10" ht="12" customHeight="1" x14ac:dyDescent="0.3">
      <c r="A175" s="1">
        <f t="shared" si="3"/>
        <v>43762</v>
      </c>
      <c r="B175" s="20">
        <v>3708.7912087912091</v>
      </c>
      <c r="C175" s="20">
        <f t="shared" si="4"/>
        <v>15189.769469660769</v>
      </c>
      <c r="D175" s="21" t="str">
        <f t="shared" si="0"/>
        <v>191024</v>
      </c>
      <c r="E175" s="22">
        <f t="shared" si="5"/>
        <v>2.458612</v>
      </c>
      <c r="F175" s="9">
        <v>0</v>
      </c>
      <c r="G175" s="14">
        <f t="shared" si="1"/>
        <v>100.05302484264951</v>
      </c>
      <c r="H175" s="24">
        <f t="shared" si="6"/>
        <v>-251.00157350493646</v>
      </c>
      <c r="I175" s="20">
        <f t="shared" si="2"/>
        <v>14938.767896155832</v>
      </c>
      <c r="J175" s="17">
        <f t="shared" si="7"/>
        <v>1.4938767896155831</v>
      </c>
    </row>
    <row r="176" spans="1:10" ht="12" customHeight="1" x14ac:dyDescent="0.3">
      <c r="A176" s="1">
        <f t="shared" si="3"/>
        <v>43763</v>
      </c>
      <c r="B176" s="20">
        <v>3777.4725274725274</v>
      </c>
      <c r="C176" s="20">
        <f t="shared" si="4"/>
        <v>15258.450788342087</v>
      </c>
      <c r="D176" s="21" t="str">
        <f t="shared" si="0"/>
        <v>191025</v>
      </c>
      <c r="E176" s="22">
        <f t="shared" si="5"/>
        <v>2.458612</v>
      </c>
      <c r="F176" s="9">
        <v>0</v>
      </c>
      <c r="G176" s="14">
        <f t="shared" si="1"/>
        <v>100.05289752428517</v>
      </c>
      <c r="H176" s="24">
        <f t="shared" si="6"/>
        <v>-252.27475714828529</v>
      </c>
      <c r="I176" s="20">
        <f t="shared" si="2"/>
        <v>15006.176031193801</v>
      </c>
      <c r="J176" s="17">
        <f t="shared" si="7"/>
        <v>1.5006176031193803</v>
      </c>
    </row>
    <row r="177" spans="1:10" ht="12" customHeight="1" x14ac:dyDescent="0.3">
      <c r="A177" s="1">
        <f t="shared" si="3"/>
        <v>43766</v>
      </c>
      <c r="B177" s="20">
        <v>3983.5164835164828</v>
      </c>
      <c r="C177" s="20">
        <f t="shared" si="4"/>
        <v>15464.494744386042</v>
      </c>
      <c r="D177" s="21" t="str">
        <f t="shared" si="0"/>
        <v>191028</v>
      </c>
      <c r="E177" s="22">
        <f t="shared" si="5"/>
        <v>2.458612</v>
      </c>
      <c r="F177" s="9">
        <v>0</v>
      </c>
      <c r="G177" s="14">
        <f t="shared" si="1"/>
        <v>100.05251834582612</v>
      </c>
      <c r="H177" s="24">
        <f t="shared" si="6"/>
        <v>-256.06654173884635</v>
      </c>
      <c r="I177" s="20">
        <f t="shared" si="2"/>
        <v>15208.428202647196</v>
      </c>
      <c r="J177" s="17">
        <f t="shared" si="7"/>
        <v>1.5208428202647195</v>
      </c>
    </row>
    <row r="178" spans="1:10" ht="12" customHeight="1" x14ac:dyDescent="0.3">
      <c r="A178" s="1">
        <f t="shared" si="3"/>
        <v>43767</v>
      </c>
      <c r="B178" s="20">
        <v>4052.197802197802</v>
      </c>
      <c r="C178" s="20">
        <f t="shared" si="4"/>
        <v>15533.176063067362</v>
      </c>
      <c r="D178" s="21" t="str">
        <f t="shared" si="0"/>
        <v>191029</v>
      </c>
      <c r="E178" s="22">
        <f t="shared" si="5"/>
        <v>2.458612</v>
      </c>
      <c r="F178" s="9">
        <v>0</v>
      </c>
      <c r="G178" s="14">
        <f t="shared" si="1"/>
        <v>100.05239287865579</v>
      </c>
      <c r="H178" s="24">
        <f t="shared" si="6"/>
        <v>-257.32121344205439</v>
      </c>
      <c r="I178" s="20">
        <f t="shared" si="2"/>
        <v>15275.854849625308</v>
      </c>
      <c r="J178" s="17">
        <f t="shared" si="7"/>
        <v>1.5275854849625308</v>
      </c>
    </row>
    <row r="179" spans="1:10" ht="12" customHeight="1" x14ac:dyDescent="0.3">
      <c r="A179" s="1">
        <f t="shared" si="3"/>
        <v>43768</v>
      </c>
      <c r="B179" s="20">
        <v>4120.8791208791208</v>
      </c>
      <c r="C179" s="20">
        <f t="shared" si="4"/>
        <v>15601.857381748679</v>
      </c>
      <c r="D179" s="21" t="str">
        <f t="shared" si="0"/>
        <v>191030</v>
      </c>
      <c r="E179" s="22">
        <f t="shared" si="5"/>
        <v>2.458612</v>
      </c>
      <c r="F179" s="9">
        <v>0</v>
      </c>
      <c r="G179" s="14">
        <f t="shared" si="1"/>
        <v>100.05226787436254</v>
      </c>
      <c r="H179" s="24">
        <f t="shared" si="6"/>
        <v>-258.57125637458012</v>
      </c>
      <c r="I179" s="20">
        <f t="shared" si="2"/>
        <v>15343.286125374099</v>
      </c>
      <c r="J179" s="17">
        <f t="shared" si="7"/>
        <v>1.53432861253741</v>
      </c>
    </row>
    <row r="180" spans="1:10" ht="12" customHeight="1" x14ac:dyDescent="0.3">
      <c r="A180" s="1">
        <f t="shared" si="3"/>
        <v>43769</v>
      </c>
      <c r="B180" s="20">
        <v>4189.5604395604387</v>
      </c>
      <c r="C180" s="20">
        <f t="shared" si="4"/>
        <v>15670.538700429997</v>
      </c>
      <c r="D180" s="21" t="str">
        <f t="shared" si="0"/>
        <v>191031</v>
      </c>
      <c r="E180" s="22">
        <f t="shared" si="5"/>
        <v>2.458612</v>
      </c>
      <c r="F180" s="9">
        <v>0</v>
      </c>
      <c r="G180" s="14">
        <f t="shared" si="1"/>
        <v>100.05214333297775</v>
      </c>
      <c r="H180" s="24">
        <f t="shared" si="6"/>
        <v>-259.81667022250576</v>
      </c>
      <c r="I180" s="20">
        <f t="shared" si="2"/>
        <v>15410.722030207491</v>
      </c>
      <c r="J180" s="17">
        <f t="shared" si="7"/>
        <v>1.5410722030207491</v>
      </c>
    </row>
    <row r="181" spans="1:10" ht="12" customHeight="1" x14ac:dyDescent="0.3">
      <c r="A181" s="1">
        <f t="shared" si="3"/>
        <v>43770</v>
      </c>
      <c r="B181" s="20">
        <v>4258.2417582417584</v>
      </c>
      <c r="C181" s="20">
        <f t="shared" si="4"/>
        <v>15739.220019111317</v>
      </c>
      <c r="D181" s="21" t="str">
        <f t="shared" si="0"/>
        <v>191101</v>
      </c>
      <c r="E181" s="22">
        <f t="shared" si="5"/>
        <v>2.458612</v>
      </c>
      <c r="F181" s="9">
        <v>0</v>
      </c>
      <c r="G181" s="14">
        <f t="shared" si="1"/>
        <v>100.05201925453285</v>
      </c>
      <c r="H181" s="24">
        <f t="shared" si="6"/>
        <v>-261.05745467148722</v>
      </c>
      <c r="I181" s="20">
        <f t="shared" si="2"/>
        <v>15478.16256443983</v>
      </c>
      <c r="J181" s="17">
        <f t="shared" si="7"/>
        <v>1.547816256443983</v>
      </c>
    </row>
    <row r="182" spans="1:10" ht="12" customHeight="1" x14ac:dyDescent="0.3">
      <c r="A182" s="1">
        <f t="shared" si="3"/>
        <v>43773</v>
      </c>
      <c r="B182" s="20">
        <v>4464.2857142857147</v>
      </c>
      <c r="C182" s="20">
        <f t="shared" si="4"/>
        <v>15945.263975155274</v>
      </c>
      <c r="D182" s="21" t="str">
        <f t="shared" si="0"/>
        <v>191104</v>
      </c>
      <c r="E182" s="22">
        <f t="shared" si="5"/>
        <v>2.458612</v>
      </c>
      <c r="F182" s="9">
        <v>0</v>
      </c>
      <c r="G182" s="14">
        <f t="shared" si="1"/>
        <v>100.05164979715177</v>
      </c>
      <c r="H182" s="24">
        <f t="shared" si="6"/>
        <v>-264.75202848232016</v>
      </c>
      <c r="I182" s="20">
        <f t="shared" si="2"/>
        <v>15680.511946672954</v>
      </c>
      <c r="J182" s="17">
        <f t="shared" si="7"/>
        <v>1.5680511946672953</v>
      </c>
    </row>
    <row r="183" spans="1:10" ht="12" customHeight="1" x14ac:dyDescent="0.3">
      <c r="A183" s="1">
        <f t="shared" si="3"/>
        <v>43774</v>
      </c>
      <c r="B183" s="20">
        <v>4532.9670329670325</v>
      </c>
      <c r="C183" s="20">
        <f t="shared" si="4"/>
        <v>16013.945293836592</v>
      </c>
      <c r="D183" s="21" t="str">
        <f t="shared" si="0"/>
        <v>191105</v>
      </c>
      <c r="E183" s="22">
        <f t="shared" si="5"/>
        <v>2.458612</v>
      </c>
      <c r="F183" s="9">
        <v>0</v>
      </c>
      <c r="G183" s="14">
        <f t="shared" si="1"/>
        <v>100.05152757078069</v>
      </c>
      <c r="H183" s="24">
        <f t="shared" si="6"/>
        <v>-265.97429219307855</v>
      </c>
      <c r="I183" s="20">
        <f t="shared" si="2"/>
        <v>15747.971001643513</v>
      </c>
      <c r="J183" s="17">
        <f t="shared" si="7"/>
        <v>1.574797100164351</v>
      </c>
    </row>
    <row r="184" spans="1:10" ht="12" customHeight="1" x14ac:dyDescent="0.3">
      <c r="A184" s="1">
        <f t="shared" si="3"/>
        <v>43775</v>
      </c>
      <c r="B184" s="20">
        <v>4601.6483516483522</v>
      </c>
      <c r="C184" s="20">
        <f t="shared" si="4"/>
        <v>16082.626612517912</v>
      </c>
      <c r="D184" s="21" t="str">
        <f t="shared" si="0"/>
        <v>191106</v>
      </c>
      <c r="E184" s="22">
        <f t="shared" si="5"/>
        <v>2.458612</v>
      </c>
      <c r="F184" s="9">
        <v>0</v>
      </c>
      <c r="G184" s="14">
        <f t="shared" si="1"/>
        <v>100.05140580750668</v>
      </c>
      <c r="H184" s="24">
        <f t="shared" si="6"/>
        <v>-267.19192493317223</v>
      </c>
      <c r="I184" s="20">
        <f t="shared" si="2"/>
        <v>15815.43468758474</v>
      </c>
      <c r="J184" s="17">
        <f t="shared" si="7"/>
        <v>1.581543468758474</v>
      </c>
    </row>
    <row r="185" spans="1:10" ht="12" customHeight="1" x14ac:dyDescent="0.3">
      <c r="A185" s="1">
        <f t="shared" si="3"/>
        <v>43776</v>
      </c>
      <c r="B185" s="20">
        <v>4670.3296703296701</v>
      </c>
      <c r="C185" s="20">
        <f t="shared" si="4"/>
        <v>16151.30793119923</v>
      </c>
      <c r="D185" s="21" t="str">
        <f t="shared" si="0"/>
        <v>191107</v>
      </c>
      <c r="E185" s="22">
        <f t="shared" si="5"/>
        <v>2.458612</v>
      </c>
      <c r="F185" s="9">
        <v>0</v>
      </c>
      <c r="G185" s="14">
        <f t="shared" si="1"/>
        <v>100.05128450736112</v>
      </c>
      <c r="H185" s="24">
        <f t="shared" si="6"/>
        <v>-268.40492638882552</v>
      </c>
      <c r="I185" s="20">
        <f t="shared" si="2"/>
        <v>15882.903004810403</v>
      </c>
      <c r="J185" s="17">
        <f t="shared" si="7"/>
        <v>1.5882903004810403</v>
      </c>
    </row>
    <row r="186" spans="1:10" ht="12" customHeight="1" x14ac:dyDescent="0.3">
      <c r="A186" s="1">
        <f t="shared" si="3"/>
        <v>43777</v>
      </c>
      <c r="B186" s="20">
        <v>4739.0109890109889</v>
      </c>
      <c r="C186" s="20">
        <f t="shared" si="4"/>
        <v>16219.989249880549</v>
      </c>
      <c r="D186" s="21" t="str">
        <f t="shared" si="0"/>
        <v>191108</v>
      </c>
      <c r="E186" s="22">
        <f t="shared" si="5"/>
        <v>2.458612</v>
      </c>
      <c r="F186" s="9">
        <v>0</v>
      </c>
      <c r="G186" s="14">
        <f t="shared" si="1"/>
        <v>100.05116367037547</v>
      </c>
      <c r="H186" s="24">
        <f t="shared" si="6"/>
        <v>-269.61329624526797</v>
      </c>
      <c r="I186" s="20">
        <f t="shared" si="2"/>
        <v>15950.375953635281</v>
      </c>
      <c r="J186" s="17">
        <f t="shared" si="7"/>
        <v>1.5950375953635281</v>
      </c>
    </row>
    <row r="187" spans="1:10" ht="12" customHeight="1" x14ac:dyDescent="0.3">
      <c r="A187" s="1">
        <f t="shared" si="3"/>
        <v>43780</v>
      </c>
      <c r="B187" s="20">
        <v>4945.0549450549452</v>
      </c>
      <c r="C187" s="20">
        <f t="shared" si="4"/>
        <v>16426.033205924505</v>
      </c>
      <c r="D187" s="21" t="str">
        <f t="shared" si="0"/>
        <v>191111</v>
      </c>
      <c r="E187" s="22">
        <f t="shared" si="5"/>
        <v>2.458612</v>
      </c>
      <c r="F187" s="9">
        <v>0</v>
      </c>
      <c r="G187" s="14">
        <f t="shared" si="1"/>
        <v>100.05080393869243</v>
      </c>
      <c r="H187" s="24">
        <f t="shared" si="6"/>
        <v>-273.21061307574723</v>
      </c>
      <c r="I187" s="20">
        <f t="shared" si="2"/>
        <v>16152.822592848757</v>
      </c>
      <c r="J187" s="17">
        <f t="shared" si="7"/>
        <v>1.6152822592848757</v>
      </c>
    </row>
    <row r="188" spans="1:10" ht="12" customHeight="1" x14ac:dyDescent="0.3">
      <c r="A188" s="1">
        <f t="shared" si="3"/>
        <v>43781</v>
      </c>
      <c r="B188" s="20">
        <v>5013.7362637362639</v>
      </c>
      <c r="C188" s="20">
        <f t="shared" si="4"/>
        <v>16494.714524605824</v>
      </c>
      <c r="D188" s="21" t="str">
        <f t="shared" si="0"/>
        <v>191112</v>
      </c>
      <c r="E188" s="22">
        <f t="shared" si="5"/>
        <v>2.458612</v>
      </c>
      <c r="F188" s="9">
        <v>0</v>
      </c>
      <c r="G188" s="14">
        <f t="shared" si="1"/>
        <v>100.05068495466084</v>
      </c>
      <c r="H188" s="24">
        <f t="shared" si="6"/>
        <v>-274.40045339162111</v>
      </c>
      <c r="I188" s="20">
        <f t="shared" si="2"/>
        <v>16220.314071214203</v>
      </c>
      <c r="J188" s="17">
        <f t="shared" si="7"/>
        <v>1.6220314071214204</v>
      </c>
    </row>
    <row r="189" spans="1:10" ht="12" customHeight="1" x14ac:dyDescent="0.3">
      <c r="A189" s="1">
        <f t="shared" si="3"/>
        <v>43782</v>
      </c>
      <c r="B189" s="20">
        <v>5082.4175824175818</v>
      </c>
      <c r="C189" s="20">
        <f t="shared" si="4"/>
        <v>16563.395843287144</v>
      </c>
      <c r="D189" s="21" t="str">
        <f t="shared" si="0"/>
        <v>191113</v>
      </c>
      <c r="E189" s="22">
        <f t="shared" si="5"/>
        <v>2.458612</v>
      </c>
      <c r="F189" s="9">
        <v>0</v>
      </c>
      <c r="G189" s="14">
        <f t="shared" si="1"/>
        <v>100.05056643394639</v>
      </c>
      <c r="H189" s="24">
        <f t="shared" si="6"/>
        <v>-275.58566053613731</v>
      </c>
      <c r="I189" s="20">
        <f t="shared" si="2"/>
        <v>16287.810182751007</v>
      </c>
      <c r="J189" s="17">
        <f t="shared" si="7"/>
        <v>1.6287810182751008</v>
      </c>
    </row>
    <row r="190" spans="1:10" ht="12" customHeight="1" x14ac:dyDescent="0.3">
      <c r="A190" s="1">
        <f t="shared" si="3"/>
        <v>43783</v>
      </c>
      <c r="B190" s="20">
        <v>5151.0989010989006</v>
      </c>
      <c r="C190" s="20">
        <f t="shared" si="4"/>
        <v>16632.077161968464</v>
      </c>
      <c r="D190" s="21" t="str">
        <f t="shared" si="0"/>
        <v>191114</v>
      </c>
      <c r="E190" s="22">
        <f t="shared" si="5"/>
        <v>2.458612</v>
      </c>
      <c r="F190" s="9">
        <v>0</v>
      </c>
      <c r="G190" s="14">
        <f t="shared" si="1"/>
        <v>100.0504483765805</v>
      </c>
      <c r="H190" s="24">
        <f t="shared" si="6"/>
        <v>-276.76623419495172</v>
      </c>
      <c r="I190" s="20">
        <f t="shared" si="2"/>
        <v>16355.310927773513</v>
      </c>
      <c r="J190" s="17">
        <f t="shared" si="7"/>
        <v>1.6355310927773512</v>
      </c>
    </row>
    <row r="191" spans="1:10" ht="12" customHeight="1" x14ac:dyDescent="0.3">
      <c r="A191" s="1">
        <f t="shared" si="3"/>
        <v>43784</v>
      </c>
      <c r="B191" s="20">
        <v>5219.7802197802202</v>
      </c>
      <c r="C191" s="20">
        <f t="shared" si="4"/>
        <v>16700.758480649783</v>
      </c>
      <c r="D191" s="21" t="str">
        <f t="shared" si="0"/>
        <v>191115</v>
      </c>
      <c r="E191" s="22">
        <f t="shared" si="5"/>
        <v>2.458612</v>
      </c>
      <c r="F191" s="9">
        <v>0</v>
      </c>
      <c r="G191" s="14">
        <f t="shared" si="1"/>
        <v>100.05033078259467</v>
      </c>
      <c r="H191" s="24">
        <f t="shared" si="6"/>
        <v>-277.94217405329391</v>
      </c>
      <c r="I191" s="20">
        <f t="shared" si="2"/>
        <v>16422.816306596491</v>
      </c>
      <c r="J191" s="17">
        <f t="shared" si="7"/>
        <v>1.642281630659649</v>
      </c>
    </row>
    <row r="192" spans="1:10" ht="12" customHeight="1" x14ac:dyDescent="0.3">
      <c r="A192" s="1">
        <f t="shared" si="3"/>
        <v>43787</v>
      </c>
      <c r="B192" s="20">
        <v>5425.8241758241757</v>
      </c>
      <c r="C192" s="20">
        <f t="shared" si="4"/>
        <v>16906.802436693739</v>
      </c>
      <c r="D192" s="21" t="str">
        <f t="shared" si="0"/>
        <v>191118</v>
      </c>
      <c r="E192" s="22">
        <f t="shared" si="5"/>
        <v>2.458612</v>
      </c>
      <c r="F192" s="9">
        <v>0</v>
      </c>
      <c r="G192" s="14">
        <f t="shared" si="1"/>
        <v>100.04998078123187</v>
      </c>
      <c r="H192" s="24">
        <f t="shared" si="6"/>
        <v>-281.44218768133555</v>
      </c>
      <c r="I192" s="20">
        <f t="shared" si="2"/>
        <v>16625.360249012403</v>
      </c>
      <c r="J192" s="17">
        <f t="shared" si="7"/>
        <v>1.6625360249012404</v>
      </c>
    </row>
    <row r="193" spans="1:10" ht="12" customHeight="1" x14ac:dyDescent="0.3">
      <c r="A193" s="1">
        <f t="shared" si="3"/>
        <v>43788</v>
      </c>
      <c r="B193" s="20">
        <v>5494.5054945054953</v>
      </c>
      <c r="C193" s="20">
        <f t="shared" si="4"/>
        <v>16975.483755375059</v>
      </c>
      <c r="D193" s="21" t="str">
        <f t="shared" si="0"/>
        <v>191119</v>
      </c>
      <c r="E193" s="22">
        <f t="shared" si="5"/>
        <v>2.458612</v>
      </c>
      <c r="F193" s="9">
        <v>0</v>
      </c>
      <c r="G193" s="14">
        <f t="shared" si="1"/>
        <v>100.04986504108074</v>
      </c>
      <c r="H193" s="24">
        <f t="shared" si="6"/>
        <v>-282.5995891926425</v>
      </c>
      <c r="I193" s="20">
        <f t="shared" si="2"/>
        <v>16692.884166182415</v>
      </c>
      <c r="J193" s="17">
        <f t="shared" si="7"/>
        <v>1.6692884166182416</v>
      </c>
    </row>
    <row r="194" spans="1:10" ht="12" customHeight="1" x14ac:dyDescent="0.3">
      <c r="A194" s="1">
        <f t="shared" si="3"/>
        <v>43789</v>
      </c>
      <c r="B194" s="20">
        <v>5563.1868131868132</v>
      </c>
      <c r="C194" s="20">
        <f t="shared" si="4"/>
        <v>17044.165074056378</v>
      </c>
      <c r="D194" s="21" t="str">
        <f t="shared" si="0"/>
        <v>191120</v>
      </c>
      <c r="E194" s="22">
        <f t="shared" si="5"/>
        <v>2.458612</v>
      </c>
      <c r="F194" s="9">
        <v>0</v>
      </c>
      <c r="G194" s="14">
        <f t="shared" si="1"/>
        <v>100.04974976446692</v>
      </c>
      <c r="H194" s="24">
        <f t="shared" si="6"/>
        <v>-283.75235533076193</v>
      </c>
      <c r="I194" s="20">
        <f t="shared" si="2"/>
        <v>16760.412718725616</v>
      </c>
      <c r="J194" s="17">
        <f t="shared" si="7"/>
        <v>1.6760412718725617</v>
      </c>
    </row>
    <row r="195" spans="1:10" ht="12" customHeight="1" x14ac:dyDescent="0.3">
      <c r="A195" s="1">
        <f t="shared" si="3"/>
        <v>43790</v>
      </c>
      <c r="B195" s="20">
        <v>5631.8681318681311</v>
      </c>
      <c r="C195" s="20">
        <f t="shared" si="4"/>
        <v>17112.846392737694</v>
      </c>
      <c r="D195" s="21" t="str">
        <f t="shared" si="0"/>
        <v>191121</v>
      </c>
      <c r="E195" s="22">
        <f t="shared" si="5"/>
        <v>2.458612</v>
      </c>
      <c r="F195" s="9">
        <v>0</v>
      </c>
      <c r="G195" s="14">
        <f t="shared" si="1"/>
        <v>100.04963495142188</v>
      </c>
      <c r="H195" s="24">
        <f t="shared" si="6"/>
        <v>-284.90048578120764</v>
      </c>
      <c r="I195" s="20">
        <f t="shared" si="2"/>
        <v>16827.945906956487</v>
      </c>
      <c r="J195" s="17">
        <f t="shared" si="7"/>
        <v>1.6827945906956485</v>
      </c>
    </row>
    <row r="196" spans="1:10" ht="12" customHeight="1" x14ac:dyDescent="0.3">
      <c r="A196" s="1">
        <f t="shared" si="3"/>
        <v>43791</v>
      </c>
      <c r="B196" s="20">
        <v>5700.5494505494507</v>
      </c>
      <c r="C196" s="20">
        <f t="shared" si="4"/>
        <v>17181.527711419014</v>
      </c>
      <c r="D196" s="21" t="str">
        <f t="shared" si="0"/>
        <v>191122</v>
      </c>
      <c r="E196" s="22">
        <f t="shared" si="5"/>
        <v>2.458612</v>
      </c>
      <c r="F196" s="9">
        <v>0</v>
      </c>
      <c r="G196" s="14">
        <f t="shared" si="1"/>
        <v>100.04952060197711</v>
      </c>
      <c r="H196" s="24">
        <f t="shared" si="6"/>
        <v>-286.04398022892497</v>
      </c>
      <c r="I196" s="20">
        <f t="shared" si="2"/>
        <v>16895.483731190088</v>
      </c>
      <c r="J196" s="17">
        <f t="shared" si="7"/>
        <v>1.6895483731190086</v>
      </c>
    </row>
    <row r="197" spans="1:10" ht="12" customHeight="1" x14ac:dyDescent="0.3">
      <c r="A197" s="1">
        <f t="shared" si="3"/>
        <v>43794</v>
      </c>
      <c r="B197" s="20">
        <v>5906.5934065934071</v>
      </c>
      <c r="C197" s="20">
        <f t="shared" si="4"/>
        <v>17387.571667462969</v>
      </c>
      <c r="D197" s="21" t="str">
        <f t="shared" si="0"/>
        <v>191125</v>
      </c>
      <c r="E197" s="22">
        <f t="shared" si="5"/>
        <v>2.458612</v>
      </c>
      <c r="F197" s="9">
        <v>0</v>
      </c>
      <c r="G197" s="14">
        <f t="shared" si="1"/>
        <v>100.04918033555907</v>
      </c>
      <c r="H197" s="24">
        <f t="shared" si="6"/>
        <v>-289.44664440928136</v>
      </c>
      <c r="I197" s="20">
        <f t="shared" si="2"/>
        <v>17098.12502305369</v>
      </c>
      <c r="J197" s="17">
        <f t="shared" si="7"/>
        <v>1.709812502305369</v>
      </c>
    </row>
    <row r="198" spans="1:10" ht="12" customHeight="1" x14ac:dyDescent="0.3">
      <c r="A198" s="1">
        <f t="shared" si="3"/>
        <v>43795</v>
      </c>
      <c r="B198" s="20">
        <v>5975.2747252747249</v>
      </c>
      <c r="C198" s="20">
        <f t="shared" si="4"/>
        <v>17456.252986144289</v>
      </c>
      <c r="D198" s="21" t="str">
        <f t="shared" si="0"/>
        <v>191126</v>
      </c>
      <c r="E198" s="22">
        <f t="shared" si="5"/>
        <v>2.458612</v>
      </c>
      <c r="F198" s="9">
        <v>0</v>
      </c>
      <c r="G198" s="14">
        <f t="shared" si="1"/>
        <v>100.04906784083003</v>
      </c>
      <c r="H198" s="24">
        <f t="shared" si="6"/>
        <v>-290.57159169965985</v>
      </c>
      <c r="I198" s="20">
        <f t="shared" si="2"/>
        <v>17165.681394444629</v>
      </c>
      <c r="J198" s="17">
        <f t="shared" si="7"/>
        <v>1.7165681394444627</v>
      </c>
    </row>
    <row r="199" spans="1:10" ht="12" customHeight="1" x14ac:dyDescent="0.3">
      <c r="A199" s="1">
        <f t="shared" si="3"/>
        <v>43796</v>
      </c>
      <c r="B199" s="20">
        <v>6043.9560439560437</v>
      </c>
      <c r="C199" s="20">
        <f t="shared" si="4"/>
        <v>17524.934304825609</v>
      </c>
      <c r="D199" s="21" t="str">
        <f t="shared" si="0"/>
        <v>191127</v>
      </c>
      <c r="E199" s="22">
        <f t="shared" si="5"/>
        <v>2.458612</v>
      </c>
      <c r="F199" s="9">
        <v>0</v>
      </c>
      <c r="G199" s="14">
        <f t="shared" si="1"/>
        <v>100.04895580985865</v>
      </c>
      <c r="H199" s="24">
        <f t="shared" si="6"/>
        <v>-291.6919014134578</v>
      </c>
      <c r="I199" s="20">
        <f t="shared" si="2"/>
        <v>17233.24240341215</v>
      </c>
      <c r="J199" s="17">
        <f t="shared" si="7"/>
        <v>1.723324240341215</v>
      </c>
    </row>
    <row r="200" spans="1:10" ht="12" customHeight="1" x14ac:dyDescent="0.3">
      <c r="A200" s="1">
        <f t="shared" si="3"/>
        <v>43797</v>
      </c>
      <c r="B200" s="20">
        <v>6112.6373626373615</v>
      </c>
      <c r="C200" s="20">
        <f t="shared" si="4"/>
        <v>17593.615623506928</v>
      </c>
      <c r="D200" s="21" t="str">
        <f t="shared" si="0"/>
        <v>191128</v>
      </c>
      <c r="E200" s="22">
        <f t="shared" si="5"/>
        <v>2.458612</v>
      </c>
      <c r="F200" s="9">
        <v>0</v>
      </c>
      <c r="G200" s="14">
        <f t="shared" si="1"/>
        <v>100.04884424267637</v>
      </c>
      <c r="H200" s="24">
        <f t="shared" si="6"/>
        <v>-292.80757323633111</v>
      </c>
      <c r="I200" s="20">
        <f t="shared" si="2"/>
        <v>17300.808050270596</v>
      </c>
      <c r="J200" s="17">
        <f t="shared" si="7"/>
        <v>1.7300808050270597</v>
      </c>
    </row>
    <row r="201" spans="1:10" ht="12" customHeight="1" x14ac:dyDescent="0.3">
      <c r="A201" s="1">
        <f t="shared" si="3"/>
        <v>43798</v>
      </c>
      <c r="B201" s="20">
        <v>6181.3186813186821</v>
      </c>
      <c r="C201" s="20">
        <f t="shared" si="4"/>
        <v>17662.296942188248</v>
      </c>
      <c r="D201" s="21" t="str">
        <f t="shared" si="0"/>
        <v>191129</v>
      </c>
      <c r="E201" s="22">
        <f t="shared" si="5"/>
        <v>2.458612</v>
      </c>
      <c r="F201" s="9">
        <v>0</v>
      </c>
      <c r="G201" s="14">
        <f t="shared" si="1"/>
        <v>100.04873313931468</v>
      </c>
      <c r="H201" s="24">
        <f t="shared" si="6"/>
        <v>-293.91860685322513</v>
      </c>
      <c r="I201" s="20">
        <f t="shared" si="2"/>
        <v>17368.378335335023</v>
      </c>
      <c r="J201" s="17">
        <f t="shared" si="7"/>
        <v>1.7368378335335024</v>
      </c>
    </row>
    <row r="202" spans="1:10" ht="12" customHeight="1" x14ac:dyDescent="0.3">
      <c r="A202" s="1">
        <f t="shared" si="3"/>
        <v>43801</v>
      </c>
      <c r="B202" s="20">
        <v>6387.3626373626375</v>
      </c>
      <c r="C202" s="20">
        <f t="shared" si="4"/>
        <v>17868.340898232203</v>
      </c>
      <c r="D202" s="21" t="str">
        <f t="shared" si="0"/>
        <v>191202</v>
      </c>
      <c r="E202" s="22">
        <f t="shared" si="5"/>
        <v>2.458612</v>
      </c>
      <c r="F202" s="9">
        <v>0</v>
      </c>
      <c r="G202" s="14">
        <f t="shared" si="1"/>
        <v>100.04840261246802</v>
      </c>
      <c r="H202" s="24">
        <f t="shared" si="6"/>
        <v>-297.22387531975869</v>
      </c>
      <c r="I202" s="20">
        <f t="shared" si="2"/>
        <v>17571.117022912444</v>
      </c>
      <c r="J202" s="17">
        <f t="shared" si="7"/>
        <v>1.7571117022912444</v>
      </c>
    </row>
    <row r="203" spans="1:10" ht="12" customHeight="1" x14ac:dyDescent="0.3">
      <c r="A203" s="1">
        <f t="shared" si="3"/>
        <v>43802</v>
      </c>
      <c r="B203" s="20">
        <v>6456.0439560439563</v>
      </c>
      <c r="C203" s="20">
        <f t="shared" si="4"/>
        <v>17937.022216913523</v>
      </c>
      <c r="D203" s="21" t="str">
        <f t="shared" si="0"/>
        <v>191203</v>
      </c>
      <c r="E203" s="22">
        <f t="shared" si="5"/>
        <v>2.458612</v>
      </c>
      <c r="F203" s="9">
        <v>0</v>
      </c>
      <c r="G203" s="14">
        <f t="shared" si="1"/>
        <v>100.04829336470355</v>
      </c>
      <c r="H203" s="24">
        <f t="shared" si="6"/>
        <v>-298.31635296446279</v>
      </c>
      <c r="I203" s="20">
        <f t="shared" si="2"/>
        <v>17638.705863949061</v>
      </c>
      <c r="J203" s="17">
        <f t="shared" si="7"/>
        <v>1.763870586394906</v>
      </c>
    </row>
    <row r="204" spans="1:10" ht="12" customHeight="1" x14ac:dyDescent="0.3">
      <c r="A204" s="1">
        <f t="shared" si="3"/>
        <v>43803</v>
      </c>
      <c r="B204" s="20">
        <v>6524.7252747252751</v>
      </c>
      <c r="C204" s="20">
        <f t="shared" si="4"/>
        <v>18005.703535594843</v>
      </c>
      <c r="D204" s="21" t="str">
        <f t="shared" si="0"/>
        <v>191204</v>
      </c>
      <c r="E204" s="22">
        <f t="shared" si="5"/>
        <v>2.458612</v>
      </c>
      <c r="F204" s="9">
        <v>0</v>
      </c>
      <c r="G204" s="14">
        <f t="shared" si="1"/>
        <v>100.04818458091711</v>
      </c>
      <c r="H204" s="24">
        <f t="shared" si="6"/>
        <v>-299.40419082890912</v>
      </c>
      <c r="I204" s="20">
        <f t="shared" si="2"/>
        <v>17706.299344765932</v>
      </c>
      <c r="J204" s="17">
        <f t="shared" si="7"/>
        <v>1.7706299344765932</v>
      </c>
    </row>
    <row r="205" spans="1:10" ht="12" customHeight="1" x14ac:dyDescent="0.3">
      <c r="A205" s="1">
        <f t="shared" si="3"/>
        <v>43804</v>
      </c>
      <c r="B205" s="20">
        <v>6593.4065934065929</v>
      </c>
      <c r="C205" s="20">
        <f t="shared" si="4"/>
        <v>18074.384854276163</v>
      </c>
      <c r="D205" s="21" t="str">
        <f t="shared" si="0"/>
        <v>191205</v>
      </c>
      <c r="E205" s="22">
        <f t="shared" si="5"/>
        <v>2.458612</v>
      </c>
      <c r="F205" s="9">
        <v>0</v>
      </c>
      <c r="G205" s="14">
        <f t="shared" si="1"/>
        <v>100.04807626114021</v>
      </c>
      <c r="H205" s="24">
        <f t="shared" si="6"/>
        <v>-300.48738859790092</v>
      </c>
      <c r="I205" s="20">
        <f t="shared" si="2"/>
        <v>17773.897465678263</v>
      </c>
      <c r="J205" s="17">
        <f t="shared" si="7"/>
        <v>1.7773897465678263</v>
      </c>
    </row>
    <row r="206" spans="1:10" ht="12" customHeight="1" x14ac:dyDescent="0.3">
      <c r="A206" s="1">
        <f t="shared" si="3"/>
        <v>43805</v>
      </c>
      <c r="B206" s="20">
        <v>6662.0879120879117</v>
      </c>
      <c r="C206" s="20">
        <f t="shared" si="4"/>
        <v>18143.066172957482</v>
      </c>
      <c r="D206" s="21" t="str">
        <f t="shared" si="0"/>
        <v>191206</v>
      </c>
      <c r="E206" s="22">
        <f t="shared" si="5"/>
        <v>2.458612</v>
      </c>
      <c r="F206" s="9">
        <v>0</v>
      </c>
      <c r="G206" s="14">
        <f t="shared" si="1"/>
        <v>100.04796840540435</v>
      </c>
      <c r="H206" s="24">
        <f t="shared" si="6"/>
        <v>-301.56594595652564</v>
      </c>
      <c r="I206" s="20">
        <f t="shared" si="2"/>
        <v>17841.500227000957</v>
      </c>
      <c r="J206" s="17">
        <f t="shared" si="7"/>
        <v>1.7841500227000955</v>
      </c>
    </row>
    <row r="207" spans="1:10" ht="12" customHeight="1" x14ac:dyDescent="0.3">
      <c r="A207" s="1">
        <f t="shared" si="3"/>
        <v>43808</v>
      </c>
      <c r="B207" s="20">
        <v>6868.1318681318689</v>
      </c>
      <c r="C207" s="20">
        <f t="shared" si="4"/>
        <v>18349.110129001441</v>
      </c>
      <c r="D207" s="21" t="str">
        <f t="shared" si="0"/>
        <v>191209</v>
      </c>
      <c r="E207" s="22">
        <f t="shared" si="5"/>
        <v>2.458612</v>
      </c>
      <c r="F207" s="9">
        <v>0</v>
      </c>
      <c r="G207" s="14">
        <f t="shared" si="1"/>
        <v>100.04764762275791</v>
      </c>
      <c r="H207" s="24">
        <f t="shared" si="6"/>
        <v>-304.77377242092984</v>
      </c>
      <c r="I207" s="20">
        <f t="shared" si="2"/>
        <v>18044.336356580512</v>
      </c>
      <c r="J207" s="17">
        <f t="shared" si="7"/>
        <v>1.8044336356580513</v>
      </c>
    </row>
    <row r="208" spans="1:10" ht="12" customHeight="1" x14ac:dyDescent="0.25">
      <c r="A208" s="1">
        <f t="shared" si="3"/>
        <v>43809</v>
      </c>
      <c r="B208" s="20">
        <v>6936.8131868131868</v>
      </c>
      <c r="C208" s="20">
        <f t="shared" si="4"/>
        <v>18417.791447682757</v>
      </c>
      <c r="D208" s="21" t="str">
        <f t="shared" si="0"/>
        <v>191210</v>
      </c>
      <c r="E208" s="22">
        <f t="shared" si="5"/>
        <v>2.458612</v>
      </c>
      <c r="F208" s="2">
        <v>2</v>
      </c>
      <c r="G208" s="14">
        <f t="shared" si="1"/>
        <v>100.04754162350115</v>
      </c>
      <c r="H208" s="24">
        <f t="shared" si="6"/>
        <v>-305.83376498853454</v>
      </c>
      <c r="I208" s="20">
        <f t="shared" si="2"/>
        <v>18111.957682694221</v>
      </c>
      <c r="J208" s="17">
        <f t="shared" si="7"/>
        <v>1.8111957682694222</v>
      </c>
    </row>
    <row r="209" spans="1:10" ht="12" customHeight="1" x14ac:dyDescent="0.3">
      <c r="A209" s="1">
        <f t="shared" si="3"/>
        <v>43810</v>
      </c>
      <c r="B209" s="20">
        <v>7005.4945054945047</v>
      </c>
      <c r="C209" s="20">
        <f t="shared" si="4"/>
        <v>18486.472766364073</v>
      </c>
      <c r="D209" s="21" t="str">
        <f t="shared" si="0"/>
        <v>191211</v>
      </c>
      <c r="E209" s="22">
        <f t="shared" si="5"/>
        <v>4.4586120000000005</v>
      </c>
      <c r="F209" s="9">
        <v>0</v>
      </c>
      <c r="G209" s="14">
        <f t="shared" si="1"/>
        <v>97.701916692702383</v>
      </c>
      <c r="H209" s="24">
        <f t="shared" si="6"/>
        <v>-23762.083072976166</v>
      </c>
      <c r="I209" s="20">
        <f t="shared" si="2"/>
        <v>-5275.6103066120922</v>
      </c>
      <c r="J209" s="17">
        <f t="shared" si="7"/>
        <v>-0.5275610306612093</v>
      </c>
    </row>
    <row r="210" spans="1:10" ht="12" customHeight="1" x14ac:dyDescent="0.3">
      <c r="A210" s="1">
        <f t="shared" si="3"/>
        <v>43811</v>
      </c>
      <c r="B210" s="20">
        <v>7074.1758241758243</v>
      </c>
      <c r="C210" s="20">
        <f t="shared" si="4"/>
        <v>18555.154085045393</v>
      </c>
      <c r="D210" s="21" t="str">
        <f t="shared" si="0"/>
        <v>191212</v>
      </c>
      <c r="E210" s="22">
        <f t="shared" si="5"/>
        <v>4.4586120000000005</v>
      </c>
      <c r="F210" s="9">
        <v>0</v>
      </c>
      <c r="G210" s="14">
        <f t="shared" si="1"/>
        <v>97.70702725924987</v>
      </c>
      <c r="H210" s="24">
        <f t="shared" si="6"/>
        <v>-23710.977407501301</v>
      </c>
      <c r="I210" s="20">
        <f t="shared" si="2"/>
        <v>-5155.8233224559081</v>
      </c>
      <c r="J210" s="17">
        <f t="shared" si="7"/>
        <v>-0.5155823322455908</v>
      </c>
    </row>
    <row r="211" spans="1:10" ht="12" customHeight="1" x14ac:dyDescent="0.3">
      <c r="A211" s="1">
        <f t="shared" si="3"/>
        <v>43812</v>
      </c>
      <c r="B211" s="20">
        <v>7142.8571428571422</v>
      </c>
      <c r="C211" s="20">
        <f t="shared" si="4"/>
        <v>18623.835403726713</v>
      </c>
      <c r="D211" s="21" t="str">
        <f t="shared" si="0"/>
        <v>191213</v>
      </c>
      <c r="E211" s="22">
        <f t="shared" si="5"/>
        <v>4.4586120000000005</v>
      </c>
      <c r="F211" s="9">
        <v>0</v>
      </c>
      <c r="G211" s="14">
        <f t="shared" si="1"/>
        <v>97.712139302506245</v>
      </c>
      <c r="H211" s="24">
        <f t="shared" si="6"/>
        <v>-23659.856974937553</v>
      </c>
      <c r="I211" s="20">
        <f t="shared" si="2"/>
        <v>-5036.0215712108402</v>
      </c>
      <c r="J211" s="17">
        <f t="shared" si="7"/>
        <v>-0.50360215712108403</v>
      </c>
    </row>
    <row r="212" spans="1:10" ht="12" customHeight="1" x14ac:dyDescent="0.3">
      <c r="A212" s="1">
        <f t="shared" si="3"/>
        <v>43815</v>
      </c>
      <c r="B212" s="20">
        <v>7348.9010989010994</v>
      </c>
      <c r="C212" s="20">
        <f t="shared" si="4"/>
        <v>18829.879359770668</v>
      </c>
      <c r="D212" s="21" t="str">
        <f t="shared" si="0"/>
        <v>191216</v>
      </c>
      <c r="E212" s="22">
        <f t="shared" si="5"/>
        <v>4.4586120000000005</v>
      </c>
      <c r="F212" s="9">
        <v>0</v>
      </c>
      <c r="G212" s="14">
        <f t="shared" si="1"/>
        <v>97.7274842943377</v>
      </c>
      <c r="H212" s="24">
        <f t="shared" si="6"/>
        <v>-23506.407056623004</v>
      </c>
      <c r="I212" s="20">
        <f t="shared" si="2"/>
        <v>-4676.5276968523358</v>
      </c>
      <c r="J212" s="17">
        <f t="shared" si="7"/>
        <v>-0.46765276968523362</v>
      </c>
    </row>
    <row r="213" spans="1:10" ht="12" customHeight="1" x14ac:dyDescent="0.3">
      <c r="A213" s="1">
        <f t="shared" si="3"/>
        <v>43816</v>
      </c>
      <c r="B213" s="20">
        <v>7417.5824175824182</v>
      </c>
      <c r="C213" s="20">
        <f t="shared" si="4"/>
        <v>18898.560678451988</v>
      </c>
      <c r="D213" s="21" t="str">
        <f t="shared" si="0"/>
        <v>191217</v>
      </c>
      <c r="E213" s="22">
        <f t="shared" si="5"/>
        <v>4.4586120000000005</v>
      </c>
      <c r="F213" s="9">
        <v>0</v>
      </c>
      <c r="G213" s="14">
        <f t="shared" si="1"/>
        <v>97.732602246238756</v>
      </c>
      <c r="H213" s="24">
        <f t="shared" si="6"/>
        <v>-23455.227537612445</v>
      </c>
      <c r="I213" s="20">
        <f t="shared" si="2"/>
        <v>-4556.6668591604575</v>
      </c>
      <c r="J213" s="17">
        <f t="shared" si="7"/>
        <v>-0.4556666859160457</v>
      </c>
    </row>
    <row r="214" spans="1:10" ht="12" customHeight="1" x14ac:dyDescent="0.3">
      <c r="A214" s="1">
        <f t="shared" si="3"/>
        <v>43817</v>
      </c>
      <c r="B214" s="20">
        <v>7486.2637362637361</v>
      </c>
      <c r="C214" s="20">
        <f t="shared" si="4"/>
        <v>18967.241997133307</v>
      </c>
      <c r="D214" s="21" t="str">
        <f t="shared" si="0"/>
        <v>191218</v>
      </c>
      <c r="E214" s="22">
        <f t="shared" si="5"/>
        <v>4.4586120000000005</v>
      </c>
      <c r="F214" s="9">
        <v>0</v>
      </c>
      <c r="G214" s="14">
        <f t="shared" si="1"/>
        <v>97.737721675753377</v>
      </c>
      <c r="H214" s="24">
        <f t="shared" si="6"/>
        <v>-23404.033242466227</v>
      </c>
      <c r="I214" s="20">
        <f t="shared" si="2"/>
        <v>-4436.7912453329191</v>
      </c>
      <c r="J214" s="17">
        <f t="shared" si="7"/>
        <v>-0.44367912453329189</v>
      </c>
    </row>
    <row r="215" spans="1:10" ht="12" customHeight="1" x14ac:dyDescent="0.3">
      <c r="A215" s="1">
        <f t="shared" si="3"/>
        <v>43818</v>
      </c>
      <c r="B215" s="20">
        <v>7554.9450549450548</v>
      </c>
      <c r="C215" s="20">
        <f t="shared" si="4"/>
        <v>19035.923315814627</v>
      </c>
      <c r="D215" s="21" t="str">
        <f t="shared" si="0"/>
        <v>191219</v>
      </c>
      <c r="E215" s="22">
        <f t="shared" si="5"/>
        <v>4.4586120000000005</v>
      </c>
      <c r="F215" s="9">
        <v>0</v>
      </c>
      <c r="G215" s="14">
        <f t="shared" si="1"/>
        <v>97.742842583062568</v>
      </c>
      <c r="H215" s="24">
        <f t="shared" si="6"/>
        <v>-23352.824169374315</v>
      </c>
      <c r="I215" s="20">
        <f t="shared" si="2"/>
        <v>-4316.9008535596877</v>
      </c>
      <c r="J215" s="17">
        <f t="shared" si="7"/>
        <v>-0.43169008535596876</v>
      </c>
    </row>
    <row r="216" spans="1:10" ht="12" customHeight="1" x14ac:dyDescent="0.3">
      <c r="A216" s="1">
        <f t="shared" si="3"/>
        <v>43819</v>
      </c>
      <c r="B216" s="20">
        <v>7623.6263736263745</v>
      </c>
      <c r="C216" s="20">
        <f t="shared" si="4"/>
        <v>19104.604634495947</v>
      </c>
      <c r="D216" s="21" t="str">
        <f t="shared" si="0"/>
        <v>191220</v>
      </c>
      <c r="E216" s="22">
        <f t="shared" si="5"/>
        <v>4.4586120000000005</v>
      </c>
      <c r="F216" s="9">
        <v>0</v>
      </c>
      <c r="G216" s="14">
        <f t="shared" si="1"/>
        <v>97.747964968347333</v>
      </c>
      <c r="H216" s="24">
        <f t="shared" si="6"/>
        <v>-23301.600316526674</v>
      </c>
      <c r="I216" s="20">
        <f t="shared" si="2"/>
        <v>-4196.995682030727</v>
      </c>
      <c r="J216" s="17">
        <f t="shared" si="7"/>
        <v>-0.41969956820307275</v>
      </c>
    </row>
    <row r="217" spans="1:10" ht="12" customHeight="1" x14ac:dyDescent="0.3">
      <c r="A217" s="1">
        <f t="shared" si="3"/>
        <v>43822</v>
      </c>
      <c r="B217" s="20">
        <v>7829.6703296703299</v>
      </c>
      <c r="C217" s="20">
        <f t="shared" si="4"/>
        <v>19310.648590539902</v>
      </c>
      <c r="D217" s="21" t="str">
        <f t="shared" si="0"/>
        <v>191223</v>
      </c>
      <c r="E217" s="22">
        <f t="shared" si="5"/>
        <v>4.4586120000000005</v>
      </c>
      <c r="F217" s="9">
        <v>0</v>
      </c>
      <c r="G217" s="14">
        <f t="shared" si="1"/>
        <v>97.763340993865853</v>
      </c>
      <c r="H217" s="24">
        <f t="shared" si="6"/>
        <v>-23147.840061341467</v>
      </c>
      <c r="I217" s="20">
        <f t="shared" si="2"/>
        <v>-3837.1914708015647</v>
      </c>
      <c r="J217" s="17">
        <f t="shared" si="7"/>
        <v>-0.38371914708015648</v>
      </c>
    </row>
    <row r="218" spans="1:10" ht="12" customHeight="1" x14ac:dyDescent="0.3">
      <c r="A218" s="1">
        <f t="shared" si="3"/>
        <v>43823</v>
      </c>
      <c r="B218" s="20">
        <v>7898.3516483516478</v>
      </c>
      <c r="C218" s="20">
        <f t="shared" si="4"/>
        <v>19379.329909221218</v>
      </c>
      <c r="D218" s="21" t="str">
        <f t="shared" si="0"/>
        <v>191224</v>
      </c>
      <c r="E218" s="22">
        <f t="shared" si="5"/>
        <v>4.4586120000000005</v>
      </c>
      <c r="F218" s="9">
        <v>0</v>
      </c>
      <c r="G218" s="14">
        <f t="shared" si="1"/>
        <v>97.768469292863742</v>
      </c>
      <c r="H218" s="24">
        <f t="shared" si="6"/>
        <v>-23096.557071362578</v>
      </c>
      <c r="I218" s="20">
        <f t="shared" si="2"/>
        <v>-3717.2271621413602</v>
      </c>
      <c r="J218" s="17">
        <f t="shared" si="7"/>
        <v>-0.37172271621413605</v>
      </c>
    </row>
    <row r="219" spans="1:10" ht="12" customHeight="1" x14ac:dyDescent="0.3">
      <c r="A219" s="1">
        <f t="shared" si="3"/>
        <v>43824</v>
      </c>
      <c r="B219" s="20">
        <v>7967.0329670329656</v>
      </c>
      <c r="C219" s="20">
        <f t="shared" si="4"/>
        <v>19448.011227902534</v>
      </c>
      <c r="D219" s="21" t="str">
        <f t="shared" si="0"/>
        <v>191225</v>
      </c>
      <c r="E219" s="22">
        <f t="shared" si="5"/>
        <v>4.4586120000000005</v>
      </c>
      <c r="F219" s="9">
        <v>0</v>
      </c>
      <c r="G219" s="14">
        <f t="shared" si="1"/>
        <v>97.773599070742691</v>
      </c>
      <c r="H219" s="24">
        <f t="shared" si="6"/>
        <v>-23045.25929257309</v>
      </c>
      <c r="I219" s="20">
        <f t="shared" si="2"/>
        <v>-3597.2480646705553</v>
      </c>
      <c r="J219" s="17">
        <f t="shared" si="7"/>
        <v>-0.35972480646705551</v>
      </c>
    </row>
    <row r="220" spans="1:10" ht="12" customHeight="1" x14ac:dyDescent="0.3">
      <c r="A220" s="1">
        <f t="shared" si="3"/>
        <v>43825</v>
      </c>
      <c r="B220" s="20">
        <v>8035.7142857142862</v>
      </c>
      <c r="C220" s="20">
        <f t="shared" si="4"/>
        <v>19516.692546583854</v>
      </c>
      <c r="D220" s="21" t="str">
        <f t="shared" si="0"/>
        <v>191226</v>
      </c>
      <c r="E220" s="22">
        <f t="shared" si="5"/>
        <v>4.4586120000000005</v>
      </c>
      <c r="F220" s="9">
        <v>0</v>
      </c>
      <c r="G220" s="14">
        <f t="shared" si="1"/>
        <v>97.778730327683832</v>
      </c>
      <c r="H220" s="24">
        <f t="shared" si="6"/>
        <v>-22993.946723161684</v>
      </c>
      <c r="I220" s="20">
        <f t="shared" si="2"/>
        <v>-3477.2541765778296</v>
      </c>
      <c r="J220" s="17">
        <f t="shared" si="7"/>
        <v>-0.34772541765778298</v>
      </c>
    </row>
    <row r="221" spans="1:10" ht="12" customHeight="1" x14ac:dyDescent="0.3">
      <c r="A221" s="1">
        <f t="shared" si="3"/>
        <v>43826</v>
      </c>
      <c r="B221" s="20">
        <v>8104.3956043956041</v>
      </c>
      <c r="C221" s="20">
        <f t="shared" si="4"/>
        <v>19585.373865265174</v>
      </c>
      <c r="D221" s="21" t="str">
        <f t="shared" si="0"/>
        <v>191227</v>
      </c>
      <c r="E221" s="22">
        <f t="shared" si="5"/>
        <v>4.4586120000000005</v>
      </c>
      <c r="F221" s="9">
        <v>0</v>
      </c>
      <c r="G221" s="14">
        <f t="shared" si="1"/>
        <v>97.783863063868409</v>
      </c>
      <c r="H221" s="24">
        <f t="shared" si="6"/>
        <v>-22942.619361315905</v>
      </c>
      <c r="I221" s="20">
        <f t="shared" si="2"/>
        <v>-3357.2454960507312</v>
      </c>
      <c r="J221" s="17">
        <f t="shared" si="7"/>
        <v>-0.33572454960507314</v>
      </c>
    </row>
    <row r="222" spans="1:10" ht="12" customHeight="1" x14ac:dyDescent="0.3">
      <c r="A222" s="1">
        <f t="shared" si="3"/>
        <v>43829</v>
      </c>
      <c r="B222" s="20">
        <v>8310.4395604395595</v>
      </c>
      <c r="C222" s="20">
        <f t="shared" si="4"/>
        <v>19791.417821309129</v>
      </c>
      <c r="D222" s="21" t="str">
        <f t="shared" si="0"/>
        <v>191230</v>
      </c>
      <c r="E222" s="22">
        <f t="shared" si="5"/>
        <v>4.4586120000000005</v>
      </c>
      <c r="F222" s="9">
        <v>0</v>
      </c>
      <c r="G222" s="14">
        <f t="shared" si="1"/>
        <v>97.799270149694635</v>
      </c>
      <c r="H222" s="24">
        <f t="shared" si="6"/>
        <v>-22788.548503053651</v>
      </c>
      <c r="I222" s="20">
        <f t="shared" si="2"/>
        <v>-2997.130681744522</v>
      </c>
      <c r="J222" s="17">
        <f t="shared" si="7"/>
        <v>-0.2997130681744522</v>
      </c>
    </row>
    <row r="223" spans="1:10" ht="12" customHeight="1" x14ac:dyDescent="0.3">
      <c r="A223" s="1">
        <f t="shared" si="3"/>
        <v>43830</v>
      </c>
      <c r="B223" s="20">
        <v>8379.1208791208774</v>
      </c>
      <c r="C223" s="20">
        <f t="shared" si="4"/>
        <v>19860.099139990445</v>
      </c>
      <c r="D223" s="21" t="str">
        <f t="shared" si="0"/>
        <v>191231</v>
      </c>
      <c r="E223" s="22">
        <f t="shared" si="5"/>
        <v>4.4586120000000005</v>
      </c>
      <c r="F223" s="9">
        <v>0</v>
      </c>
      <c r="G223" s="14">
        <f t="shared" si="1"/>
        <v>97.80440880466503</v>
      </c>
      <c r="H223" s="24">
        <f t="shared" si="6"/>
        <v>-22737.1619533497</v>
      </c>
      <c r="I223" s="20">
        <f t="shared" si="2"/>
        <v>-2877.0628133592545</v>
      </c>
      <c r="J223" s="17">
        <f t="shared" si="7"/>
        <v>-0.28770628133592546</v>
      </c>
    </row>
    <row r="224" spans="1:10" ht="12" customHeight="1" x14ac:dyDescent="0.3">
      <c r="A224" s="1">
        <f t="shared" si="3"/>
        <v>43831</v>
      </c>
      <c r="B224" s="20">
        <v>8447.8021978021989</v>
      </c>
      <c r="C224" s="20">
        <f t="shared" si="4"/>
        <v>19928.780458671768</v>
      </c>
      <c r="D224" s="21" t="str">
        <f t="shared" si="0"/>
        <v>200101</v>
      </c>
      <c r="E224" s="22">
        <f t="shared" si="5"/>
        <v>4.4586120000000005</v>
      </c>
      <c r="F224" s="9">
        <v>0</v>
      </c>
      <c r="G224" s="14">
        <f t="shared" si="1"/>
        <v>97.809548939785117</v>
      </c>
      <c r="H224" s="24">
        <f t="shared" si="6"/>
        <v>-22685.760602148832</v>
      </c>
      <c r="I224" s="20">
        <f t="shared" si="2"/>
        <v>-2756.9801434770634</v>
      </c>
      <c r="J224" s="17">
        <f t="shared" si="7"/>
        <v>-0.27569801434770635</v>
      </c>
    </row>
    <row r="225" spans="1:10" ht="12" customHeight="1" x14ac:dyDescent="0.3">
      <c r="A225" s="1">
        <f t="shared" si="3"/>
        <v>43832</v>
      </c>
      <c r="B225" s="20">
        <v>8516.4835164835167</v>
      </c>
      <c r="C225" s="20">
        <f t="shared" si="4"/>
        <v>19997.461777353084</v>
      </c>
      <c r="D225" s="21" t="str">
        <f t="shared" si="0"/>
        <v>200102</v>
      </c>
      <c r="E225" s="22">
        <f t="shared" si="5"/>
        <v>4.4586120000000005</v>
      </c>
      <c r="F225" s="9">
        <v>0</v>
      </c>
      <c r="G225" s="14">
        <f t="shared" si="1"/>
        <v>97.814690555236126</v>
      </c>
      <c r="H225" s="24">
        <f t="shared" si="6"/>
        <v>-22634.344447638738</v>
      </c>
      <c r="I225" s="20">
        <f t="shared" si="2"/>
        <v>-2636.8826702856531</v>
      </c>
      <c r="J225" s="17">
        <f t="shared" si="7"/>
        <v>-0.26368826702856529</v>
      </c>
    </row>
    <row r="226" spans="1:10" ht="12" customHeight="1" x14ac:dyDescent="0.3">
      <c r="A226" s="1">
        <f t="shared" si="3"/>
        <v>43833</v>
      </c>
      <c r="B226" s="20">
        <v>8585.1648351648364</v>
      </c>
      <c r="C226" s="20">
        <f t="shared" si="4"/>
        <v>20066.143096034404</v>
      </c>
      <c r="D226" s="21" t="str">
        <f t="shared" si="0"/>
        <v>200103</v>
      </c>
      <c r="E226" s="22">
        <f t="shared" si="5"/>
        <v>4.4586120000000005</v>
      </c>
      <c r="F226" s="9">
        <v>0</v>
      </c>
      <c r="G226" s="14">
        <f t="shared" si="1"/>
        <v>97.819833651199417</v>
      </c>
      <c r="H226" s="24">
        <f t="shared" si="6"/>
        <v>-22582.913488005826</v>
      </c>
      <c r="I226" s="20">
        <f t="shared" si="2"/>
        <v>-2516.7703919714222</v>
      </c>
      <c r="J226" s="17">
        <f t="shared" si="7"/>
        <v>-0.25167703919714224</v>
      </c>
    </row>
    <row r="227" spans="1:10" ht="12" customHeight="1" x14ac:dyDescent="0.3">
      <c r="A227" s="1">
        <f t="shared" si="3"/>
        <v>43836</v>
      </c>
      <c r="B227" s="20">
        <v>8791.2087912087918</v>
      </c>
      <c r="C227" s="20">
        <f t="shared" si="4"/>
        <v>20272.18705207836</v>
      </c>
      <c r="D227" s="21" t="str">
        <f t="shared" si="0"/>
        <v>200106</v>
      </c>
      <c r="E227" s="22">
        <f t="shared" si="5"/>
        <v>4.4586120000000005</v>
      </c>
      <c r="F227" s="9">
        <v>0</v>
      </c>
      <c r="G227" s="14">
        <f t="shared" si="1"/>
        <v>97.835271823976811</v>
      </c>
      <c r="H227" s="24">
        <f t="shared" si="6"/>
        <v>-22428.53176023189</v>
      </c>
      <c r="I227" s="20">
        <f t="shared" si="2"/>
        <v>-2156.3447081535305</v>
      </c>
      <c r="J227" s="17">
        <f t="shared" si="7"/>
        <v>-0.21563447081535303</v>
      </c>
    </row>
    <row r="228" spans="1:10" ht="12" customHeight="1" x14ac:dyDescent="0.3">
      <c r="A228" s="1">
        <f t="shared" si="3"/>
        <v>43837</v>
      </c>
      <c r="B228" s="20">
        <v>8859.8901098901097</v>
      </c>
      <c r="C228" s="20">
        <f t="shared" si="4"/>
        <v>20340.868370759679</v>
      </c>
      <c r="D228" s="21" t="str">
        <f t="shared" si="0"/>
        <v>200107</v>
      </c>
      <c r="E228" s="22">
        <f t="shared" si="5"/>
        <v>4.4586120000000005</v>
      </c>
      <c r="F228" s="9">
        <v>0</v>
      </c>
      <c r="G228" s="14">
        <f t="shared" si="1"/>
        <v>97.840420843803116</v>
      </c>
      <c r="H228" s="24">
        <f t="shared" si="6"/>
        <v>-22377.041561968839</v>
      </c>
      <c r="I228" s="20">
        <f t="shared" si="2"/>
        <v>-2036.17319120916</v>
      </c>
      <c r="J228" s="17">
        <f t="shared" si="7"/>
        <v>-0.20361731912091602</v>
      </c>
    </row>
    <row r="229" spans="1:10" ht="12" customHeight="1" x14ac:dyDescent="0.3">
      <c r="A229" s="1">
        <f t="shared" si="3"/>
        <v>43838</v>
      </c>
      <c r="B229" s="20">
        <v>8928.5714285714294</v>
      </c>
      <c r="C229" s="20">
        <f t="shared" si="4"/>
        <v>20409.549689440999</v>
      </c>
      <c r="D229" s="21" t="str">
        <f t="shared" si="0"/>
        <v>200108</v>
      </c>
      <c r="E229" s="22">
        <f t="shared" si="5"/>
        <v>4.4586120000000005</v>
      </c>
      <c r="F229" s="9">
        <v>0</v>
      </c>
      <c r="G229" s="14">
        <f t="shared" si="1"/>
        <v>97.845571345048711</v>
      </c>
      <c r="H229" s="24">
        <f t="shared" si="6"/>
        <v>-22325.53654951289</v>
      </c>
      <c r="I229" s="20">
        <f t="shared" si="2"/>
        <v>-1915.986860071891</v>
      </c>
      <c r="J229" s="17">
        <f t="shared" si="7"/>
        <v>-0.1915986860071891</v>
      </c>
    </row>
    <row r="230" spans="1:10" ht="12" customHeight="1" x14ac:dyDescent="0.3">
      <c r="A230" s="1">
        <f t="shared" si="3"/>
        <v>43839</v>
      </c>
      <c r="B230" s="20">
        <v>8997.2527472527472</v>
      </c>
      <c r="C230" s="20">
        <f t="shared" si="4"/>
        <v>20478.231008122319</v>
      </c>
      <c r="D230" s="21" t="str">
        <f t="shared" si="0"/>
        <v>200109</v>
      </c>
      <c r="E230" s="22">
        <f t="shared" si="5"/>
        <v>4.4586120000000005</v>
      </c>
      <c r="F230" s="9">
        <v>0</v>
      </c>
      <c r="G230" s="14">
        <f t="shared" si="1"/>
        <v>97.850723327895082</v>
      </c>
      <c r="H230" s="24">
        <f t="shared" si="6"/>
        <v>-22274.016721049178</v>
      </c>
      <c r="I230" s="20">
        <f t="shared" si="2"/>
        <v>-1795.7857129268596</v>
      </c>
      <c r="J230" s="17">
        <f t="shared" si="7"/>
        <v>-0.17957857129268595</v>
      </c>
    </row>
    <row r="231" spans="1:10" ht="12" customHeight="1" x14ac:dyDescent="0.3">
      <c r="A231" s="1">
        <f t="shared" si="3"/>
        <v>43840</v>
      </c>
      <c r="B231" s="20">
        <v>9065.9340659340651</v>
      </c>
      <c r="C231" s="20">
        <f t="shared" si="4"/>
        <v>20546.912326803635</v>
      </c>
      <c r="D231" s="21" t="str">
        <f t="shared" si="0"/>
        <v>200110</v>
      </c>
      <c r="E231" s="22">
        <f t="shared" si="5"/>
        <v>4.4586120000000005</v>
      </c>
      <c r="F231" s="9">
        <v>0</v>
      </c>
      <c r="G231" s="14">
        <f t="shared" si="1"/>
        <v>97.855876792523745</v>
      </c>
      <c r="H231" s="24">
        <f t="shared" si="6"/>
        <v>-22222.482074762556</v>
      </c>
      <c r="I231" s="20">
        <f t="shared" si="2"/>
        <v>-1675.5697479589217</v>
      </c>
      <c r="J231" s="17">
        <f t="shared" si="7"/>
        <v>-0.16755697479589216</v>
      </c>
    </row>
    <row r="232" spans="1:10" ht="12" customHeight="1" x14ac:dyDescent="0.3">
      <c r="A232" s="1">
        <f t="shared" si="3"/>
        <v>43843</v>
      </c>
      <c r="B232" s="20">
        <v>9271.9780219780223</v>
      </c>
      <c r="C232" s="20">
        <f t="shared" si="4"/>
        <v>20752.95628284759</v>
      </c>
      <c r="D232" s="21" t="str">
        <f t="shared" si="0"/>
        <v>200113</v>
      </c>
      <c r="E232" s="22">
        <f t="shared" si="5"/>
        <v>4.4586120000000005</v>
      </c>
      <c r="F232" s="9">
        <v>0</v>
      </c>
      <c r="G232" s="14">
        <f t="shared" si="1"/>
        <v>97.87134607891862</v>
      </c>
      <c r="H232" s="24">
        <f t="shared" si="6"/>
        <v>-22067.7892108138</v>
      </c>
      <c r="I232" s="20">
        <f t="shared" si="2"/>
        <v>-1314.8329279662103</v>
      </c>
      <c r="J232" s="17">
        <f t="shared" si="7"/>
        <v>-0.13148329279662102</v>
      </c>
    </row>
    <row r="233" spans="1:10" ht="12" customHeight="1" x14ac:dyDescent="0.3">
      <c r="A233" s="1">
        <f t="shared" si="3"/>
        <v>43844</v>
      </c>
      <c r="B233" s="20">
        <v>9340.6593406593402</v>
      </c>
      <c r="C233" s="20">
        <f t="shared" si="4"/>
        <v>20821.637601528906</v>
      </c>
      <c r="D233" s="21" t="str">
        <f t="shared" si="0"/>
        <v>200114</v>
      </c>
      <c r="E233" s="22">
        <f t="shared" si="5"/>
        <v>4.4586120000000005</v>
      </c>
      <c r="F233" s="9">
        <v>0</v>
      </c>
      <c r="G233" s="14">
        <f t="shared" si="1"/>
        <v>97.876505472491729</v>
      </c>
      <c r="H233" s="24">
        <f t="shared" si="6"/>
        <v>-22016.195275082708</v>
      </c>
      <c r="I233" s="20">
        <f t="shared" si="2"/>
        <v>-1194.5576735538016</v>
      </c>
      <c r="J233" s="17">
        <f t="shared" si="7"/>
        <v>-0.11945576735538016</v>
      </c>
    </row>
    <row r="234" spans="1:10" ht="12" customHeight="1" x14ac:dyDescent="0.3">
      <c r="A234" s="1">
        <f t="shared" si="3"/>
        <v>43845</v>
      </c>
      <c r="B234" s="20">
        <v>9409.3406593406598</v>
      </c>
      <c r="C234" s="20">
        <f t="shared" si="4"/>
        <v>20890.318920210226</v>
      </c>
      <c r="D234" s="21" t="str">
        <f t="shared" si="0"/>
        <v>200115</v>
      </c>
      <c r="E234" s="22">
        <f t="shared" si="5"/>
        <v>4.4586120000000005</v>
      </c>
      <c r="F234" s="9">
        <v>0</v>
      </c>
      <c r="G234" s="14">
        <f t="shared" si="1"/>
        <v>97.881666348754919</v>
      </c>
      <c r="H234" s="24">
        <f t="shared" si="6"/>
        <v>-21964.586512450809</v>
      </c>
      <c r="I234" s="20">
        <f t="shared" si="2"/>
        <v>-1074.2675922405833</v>
      </c>
      <c r="J234" s="17">
        <f t="shared" si="7"/>
        <v>-0.10742675922405832</v>
      </c>
    </row>
    <row r="235" spans="1:10" ht="12" customHeight="1" x14ac:dyDescent="0.3">
      <c r="A235" s="1">
        <f t="shared" si="3"/>
        <v>43846</v>
      </c>
      <c r="B235" s="20">
        <v>9478.0219780219777</v>
      </c>
      <c r="C235" s="20">
        <f t="shared" si="4"/>
        <v>20959.000238891545</v>
      </c>
      <c r="D235" s="21" t="str">
        <f t="shared" si="0"/>
        <v>200116</v>
      </c>
      <c r="E235" s="22">
        <f t="shared" si="5"/>
        <v>4.4586120000000005</v>
      </c>
      <c r="F235" s="9">
        <v>0</v>
      </c>
      <c r="G235" s="14">
        <f t="shared" si="1"/>
        <v>97.886828707889819</v>
      </c>
      <c r="H235" s="24">
        <f t="shared" si="6"/>
        <v>-21912.962921101811</v>
      </c>
      <c r="I235" s="20">
        <f t="shared" si="2"/>
        <v>-953.96268221026548</v>
      </c>
      <c r="J235" s="17">
        <f t="shared" si="7"/>
        <v>-9.5396268221026551E-2</v>
      </c>
    </row>
    <row r="236" spans="1:10" ht="12" customHeight="1" x14ac:dyDescent="0.3">
      <c r="A236" s="1">
        <f t="shared" si="3"/>
        <v>43847</v>
      </c>
      <c r="B236" s="20">
        <v>9546.7032967032956</v>
      </c>
      <c r="C236" s="20">
        <f t="shared" si="4"/>
        <v>21027.681557572861</v>
      </c>
      <c r="D236" s="21" t="str">
        <f t="shared" si="0"/>
        <v>200117</v>
      </c>
      <c r="E236" s="22">
        <f t="shared" si="5"/>
        <v>4.4586120000000005</v>
      </c>
      <c r="F236" s="9">
        <v>0</v>
      </c>
      <c r="G236" s="14">
        <f t="shared" si="1"/>
        <v>97.891992550078029</v>
      </c>
      <c r="H236" s="24">
        <f t="shared" si="6"/>
        <v>-21861.324499219707</v>
      </c>
      <c r="I236" s="20">
        <f t="shared" si="2"/>
        <v>-833.64294164684543</v>
      </c>
      <c r="J236" s="17">
        <f t="shared" si="7"/>
        <v>-8.3364294164684549E-2</v>
      </c>
    </row>
    <row r="237" spans="1:10" ht="12" customHeight="1" x14ac:dyDescent="0.3">
      <c r="A237" s="1">
        <f t="shared" si="3"/>
        <v>43850</v>
      </c>
      <c r="B237" s="20">
        <v>9752.7472527472528</v>
      </c>
      <c r="C237" s="20">
        <f t="shared" si="4"/>
        <v>21233.725513616817</v>
      </c>
      <c r="D237" s="21" t="str">
        <f t="shared" si="0"/>
        <v>200120</v>
      </c>
      <c r="E237" s="22">
        <f t="shared" si="5"/>
        <v>4.4586120000000005</v>
      </c>
      <c r="F237" s="9">
        <v>0</v>
      </c>
      <c r="G237" s="14">
        <f t="shared" si="1"/>
        <v>97.907492976779551</v>
      </c>
      <c r="H237" s="24">
        <f t="shared" si="6"/>
        <v>-21706.320232204493</v>
      </c>
      <c r="I237" s="20">
        <f t="shared" si="2"/>
        <v>-472.59471858767574</v>
      </c>
      <c r="J237" s="17">
        <f t="shared" si="7"/>
        <v>-4.7259471858767575E-2</v>
      </c>
    </row>
    <row r="238" spans="1:10" ht="12" customHeight="1" x14ac:dyDescent="0.3">
      <c r="A238" s="1">
        <f t="shared" si="3"/>
        <v>43851</v>
      </c>
      <c r="B238" s="20">
        <v>9821.4285714285706</v>
      </c>
      <c r="C238" s="20">
        <f t="shared" si="4"/>
        <v>21302.406832298133</v>
      </c>
      <c r="D238" s="21" t="str">
        <f t="shared" si="0"/>
        <v>200121</v>
      </c>
      <c r="E238" s="22">
        <f t="shared" si="5"/>
        <v>4.4586120000000005</v>
      </c>
      <c r="F238" s="9">
        <v>0</v>
      </c>
      <c r="G238" s="14">
        <f t="shared" si="1"/>
        <v>97.912662752998074</v>
      </c>
      <c r="H238" s="24">
        <f t="shared" si="6"/>
        <v>-21654.622470019265</v>
      </c>
      <c r="I238" s="20">
        <f t="shared" si="2"/>
        <v>-352.21563772113223</v>
      </c>
      <c r="J238" s="17">
        <f t="shared" si="7"/>
        <v>-3.5221563772113218E-2</v>
      </c>
    </row>
    <row r="239" spans="1:10" ht="12" customHeight="1" x14ac:dyDescent="0.3">
      <c r="A239" s="1">
        <f t="shared" si="3"/>
        <v>43852</v>
      </c>
      <c r="B239" s="20">
        <v>9890.1098901098903</v>
      </c>
      <c r="C239" s="20">
        <f t="shared" si="4"/>
        <v>21371.088150979453</v>
      </c>
      <c r="D239" s="21" t="str">
        <f t="shared" si="0"/>
        <v>200122</v>
      </c>
      <c r="E239" s="22">
        <f t="shared" si="5"/>
        <v>4.4586120000000005</v>
      </c>
      <c r="F239" s="9">
        <v>0</v>
      </c>
      <c r="G239" s="14">
        <f t="shared" si="1"/>
        <v>97.917834013178506</v>
      </c>
      <c r="H239" s="24">
        <f t="shared" si="6"/>
        <v>-21602.909868214934</v>
      </c>
      <c r="I239" s="20">
        <f t="shared" si="2"/>
        <v>-231.82171723548163</v>
      </c>
      <c r="J239" s="17">
        <f t="shared" si="7"/>
        <v>-2.318217172354816E-2</v>
      </c>
    </row>
    <row r="240" spans="1:10" ht="12" customHeight="1" x14ac:dyDescent="0.3">
      <c r="A240" s="1">
        <f t="shared" si="3"/>
        <v>43853</v>
      </c>
      <c r="B240" s="20">
        <v>9958.7912087912082</v>
      </c>
      <c r="C240" s="20">
        <f t="shared" si="4"/>
        <v>21439.769469660772</v>
      </c>
      <c r="D240" s="21" t="str">
        <f t="shared" si="0"/>
        <v>200123</v>
      </c>
      <c r="E240" s="22">
        <f t="shared" si="5"/>
        <v>4.4586120000000005</v>
      </c>
      <c r="F240" s="9">
        <v>0</v>
      </c>
      <c r="G240" s="14">
        <f t="shared" si="1"/>
        <v>97.923006757502648</v>
      </c>
      <c r="H240" s="24">
        <f t="shared" si="6"/>
        <v>-21551.182424973518</v>
      </c>
      <c r="I240" s="20">
        <f t="shared" si="2"/>
        <v>-111.41295531274591</v>
      </c>
      <c r="J240" s="17">
        <f t="shared" si="7"/>
        <v>-1.1141295531274591E-2</v>
      </c>
    </row>
    <row r="241" spans="1:10" ht="12" customHeight="1" x14ac:dyDescent="0.3">
      <c r="A241" s="1">
        <f t="shared" si="3"/>
        <v>43854</v>
      </c>
      <c r="B241" s="20">
        <v>10027.472527472528</v>
      </c>
      <c r="C241" s="20">
        <f t="shared" si="4"/>
        <v>21508.450788342092</v>
      </c>
      <c r="D241" s="21" t="str">
        <f t="shared" si="0"/>
        <v>200124</v>
      </c>
      <c r="E241" s="22">
        <f t="shared" si="5"/>
        <v>4.4586120000000005</v>
      </c>
      <c r="F241" s="9">
        <v>0</v>
      </c>
      <c r="G241" s="14">
        <f t="shared" si="1"/>
        <v>97.92818098615227</v>
      </c>
      <c r="H241" s="24">
        <f t="shared" si="6"/>
        <v>-21499.440138477297</v>
      </c>
      <c r="I241" s="20">
        <f t="shared" si="2"/>
        <v>9.0106498647946864</v>
      </c>
      <c r="J241" s="17">
        <f t="shared" si="7"/>
        <v>9.0106498647946867E-4</v>
      </c>
    </row>
    <row r="242" spans="1:10" ht="12" customHeight="1" x14ac:dyDescent="0.3">
      <c r="A242" s="1">
        <f t="shared" si="3"/>
        <v>43857</v>
      </c>
      <c r="B242" s="20">
        <v>10233.516483516483</v>
      </c>
      <c r="C242" s="20">
        <f t="shared" si="4"/>
        <v>21714.494744386047</v>
      </c>
      <c r="D242" s="21" t="str">
        <f t="shared" si="0"/>
        <v>200127</v>
      </c>
      <c r="E242" s="22">
        <f t="shared" si="5"/>
        <v>4.4586120000000005</v>
      </c>
      <c r="F242" s="9">
        <v>0</v>
      </c>
      <c r="G242" s="14">
        <f t="shared" si="1"/>
        <v>97.943712579872553</v>
      </c>
      <c r="H242" s="24">
        <f t="shared" si="6"/>
        <v>-21344.124201274466</v>
      </c>
      <c r="I242" s="20">
        <f t="shared" si="2"/>
        <v>370.37054311158136</v>
      </c>
      <c r="J242" s="17">
        <f t="shared" si="7"/>
        <v>3.7037054311158134E-2</v>
      </c>
    </row>
    <row r="243" spans="1:10" ht="12" customHeight="1" x14ac:dyDescent="0.3">
      <c r="A243" s="1">
        <f t="shared" si="3"/>
        <v>43858</v>
      </c>
      <c r="B243" s="20">
        <v>10302.197802197801</v>
      </c>
      <c r="C243" s="20">
        <f t="shared" si="4"/>
        <v>21783.176063067367</v>
      </c>
      <c r="D243" s="21" t="str">
        <f t="shared" si="0"/>
        <v>200128</v>
      </c>
      <c r="E243" s="22">
        <f t="shared" si="5"/>
        <v>4.4586120000000005</v>
      </c>
      <c r="F243" s="9">
        <v>0</v>
      </c>
      <c r="G243" s="14">
        <f t="shared" si="1"/>
        <v>97.948892747642688</v>
      </c>
      <c r="H243" s="24">
        <f t="shared" si="6"/>
        <v>-21292.322523573119</v>
      </c>
      <c r="I243" s="20">
        <f t="shared" si="2"/>
        <v>490.85353949424825</v>
      </c>
      <c r="J243" s="17">
        <f t="shared" si="7"/>
        <v>4.9085353949424829E-2</v>
      </c>
    </row>
    <row r="244" spans="1:10" ht="12" customHeight="1" x14ac:dyDescent="0.3">
      <c r="A244" s="1">
        <f t="shared" si="3"/>
        <v>43859</v>
      </c>
      <c r="B244" s="20">
        <v>10370.879120879123</v>
      </c>
      <c r="C244" s="20">
        <f t="shared" si="4"/>
        <v>21851.85738174869</v>
      </c>
      <c r="D244" s="21" t="str">
        <f t="shared" si="0"/>
        <v>200129</v>
      </c>
      <c r="E244" s="22">
        <f t="shared" si="5"/>
        <v>4.4586120000000005</v>
      </c>
      <c r="F244" s="9">
        <v>0</v>
      </c>
      <c r="G244" s="14">
        <f t="shared" si="1"/>
        <v>97.95407440064767</v>
      </c>
      <c r="H244" s="24">
        <f t="shared" si="6"/>
        <v>-21240.5059935233</v>
      </c>
      <c r="I244" s="20">
        <f t="shared" si="2"/>
        <v>611.35138822539011</v>
      </c>
      <c r="J244" s="17">
        <f t="shared" si="7"/>
        <v>6.1135138822539008E-2</v>
      </c>
    </row>
    <row r="245" spans="1:10" ht="12" customHeight="1" x14ac:dyDescent="0.3">
      <c r="A245" s="1">
        <f t="shared" si="3"/>
        <v>43860</v>
      </c>
      <c r="B245" s="20">
        <v>10439.56043956044</v>
      </c>
      <c r="C245" s="20">
        <f t="shared" si="4"/>
        <v>21920.538700430006</v>
      </c>
      <c r="D245" s="21" t="str">
        <f t="shared" si="0"/>
        <v>200130</v>
      </c>
      <c r="E245" s="22">
        <f t="shared" si="5"/>
        <v>4.4586120000000005</v>
      </c>
      <c r="F245" s="9">
        <v>0</v>
      </c>
      <c r="G245" s="14">
        <f t="shared" si="1"/>
        <v>97.959257539069455</v>
      </c>
      <c r="H245" s="24">
        <f t="shared" si="6"/>
        <v>-21188.674609305453</v>
      </c>
      <c r="I245" s="20">
        <f t="shared" si="2"/>
        <v>731.86409112455294</v>
      </c>
      <c r="J245" s="17">
        <f t="shared" si="7"/>
        <v>7.3186409112455289E-2</v>
      </c>
    </row>
    <row r="246" spans="1:10" ht="12" customHeight="1" x14ac:dyDescent="0.3">
      <c r="A246" s="1">
        <f t="shared" si="3"/>
        <v>43861</v>
      </c>
      <c r="B246" s="20">
        <v>10508.241758241758</v>
      </c>
      <c r="C246" s="20">
        <f t="shared" si="4"/>
        <v>21989.220019111322</v>
      </c>
      <c r="D246" s="21" t="str">
        <f t="shared" si="0"/>
        <v>200131</v>
      </c>
      <c r="E246" s="22">
        <f t="shared" si="5"/>
        <v>4.4586120000000005</v>
      </c>
      <c r="F246" s="9">
        <v>0</v>
      </c>
      <c r="G246" s="14">
        <f t="shared" si="1"/>
        <v>97.964442163089998</v>
      </c>
      <c r="H246" s="24">
        <f t="shared" si="6"/>
        <v>-21136.828369100014</v>
      </c>
      <c r="I246" s="20">
        <f t="shared" si="2"/>
        <v>852.39165001130823</v>
      </c>
      <c r="J246" s="17">
        <f t="shared" si="7"/>
        <v>8.5239165001130823E-2</v>
      </c>
    </row>
    <row r="247" spans="1:10" ht="12" customHeight="1" x14ac:dyDescent="0.3">
      <c r="A247" s="1">
        <f t="shared" si="3"/>
        <v>43864</v>
      </c>
      <c r="B247" s="20">
        <v>10714.285714285714</v>
      </c>
      <c r="C247" s="20">
        <f t="shared" si="4"/>
        <v>22195.263975155278</v>
      </c>
      <c r="D247" s="21" t="str">
        <f t="shared" si="0"/>
        <v>200203</v>
      </c>
      <c r="E247" s="22">
        <f t="shared" si="5"/>
        <v>4.4586120000000005</v>
      </c>
      <c r="F247" s="9">
        <v>0</v>
      </c>
      <c r="G247" s="14">
        <f t="shared" si="1"/>
        <v>97.980004950564037</v>
      </c>
      <c r="H247" s="24">
        <f t="shared" si="6"/>
        <v>-20981.200494359626</v>
      </c>
      <c r="I247" s="20">
        <f t="shared" si="2"/>
        <v>1214.0634807956521</v>
      </c>
      <c r="J247" s="17">
        <f t="shared" si="7"/>
        <v>0.12140634807956523</v>
      </c>
    </row>
    <row r="248" spans="1:10" ht="12" customHeight="1" x14ac:dyDescent="0.3">
      <c r="A248" s="1">
        <f t="shared" si="3"/>
        <v>43865</v>
      </c>
      <c r="B248" s="20">
        <v>10782.967032967035</v>
      </c>
      <c r="C248" s="20">
        <f t="shared" si="4"/>
        <v>22263.945293836601</v>
      </c>
      <c r="D248" s="21" t="str">
        <f t="shared" si="0"/>
        <v>200204</v>
      </c>
      <c r="E248" s="22">
        <f t="shared" si="5"/>
        <v>4.4586120000000005</v>
      </c>
      <c r="F248" s="9">
        <v>0</v>
      </c>
      <c r="G248" s="14">
        <f t="shared" si="1"/>
        <v>97.985195518799614</v>
      </c>
      <c r="H248" s="24">
        <f t="shared" si="6"/>
        <v>-20929.29481200386</v>
      </c>
      <c r="I248" s="20">
        <f t="shared" si="2"/>
        <v>1334.6504818327412</v>
      </c>
      <c r="J248" s="17">
        <f t="shared" si="7"/>
        <v>0.13346504818327412</v>
      </c>
    </row>
    <row r="249" spans="1:10" ht="12" customHeight="1" x14ac:dyDescent="0.3">
      <c r="A249" s="1">
        <f t="shared" si="3"/>
        <v>43866</v>
      </c>
      <c r="B249" s="20">
        <v>10851.648351648351</v>
      </c>
      <c r="C249" s="20">
        <f t="shared" si="4"/>
        <v>22332.626612517917</v>
      </c>
      <c r="D249" s="21" t="str">
        <f t="shared" si="0"/>
        <v>200205</v>
      </c>
      <c r="E249" s="22">
        <f t="shared" si="5"/>
        <v>4.4586120000000005</v>
      </c>
      <c r="F249" s="9">
        <v>0</v>
      </c>
      <c r="G249" s="14">
        <f t="shared" si="1"/>
        <v>97.990387573544083</v>
      </c>
      <c r="H249" s="24">
        <f t="shared" si="6"/>
        <v>-20877.374264559166</v>
      </c>
      <c r="I249" s="20">
        <f t="shared" si="2"/>
        <v>1455.2523479587508</v>
      </c>
      <c r="J249" s="17">
        <f t="shared" si="7"/>
        <v>0.14552523479587506</v>
      </c>
    </row>
    <row r="250" spans="1:10" ht="12" customHeight="1" x14ac:dyDescent="0.3">
      <c r="A250" s="1">
        <f t="shared" si="3"/>
        <v>43867</v>
      </c>
      <c r="B250" s="20">
        <v>10920.329670329671</v>
      </c>
      <c r="C250" s="20">
        <f t="shared" si="4"/>
        <v>22401.307931199237</v>
      </c>
      <c r="D250" s="21" t="str">
        <f t="shared" si="0"/>
        <v>200206</v>
      </c>
      <c r="E250" s="22">
        <f t="shared" si="5"/>
        <v>4.4586120000000005</v>
      </c>
      <c r="F250" s="9">
        <v>0</v>
      </c>
      <c r="G250" s="14">
        <f t="shared" si="1"/>
        <v>97.995581114979558</v>
      </c>
      <c r="H250" s="24">
        <f t="shared" si="6"/>
        <v>-20825.43885020442</v>
      </c>
      <c r="I250" s="20">
        <f t="shared" si="2"/>
        <v>1575.8690809948166</v>
      </c>
      <c r="J250" s="17">
        <f t="shared" si="7"/>
        <v>0.15758690809948167</v>
      </c>
    </row>
    <row r="251" spans="1:10" ht="12" customHeight="1" x14ac:dyDescent="0.3">
      <c r="A251" s="1">
        <f t="shared" si="3"/>
        <v>43868</v>
      </c>
      <c r="B251" s="20">
        <v>10989.010989010991</v>
      </c>
      <c r="C251" s="20">
        <f t="shared" si="4"/>
        <v>22469.989249880557</v>
      </c>
      <c r="D251" s="21" t="str">
        <f t="shared" si="0"/>
        <v>200207</v>
      </c>
      <c r="E251" s="22">
        <f t="shared" si="5"/>
        <v>4.4586120000000005</v>
      </c>
      <c r="F251" s="9">
        <v>0</v>
      </c>
      <c r="G251" s="14">
        <f t="shared" si="1"/>
        <v>98.000776143288121</v>
      </c>
      <c r="H251" s="24">
        <f t="shared" si="6"/>
        <v>-20773.488567118788</v>
      </c>
      <c r="I251" s="20">
        <f t="shared" si="2"/>
        <v>1696.500682761769</v>
      </c>
      <c r="J251" s="17">
        <f t="shared" si="7"/>
        <v>0.1696500682761769</v>
      </c>
    </row>
    <row r="252" spans="1:10" ht="12" customHeight="1" x14ac:dyDescent="0.3">
      <c r="A252" s="1">
        <f t="shared" si="3"/>
        <v>43871</v>
      </c>
      <c r="B252" s="20">
        <v>11195.054945054946</v>
      </c>
      <c r="C252" s="20">
        <f t="shared" si="4"/>
        <v>22676.033205924512</v>
      </c>
      <c r="D252" s="21" t="str">
        <f t="shared" si="0"/>
        <v>200210</v>
      </c>
      <c r="E252" s="22">
        <f t="shared" si="5"/>
        <v>4.4586120000000005</v>
      </c>
      <c r="F252" s="9">
        <v>0</v>
      </c>
      <c r="G252" s="14">
        <f t="shared" si="1"/>
        <v>98.016370151273847</v>
      </c>
      <c r="H252" s="24">
        <f t="shared" si="6"/>
        <v>-20617.548487261531</v>
      </c>
      <c r="I252" s="20">
        <f t="shared" si="2"/>
        <v>2058.4847186629813</v>
      </c>
      <c r="J252" s="17">
        <f t="shared" si="7"/>
        <v>0.20584847186629812</v>
      </c>
    </row>
    <row r="253" spans="1:10" ht="12" customHeight="1" x14ac:dyDescent="0.3">
      <c r="A253" s="1">
        <f t="shared" si="3"/>
        <v>43872</v>
      </c>
      <c r="B253" s="20">
        <v>11263.736263736262</v>
      </c>
      <c r="C253" s="20">
        <f t="shared" si="4"/>
        <v>22744.714524605828</v>
      </c>
      <c r="D253" s="21" t="str">
        <f t="shared" si="0"/>
        <v>200211</v>
      </c>
      <c r="E253" s="22">
        <f t="shared" si="5"/>
        <v>4.4586120000000005</v>
      </c>
      <c r="F253" s="9">
        <v>0</v>
      </c>
      <c r="G253" s="14">
        <f t="shared" si="1"/>
        <v>98.021571128896397</v>
      </c>
      <c r="H253" s="24">
        <f t="shared" si="6"/>
        <v>-20565.538711036028</v>
      </c>
      <c r="I253" s="20">
        <f t="shared" si="2"/>
        <v>2179.1758135698001</v>
      </c>
      <c r="J253" s="17">
        <f t="shared" si="7"/>
        <v>0.21791758135698003</v>
      </c>
    </row>
    <row r="254" spans="1:10" ht="12" customHeight="1" x14ac:dyDescent="0.3">
      <c r="A254" s="1">
        <f t="shared" si="3"/>
        <v>43873</v>
      </c>
      <c r="B254" s="20">
        <v>11332.417582417582</v>
      </c>
      <c r="C254" s="20">
        <f t="shared" si="4"/>
        <v>22813.395843287148</v>
      </c>
      <c r="D254" s="21" t="str">
        <f t="shared" si="0"/>
        <v>200212</v>
      </c>
      <c r="E254" s="22">
        <f t="shared" si="5"/>
        <v>4.4586120000000005</v>
      </c>
      <c r="F254" s="9">
        <v>0</v>
      </c>
      <c r="G254" s="14">
        <f t="shared" si="1"/>
        <v>98.026773594302952</v>
      </c>
      <c r="H254" s="24">
        <f t="shared" si="6"/>
        <v>-20513.514056970478</v>
      </c>
      <c r="I254" s="20">
        <f t="shared" si="2"/>
        <v>2299.8817863166696</v>
      </c>
      <c r="J254" s="17">
        <f t="shared" si="7"/>
        <v>0.22998817863166696</v>
      </c>
    </row>
    <row r="255" spans="1:10" ht="12" customHeight="1" x14ac:dyDescent="0.3">
      <c r="A255" s="1">
        <f t="shared" si="3"/>
        <v>43874</v>
      </c>
      <c r="B255" s="20">
        <v>11401.098901098901</v>
      </c>
      <c r="C255" s="20">
        <f t="shared" si="4"/>
        <v>22882.077161968467</v>
      </c>
      <c r="D255" s="21" t="str">
        <f t="shared" si="0"/>
        <v>200213</v>
      </c>
      <c r="E255" s="22">
        <f t="shared" si="5"/>
        <v>4.4586120000000005</v>
      </c>
      <c r="F255" s="9">
        <v>0</v>
      </c>
      <c r="G255" s="14">
        <f t="shared" si="1"/>
        <v>98.03197754767578</v>
      </c>
      <c r="H255" s="24">
        <f t="shared" si="6"/>
        <v>-20461.474523242203</v>
      </c>
      <c r="I255" s="20">
        <f t="shared" si="2"/>
        <v>2420.6026387262646</v>
      </c>
      <c r="J255" s="17">
        <f t="shared" si="7"/>
        <v>0.24206026387262647</v>
      </c>
    </row>
    <row r="256" spans="1:10" ht="12" customHeight="1" x14ac:dyDescent="0.3">
      <c r="A256" s="1">
        <f t="shared" si="3"/>
        <v>43875</v>
      </c>
      <c r="B256" s="20">
        <v>11469.780219780218</v>
      </c>
      <c r="C256" s="20">
        <f t="shared" si="4"/>
        <v>22950.758480649783</v>
      </c>
      <c r="D256" s="21" t="str">
        <f t="shared" si="0"/>
        <v>200214</v>
      </c>
      <c r="E256" s="22">
        <f t="shared" si="5"/>
        <v>4.4586120000000005</v>
      </c>
      <c r="F256" s="9">
        <v>0</v>
      </c>
      <c r="G256" s="14">
        <f t="shared" si="1"/>
        <v>98.037182989197106</v>
      </c>
      <c r="H256" s="24">
        <f t="shared" si="6"/>
        <v>-20409.420108028939</v>
      </c>
      <c r="I256" s="20">
        <f t="shared" si="2"/>
        <v>2541.3383726208449</v>
      </c>
      <c r="J256" s="17">
        <f t="shared" si="7"/>
        <v>0.25413383726208449</v>
      </c>
    </row>
    <row r="257" spans="1:12" ht="12" customHeight="1" x14ac:dyDescent="0.3">
      <c r="A257" s="1">
        <f t="shared" si="3"/>
        <v>43878</v>
      </c>
      <c r="B257" s="20">
        <v>11675.824175824177</v>
      </c>
      <c r="C257" s="20">
        <f t="shared" si="4"/>
        <v>23156.802436693742</v>
      </c>
      <c r="D257" s="21" t="str">
        <f t="shared" si="0"/>
        <v>200217</v>
      </c>
      <c r="E257" s="22">
        <f t="shared" si="5"/>
        <v>4.4586120000000005</v>
      </c>
      <c r="F257" s="9">
        <v>0</v>
      </c>
      <c r="G257" s="14">
        <f t="shared" si="1"/>
        <v>98.052808244475429</v>
      </c>
      <c r="H257" s="24">
        <f t="shared" si="6"/>
        <v>-20253.167555245709</v>
      </c>
      <c r="I257" s="20">
        <f t="shared" si="2"/>
        <v>2903.6348814480334</v>
      </c>
      <c r="J257" s="17">
        <f t="shared" si="7"/>
        <v>0.29036348814480334</v>
      </c>
    </row>
    <row r="258" spans="1:12" ht="12" customHeight="1" x14ac:dyDescent="0.3">
      <c r="A258" s="1">
        <f t="shared" si="3"/>
        <v>43879</v>
      </c>
      <c r="B258" s="20">
        <v>11744.505494505494</v>
      </c>
      <c r="C258" s="20">
        <f t="shared" si="4"/>
        <v>23225.483755375062</v>
      </c>
      <c r="D258" s="21" t="str">
        <f t="shared" si="0"/>
        <v>200218</v>
      </c>
      <c r="E258" s="22">
        <f t="shared" si="5"/>
        <v>4.4586120000000005</v>
      </c>
      <c r="F258" s="9">
        <v>0</v>
      </c>
      <c r="G258" s="14">
        <f t="shared" si="1"/>
        <v>98.058019640414074</v>
      </c>
      <c r="H258" s="24">
        <f t="shared" si="6"/>
        <v>-20201.053595859263</v>
      </c>
      <c r="I258" s="20">
        <f t="shared" si="2"/>
        <v>3024.4301595157995</v>
      </c>
      <c r="J258" s="17">
        <f t="shared" si="7"/>
        <v>0.30244301595157991</v>
      </c>
    </row>
    <row r="259" spans="1:12" ht="12" customHeight="1" x14ac:dyDescent="0.3">
      <c r="A259" s="1">
        <f t="shared" si="3"/>
        <v>43880</v>
      </c>
      <c r="B259" s="20">
        <v>11813.186813186814</v>
      </c>
      <c r="C259" s="20">
        <f t="shared" si="4"/>
        <v>23294.165074056382</v>
      </c>
      <c r="D259" s="21" t="str">
        <f t="shared" si="0"/>
        <v>200219</v>
      </c>
      <c r="E259" s="22">
        <f t="shared" si="5"/>
        <v>4.4586120000000005</v>
      </c>
      <c r="F259" s="9">
        <v>0</v>
      </c>
      <c r="G259" s="14">
        <f t="shared" si="1"/>
        <v>98.063232525412957</v>
      </c>
      <c r="H259" s="24">
        <f t="shared" si="6"/>
        <v>-20148.92474587043</v>
      </c>
      <c r="I259" s="20">
        <f t="shared" si="2"/>
        <v>3145.2403281859515</v>
      </c>
      <c r="J259" s="17">
        <f t="shared" si="7"/>
        <v>0.31452403281859515</v>
      </c>
      <c r="K259" s="14"/>
      <c r="L259" s="14"/>
    </row>
    <row r="260" spans="1:12" ht="12" customHeight="1" x14ac:dyDescent="0.3">
      <c r="A260" s="1">
        <f t="shared" si="3"/>
        <v>43881</v>
      </c>
      <c r="B260" s="20">
        <v>11881.868131868132</v>
      </c>
      <c r="C260" s="20">
        <f t="shared" si="4"/>
        <v>23362.846392737702</v>
      </c>
      <c r="D260" s="21" t="str">
        <f t="shared" si="0"/>
        <v>200220</v>
      </c>
      <c r="E260" s="22">
        <f t="shared" si="5"/>
        <v>4.4586120000000005</v>
      </c>
      <c r="F260" s="9">
        <v>0</v>
      </c>
      <c r="G260" s="14">
        <f t="shared" si="1"/>
        <v>98.068446899654489</v>
      </c>
      <c r="H260" s="24">
        <f t="shared" si="6"/>
        <v>-20096.781003455108</v>
      </c>
      <c r="I260" s="20">
        <f t="shared" si="2"/>
        <v>3266.065389282594</v>
      </c>
      <c r="J260" s="17">
        <f t="shared" si="7"/>
        <v>0.32660653892825936</v>
      </c>
    </row>
    <row r="261" spans="1:12" ht="12" customHeight="1" x14ac:dyDescent="0.3">
      <c r="A261" s="1">
        <f t="shared" si="3"/>
        <v>43882</v>
      </c>
      <c r="B261" s="20">
        <v>11950.54945054945</v>
      </c>
      <c r="C261" s="20">
        <f t="shared" si="4"/>
        <v>23431.527711419018</v>
      </c>
      <c r="D261" s="21" t="str">
        <f t="shared" si="0"/>
        <v>200221</v>
      </c>
      <c r="E261" s="22">
        <f t="shared" si="5"/>
        <v>4.4586120000000005</v>
      </c>
      <c r="F261" s="9">
        <v>0</v>
      </c>
      <c r="G261" s="14">
        <f t="shared" si="1"/>
        <v>98.073662763321053</v>
      </c>
      <c r="H261" s="24">
        <f t="shared" si="6"/>
        <v>-20044.622366789466</v>
      </c>
      <c r="I261" s="20">
        <f t="shared" si="2"/>
        <v>3386.9053446295511</v>
      </c>
      <c r="J261" s="17">
        <f t="shared" si="7"/>
        <v>0.33869053446295511</v>
      </c>
    </row>
    <row r="262" spans="1:12" ht="12" customHeight="1" x14ac:dyDescent="0.3">
      <c r="A262" s="1">
        <f t="shared" si="3"/>
        <v>43885</v>
      </c>
      <c r="B262" s="20">
        <v>12156.593406593405</v>
      </c>
      <c r="C262" s="20">
        <f t="shared" si="4"/>
        <v>23637.571667462973</v>
      </c>
      <c r="D262" s="21" t="str">
        <f t="shared" si="0"/>
        <v>200224</v>
      </c>
      <c r="E262" s="22">
        <f t="shared" si="5"/>
        <v>4.4586120000000005</v>
      </c>
      <c r="F262" s="9">
        <v>0</v>
      </c>
      <c r="G262" s="14">
        <f t="shared" si="1"/>
        <v>98.089319292695805</v>
      </c>
      <c r="H262" s="24">
        <f t="shared" si="6"/>
        <v>-19888.057073041949</v>
      </c>
      <c r="I262" s="20">
        <f t="shared" si="2"/>
        <v>3749.5145944210235</v>
      </c>
      <c r="J262" s="17">
        <f t="shared" si="7"/>
        <v>0.37495145944210234</v>
      </c>
    </row>
    <row r="263" spans="1:12" ht="12" customHeight="1" x14ac:dyDescent="0.3">
      <c r="A263" s="1">
        <f t="shared" si="3"/>
        <v>43886</v>
      </c>
      <c r="B263" s="20">
        <v>12225.274725274723</v>
      </c>
      <c r="C263" s="20">
        <f t="shared" si="4"/>
        <v>23706.252986144289</v>
      </c>
      <c r="D263" s="21" t="str">
        <f t="shared" si="0"/>
        <v>200225</v>
      </c>
      <c r="E263" s="22">
        <f t="shared" si="5"/>
        <v>4.4586120000000005</v>
      </c>
      <c r="F263" s="9">
        <v>0</v>
      </c>
      <c r="G263" s="14">
        <f t="shared" si="1"/>
        <v>98.094541115887353</v>
      </c>
      <c r="H263" s="24">
        <f t="shared" si="6"/>
        <v>-19835.838841126475</v>
      </c>
      <c r="I263" s="20">
        <f t="shared" si="2"/>
        <v>3870.414145017814</v>
      </c>
      <c r="J263" s="17">
        <f t="shared" si="7"/>
        <v>0.38704141450178142</v>
      </c>
    </row>
    <row r="264" spans="1:12" ht="12" customHeight="1" x14ac:dyDescent="0.3">
      <c r="A264" s="1">
        <f t="shared" si="3"/>
        <v>43887</v>
      </c>
      <c r="B264" s="20">
        <v>12293.956043956043</v>
      </c>
      <c r="C264" s="20">
        <f t="shared" si="4"/>
        <v>23774.934304825609</v>
      </c>
      <c r="D264" s="21" t="str">
        <f t="shared" si="0"/>
        <v>200226</v>
      </c>
      <c r="E264" s="22">
        <f t="shared" si="5"/>
        <v>4.4586120000000005</v>
      </c>
      <c r="F264" s="9">
        <v>0</v>
      </c>
      <c r="G264" s="14">
        <f t="shared" si="1"/>
        <v>98.099764429416467</v>
      </c>
      <c r="H264" s="24">
        <f t="shared" si="6"/>
        <v>-19783.605705835329</v>
      </c>
      <c r="I264" s="20">
        <f t="shared" si="2"/>
        <v>3991.3285989902797</v>
      </c>
      <c r="J264" s="17">
        <f t="shared" si="7"/>
        <v>0.39913285989902797</v>
      </c>
    </row>
    <row r="265" spans="1:12" ht="12" customHeight="1" x14ac:dyDescent="0.3">
      <c r="A265" s="1">
        <f t="shared" si="3"/>
        <v>43888</v>
      </c>
      <c r="B265" s="20">
        <v>12362.637362637364</v>
      </c>
      <c r="C265" s="20">
        <f t="shared" si="4"/>
        <v>23843.615623506928</v>
      </c>
      <c r="D265" s="21" t="str">
        <f t="shared" si="0"/>
        <v>200227</v>
      </c>
      <c r="E265" s="22">
        <f t="shared" si="5"/>
        <v>4.4586120000000005</v>
      </c>
      <c r="F265" s="9">
        <v>0</v>
      </c>
      <c r="G265" s="14">
        <f t="shared" si="1"/>
        <v>98.104989233465673</v>
      </c>
      <c r="H265" s="24">
        <f t="shared" si="6"/>
        <v>-19731.357665343268</v>
      </c>
      <c r="I265" s="20">
        <f t="shared" si="2"/>
        <v>4112.2579581636601</v>
      </c>
      <c r="J265" s="17">
        <f t="shared" si="7"/>
        <v>0.41122579581636598</v>
      </c>
    </row>
    <row r="266" spans="1:12" ht="12" customHeight="1" x14ac:dyDescent="0.3">
      <c r="A266" s="1">
        <f t="shared" si="3"/>
        <v>43889</v>
      </c>
      <c r="B266" s="20">
        <v>12431.31868131868</v>
      </c>
      <c r="C266" s="20">
        <f t="shared" si="4"/>
        <v>23912.296942188244</v>
      </c>
      <c r="D266" s="21" t="str">
        <f t="shared" si="0"/>
        <v>200228</v>
      </c>
      <c r="E266" s="22">
        <f t="shared" si="5"/>
        <v>4.4586120000000005</v>
      </c>
      <c r="F266" s="9">
        <v>0</v>
      </c>
      <c r="G266" s="14">
        <f t="shared" si="1"/>
        <v>98.11021552821758</v>
      </c>
      <c r="H266" s="24">
        <f t="shared" si="6"/>
        <v>-19679.094717824199</v>
      </c>
      <c r="I266" s="20">
        <f t="shared" si="2"/>
        <v>4233.2022243640458</v>
      </c>
      <c r="J266" s="17">
        <f t="shared" si="7"/>
        <v>0.42332022243640455</v>
      </c>
    </row>
    <row r="267" spans="1:12" ht="12" customHeight="1" x14ac:dyDescent="0.3">
      <c r="A267" s="1">
        <f t="shared" si="3"/>
        <v>43892</v>
      </c>
      <c r="B267" s="20">
        <v>135.86956521739131</v>
      </c>
      <c r="C267" s="20">
        <f t="shared" si="4"/>
        <v>24116.847826086956</v>
      </c>
      <c r="D267" s="21" t="str">
        <f t="shared" si="0"/>
        <v>200302</v>
      </c>
      <c r="E267" s="22">
        <f t="shared" si="5"/>
        <v>4.4586120000000005</v>
      </c>
      <c r="F267" s="9">
        <v>0</v>
      </c>
      <c r="G267" s="14">
        <f t="shared" si="1"/>
        <v>98.115137051312445</v>
      </c>
      <c r="H267" s="24">
        <f t="shared" si="6"/>
        <v>-19629.879486875554</v>
      </c>
      <c r="I267" s="20">
        <f t="shared" si="2"/>
        <v>4486.9683392114021</v>
      </c>
      <c r="J267" s="17">
        <f t="shared" si="7"/>
        <v>0.44869683392114018</v>
      </c>
    </row>
    <row r="268" spans="1:12" ht="12" customHeight="1" x14ac:dyDescent="0.3">
      <c r="A268" s="1">
        <f t="shared" si="3"/>
        <v>43893</v>
      </c>
      <c r="B268" s="20">
        <v>203.80434782608697</v>
      </c>
      <c r="C268" s="20">
        <f t="shared" si="4"/>
        <v>24184.782608695652</v>
      </c>
      <c r="D268" s="21" t="str">
        <f t="shared" si="0"/>
        <v>200303</v>
      </c>
      <c r="E268" s="22">
        <f t="shared" si="5"/>
        <v>4.4586120000000005</v>
      </c>
      <c r="F268" s="9">
        <v>0</v>
      </c>
      <c r="G268" s="14">
        <f t="shared" si="1"/>
        <v>98.120213168608529</v>
      </c>
      <c r="H268" s="24">
        <f t="shared" si="6"/>
        <v>-19579.118313914703</v>
      </c>
      <c r="I268" s="20">
        <f t="shared" si="2"/>
        <v>4605.6642947809487</v>
      </c>
      <c r="J268" s="17">
        <f t="shared" si="7"/>
        <v>0.46056642947809484</v>
      </c>
    </row>
    <row r="269" spans="1:12" ht="12" customHeight="1" x14ac:dyDescent="0.3">
      <c r="A269" s="1">
        <f t="shared" si="3"/>
        <v>43894</v>
      </c>
      <c r="B269" s="20">
        <v>271.73913043478262</v>
      </c>
      <c r="C269" s="20">
        <f t="shared" si="4"/>
        <v>24252.717391304348</v>
      </c>
      <c r="D269" s="21" t="str">
        <f t="shared" si="0"/>
        <v>200304</v>
      </c>
      <c r="E269" s="22">
        <f t="shared" si="5"/>
        <v>4.4586120000000005</v>
      </c>
      <c r="F269" s="9">
        <v>0</v>
      </c>
      <c r="G269" s="14">
        <f t="shared" si="1"/>
        <v>98.125290758393518</v>
      </c>
      <c r="H269" s="24">
        <f t="shared" si="6"/>
        <v>-19528.342416064817</v>
      </c>
      <c r="I269" s="20">
        <f t="shared" si="2"/>
        <v>4724.3749752395306</v>
      </c>
      <c r="J269" s="17">
        <f t="shared" si="7"/>
        <v>0.47243749752395303</v>
      </c>
    </row>
    <row r="270" spans="1:12" ht="12" customHeight="1" x14ac:dyDescent="0.3">
      <c r="A270" s="1">
        <f t="shared" si="3"/>
        <v>43895</v>
      </c>
      <c r="B270" s="20">
        <v>339.67391304347825</v>
      </c>
      <c r="C270" s="20">
        <f t="shared" si="4"/>
        <v>24320.652173913044</v>
      </c>
      <c r="D270" s="21" t="str">
        <f t="shared" si="0"/>
        <v>200305</v>
      </c>
      <c r="E270" s="22">
        <f t="shared" si="5"/>
        <v>4.4586120000000005</v>
      </c>
      <c r="F270" s="9">
        <v>0</v>
      </c>
      <c r="G270" s="14">
        <f t="shared" si="1"/>
        <v>98.130369820847818</v>
      </c>
      <c r="H270" s="24">
        <f t="shared" si="6"/>
        <v>-19477.551791521819</v>
      </c>
      <c r="I270" s="20">
        <f t="shared" si="2"/>
        <v>4843.1003823912251</v>
      </c>
      <c r="J270" s="17">
        <f t="shared" si="7"/>
        <v>0.4843100382391225</v>
      </c>
    </row>
    <row r="271" spans="1:12" ht="12" customHeight="1" x14ac:dyDescent="0.3">
      <c r="A271" s="1">
        <f t="shared" si="3"/>
        <v>43896</v>
      </c>
      <c r="B271" s="20">
        <v>407.60869565217394</v>
      </c>
      <c r="C271" s="20">
        <f t="shared" si="4"/>
        <v>24388.58695652174</v>
      </c>
      <c r="D271" s="21" t="str">
        <f t="shared" si="0"/>
        <v>200306</v>
      </c>
      <c r="E271" s="22">
        <f t="shared" si="5"/>
        <v>4.4586120000000005</v>
      </c>
      <c r="F271" s="9">
        <v>0</v>
      </c>
      <c r="G271" s="14">
        <f t="shared" si="1"/>
        <v>98.13545035615185</v>
      </c>
      <c r="H271" s="24">
        <f t="shared" si="6"/>
        <v>-19426.746438481499</v>
      </c>
      <c r="I271" s="20">
        <f t="shared" si="2"/>
        <v>4961.8405180402406</v>
      </c>
      <c r="J271" s="17">
        <f t="shared" si="7"/>
        <v>0.49618405180402403</v>
      </c>
    </row>
    <row r="272" spans="1:12" ht="12" customHeight="1" x14ac:dyDescent="0.3">
      <c r="A272" s="1">
        <f t="shared" si="3"/>
        <v>43899</v>
      </c>
      <c r="B272" s="20">
        <v>611.41304347826087</v>
      </c>
      <c r="C272" s="20">
        <f t="shared" si="4"/>
        <v>24592.391304347828</v>
      </c>
      <c r="D272" s="21" t="str">
        <f t="shared" si="0"/>
        <v>200309</v>
      </c>
      <c r="E272" s="22">
        <f t="shared" si="5"/>
        <v>4.4586120000000005</v>
      </c>
      <c r="F272" s="9">
        <v>0</v>
      </c>
      <c r="G272" s="14">
        <f t="shared" si="1"/>
        <v>98.150700800966476</v>
      </c>
      <c r="H272" s="24">
        <f t="shared" si="6"/>
        <v>-19274.241990335242</v>
      </c>
      <c r="I272" s="20">
        <f t="shared" si="2"/>
        <v>5318.1493140125858</v>
      </c>
      <c r="J272" s="17">
        <f t="shared" si="7"/>
        <v>0.53181493140125857</v>
      </c>
    </row>
    <row r="273" spans="1:10" ht="12" customHeight="1" x14ac:dyDescent="0.3">
      <c r="A273" s="1">
        <f t="shared" si="3"/>
        <v>43900</v>
      </c>
      <c r="B273" s="20">
        <v>679.3478260869565</v>
      </c>
      <c r="C273" s="20">
        <f t="shared" si="4"/>
        <v>24660.326086956524</v>
      </c>
      <c r="D273" s="21" t="str">
        <f t="shared" si="0"/>
        <v>200310</v>
      </c>
      <c r="E273" s="22">
        <f t="shared" si="5"/>
        <v>4.4586120000000005</v>
      </c>
      <c r="F273" s="9">
        <v>0</v>
      </c>
      <c r="G273" s="14">
        <f t="shared" si="1"/>
        <v>98.155787229473759</v>
      </c>
      <c r="H273" s="24">
        <f t="shared" si="6"/>
        <v>-19223.377705262406</v>
      </c>
      <c r="I273" s="20">
        <f t="shared" si="2"/>
        <v>5436.9483816941174</v>
      </c>
      <c r="J273" s="17">
        <f t="shared" si="7"/>
        <v>0.54369483816941178</v>
      </c>
    </row>
    <row r="274" spans="1:10" ht="12" customHeight="1" x14ac:dyDescent="0.3">
      <c r="A274" s="1">
        <f t="shared" si="3"/>
        <v>43901</v>
      </c>
      <c r="B274" s="20">
        <v>747.28260869565213</v>
      </c>
      <c r="C274" s="20">
        <f t="shared" si="4"/>
        <v>24728.26086956522</v>
      </c>
      <c r="D274" s="21" t="str">
        <f t="shared" si="0"/>
        <v>200311</v>
      </c>
      <c r="E274" s="22">
        <f t="shared" si="5"/>
        <v>4.4586120000000005</v>
      </c>
      <c r="F274" s="9">
        <v>0</v>
      </c>
      <c r="G274" s="14">
        <f t="shared" si="1"/>
        <v>98.160875131733036</v>
      </c>
      <c r="H274" s="24">
        <f t="shared" si="6"/>
        <v>-19172.49868266964</v>
      </c>
      <c r="I274" s="20">
        <f t="shared" si="2"/>
        <v>5555.7621868955794</v>
      </c>
      <c r="J274" s="17">
        <f t="shared" si="7"/>
        <v>0.55557621868955798</v>
      </c>
    </row>
    <row r="275" spans="1:10" ht="12" customHeight="1" x14ac:dyDescent="0.3">
      <c r="A275" s="1">
        <f t="shared" si="3"/>
        <v>43902</v>
      </c>
      <c r="B275" s="20">
        <v>815.21739130434787</v>
      </c>
      <c r="C275" s="20">
        <f t="shared" si="4"/>
        <v>24796.195652173916</v>
      </c>
      <c r="D275" s="21" t="str">
        <f t="shared" si="0"/>
        <v>200312</v>
      </c>
      <c r="E275" s="22">
        <f t="shared" si="5"/>
        <v>4.4586120000000005</v>
      </c>
      <c r="F275" s="9">
        <v>0</v>
      </c>
      <c r="G275" s="14">
        <f t="shared" si="1"/>
        <v>98.165964507924926</v>
      </c>
      <c r="H275" s="24">
        <f t="shared" si="6"/>
        <v>-19121.604920750739</v>
      </c>
      <c r="I275" s="20">
        <f t="shared" si="2"/>
        <v>5674.5907314231772</v>
      </c>
      <c r="J275" s="17">
        <f t="shared" si="7"/>
        <v>0.56745907314231769</v>
      </c>
    </row>
    <row r="276" spans="1:10" ht="12" customHeight="1" x14ac:dyDescent="0.3">
      <c r="A276" s="1">
        <f t="shared" si="3"/>
        <v>43903</v>
      </c>
      <c r="B276" s="20">
        <v>883.15217391304338</v>
      </c>
      <c r="C276" s="20">
        <f t="shared" si="4"/>
        <v>24864.130434782612</v>
      </c>
      <c r="D276" s="21" t="str">
        <f t="shared" si="0"/>
        <v>200313</v>
      </c>
      <c r="E276" s="22">
        <f t="shared" si="5"/>
        <v>4.4586120000000005</v>
      </c>
      <c r="F276" s="9">
        <v>0</v>
      </c>
      <c r="G276" s="14">
        <f t="shared" si="1"/>
        <v>98.171055358229879</v>
      </c>
      <c r="H276" s="24">
        <f t="shared" si="6"/>
        <v>-19070.696417701212</v>
      </c>
      <c r="I276" s="20">
        <f t="shared" si="2"/>
        <v>5793.4340170813994</v>
      </c>
      <c r="J276" s="17">
        <f t="shared" si="7"/>
        <v>0.57934340170814003</v>
      </c>
    </row>
    <row r="277" spans="1:10" ht="12" customHeight="1" x14ac:dyDescent="0.3">
      <c r="A277" s="1">
        <f t="shared" si="3"/>
        <v>43906</v>
      </c>
      <c r="B277" s="20">
        <v>1086.9565217391305</v>
      </c>
      <c r="C277" s="20">
        <f t="shared" si="4"/>
        <v>25067.9347826087</v>
      </c>
      <c r="D277" s="21" t="str">
        <f t="shared" si="0"/>
        <v>200316</v>
      </c>
      <c r="E277" s="22">
        <f t="shared" si="5"/>
        <v>4.4586120000000005</v>
      </c>
      <c r="F277" s="9">
        <v>0</v>
      </c>
      <c r="G277" s="14">
        <f t="shared" si="1"/>
        <v>98.186336755629341</v>
      </c>
      <c r="H277" s="24">
        <f t="shared" si="6"/>
        <v>-18917.882443706589</v>
      </c>
      <c r="I277" s="20">
        <f t="shared" si="2"/>
        <v>6150.0523389021109</v>
      </c>
      <c r="J277" s="17">
        <f t="shared" si="7"/>
        <v>0.61500523389021111</v>
      </c>
    </row>
    <row r="278" spans="1:10" ht="12" customHeight="1" x14ac:dyDescent="0.3">
      <c r="A278" s="1">
        <f t="shared" si="3"/>
        <v>43907</v>
      </c>
      <c r="B278" s="20">
        <v>1154.891304347826</v>
      </c>
      <c r="C278" s="20">
        <f t="shared" si="4"/>
        <v>25135.869565217396</v>
      </c>
      <c r="D278" s="21" t="str">
        <f t="shared" si="0"/>
        <v>200317</v>
      </c>
      <c r="E278" s="22">
        <f t="shared" si="5"/>
        <v>4.4586120000000005</v>
      </c>
      <c r="F278" s="9">
        <v>0</v>
      </c>
      <c r="G278" s="14">
        <f t="shared" si="1"/>
        <v>98.19143350419273</v>
      </c>
      <c r="H278" s="24">
        <f t="shared" si="6"/>
        <v>-18866.914958072699</v>
      </c>
      <c r="I278" s="20">
        <f t="shared" si="2"/>
        <v>6268.9546071446966</v>
      </c>
      <c r="J278" s="17">
        <f t="shared" si="7"/>
        <v>0.62689546071446967</v>
      </c>
    </row>
    <row r="279" spans="1:10" ht="12" customHeight="1" x14ac:dyDescent="0.3">
      <c r="A279" s="1">
        <f t="shared" si="3"/>
        <v>43908</v>
      </c>
      <c r="B279" s="20">
        <v>1222.8260869565217</v>
      </c>
      <c r="C279" s="20">
        <f t="shared" si="4"/>
        <v>25203.804347826092</v>
      </c>
      <c r="D279" s="21" t="str">
        <f t="shared" si="0"/>
        <v>200318</v>
      </c>
      <c r="E279" s="22">
        <f t="shared" si="5"/>
        <v>4.4586120000000005</v>
      </c>
      <c r="F279" s="9">
        <v>0</v>
      </c>
      <c r="G279" s="14">
        <f t="shared" si="1"/>
        <v>98.196531727772367</v>
      </c>
      <c r="H279" s="24">
        <f t="shared" si="6"/>
        <v>-18815.932722276331</v>
      </c>
      <c r="I279" s="20">
        <f t="shared" si="2"/>
        <v>6387.8716255497602</v>
      </c>
      <c r="J279" s="17">
        <f t="shared" si="7"/>
        <v>0.63878716255497603</v>
      </c>
    </row>
    <row r="280" spans="1:10" ht="12" customHeight="1" x14ac:dyDescent="0.3">
      <c r="A280" s="1">
        <f t="shared" si="3"/>
        <v>43909</v>
      </c>
      <c r="B280" s="20">
        <v>1290.7608695652173</v>
      </c>
      <c r="C280" s="20">
        <f t="shared" si="4"/>
        <v>25271.739130434788</v>
      </c>
      <c r="D280" s="21" t="str">
        <f t="shared" si="0"/>
        <v>200319</v>
      </c>
      <c r="E280" s="22">
        <f t="shared" si="5"/>
        <v>4.4586120000000005</v>
      </c>
      <c r="F280" s="9">
        <v>0</v>
      </c>
      <c r="G280" s="14">
        <f t="shared" si="1"/>
        <v>98.201631426548857</v>
      </c>
      <c r="H280" s="24">
        <f t="shared" si="6"/>
        <v>-18764.935734511426</v>
      </c>
      <c r="I280" s="20">
        <f t="shared" si="2"/>
        <v>6506.8033959233617</v>
      </c>
      <c r="J280" s="17">
        <f t="shared" si="7"/>
        <v>0.65068033959233618</v>
      </c>
    </row>
    <row r="281" spans="1:10" ht="12" customHeight="1" x14ac:dyDescent="0.3">
      <c r="A281" s="1">
        <f t="shared" si="3"/>
        <v>43910</v>
      </c>
      <c r="B281" s="20">
        <v>1358.695652173913</v>
      </c>
      <c r="C281" s="20">
        <f t="shared" si="4"/>
        <v>25339.673913043483</v>
      </c>
      <c r="D281" s="21" t="str">
        <f t="shared" si="0"/>
        <v>200320</v>
      </c>
      <c r="E281" s="22">
        <f t="shared" si="5"/>
        <v>4.4586120000000005</v>
      </c>
      <c r="F281" s="9">
        <v>0</v>
      </c>
      <c r="G281" s="14">
        <f t="shared" si="1"/>
        <v>98.206732600702964</v>
      </c>
      <c r="H281" s="24">
        <f t="shared" si="6"/>
        <v>-18713.923992970365</v>
      </c>
      <c r="I281" s="20">
        <f t="shared" si="2"/>
        <v>6625.7499200731181</v>
      </c>
      <c r="J281" s="17">
        <f t="shared" si="7"/>
        <v>0.66257499200731174</v>
      </c>
    </row>
    <row r="282" spans="1:10" ht="12" customHeight="1" x14ac:dyDescent="0.3">
      <c r="A282" s="1">
        <f t="shared" si="3"/>
        <v>43913</v>
      </c>
      <c r="B282" s="20">
        <v>1562.5</v>
      </c>
      <c r="C282" s="20">
        <f t="shared" si="4"/>
        <v>25543.478260869571</v>
      </c>
      <c r="D282" s="21" t="str">
        <f t="shared" si="0"/>
        <v>200323</v>
      </c>
      <c r="E282" s="22">
        <f t="shared" si="5"/>
        <v>4.4586120000000005</v>
      </c>
      <c r="F282" s="9">
        <v>0</v>
      </c>
      <c r="G282" s="14">
        <f t="shared" si="1"/>
        <v>98.22204497723834</v>
      </c>
      <c r="H282" s="24">
        <f t="shared" si="6"/>
        <v>-18560.800227616597</v>
      </c>
      <c r="I282" s="20">
        <f t="shared" si="2"/>
        <v>6982.6780332529743</v>
      </c>
      <c r="J282" s="17">
        <f t="shared" si="7"/>
        <v>0.69826780332529736</v>
      </c>
    </row>
    <row r="283" spans="1:10" ht="12" customHeight="1" x14ac:dyDescent="0.3">
      <c r="A283" s="1">
        <f t="shared" si="3"/>
        <v>43914</v>
      </c>
      <c r="B283" s="20">
        <v>1630.4347826086957</v>
      </c>
      <c r="C283" s="20">
        <f t="shared" si="4"/>
        <v>25611.413043478267</v>
      </c>
      <c r="D283" s="21" t="str">
        <f t="shared" si="0"/>
        <v>200324</v>
      </c>
      <c r="E283" s="22">
        <f t="shared" si="5"/>
        <v>4.4586120000000005</v>
      </c>
      <c r="F283" s="9">
        <v>0</v>
      </c>
      <c r="G283" s="14">
        <f t="shared" si="1"/>
        <v>98.227152054710402</v>
      </c>
      <c r="H283" s="24">
        <f t="shared" si="6"/>
        <v>-18509.729452895983</v>
      </c>
      <c r="I283" s="20">
        <f t="shared" si="2"/>
        <v>7101.6835905822845</v>
      </c>
      <c r="J283" s="17">
        <f t="shared" si="7"/>
        <v>0.7101683590582285</v>
      </c>
    </row>
    <row r="284" spans="1:10" ht="12" customHeight="1" x14ac:dyDescent="0.3">
      <c r="A284" s="1">
        <f t="shared" si="3"/>
        <v>43915</v>
      </c>
      <c r="B284" s="20">
        <v>1698.3695652173913</v>
      </c>
      <c r="C284" s="20">
        <f t="shared" si="4"/>
        <v>25679.347826086963</v>
      </c>
      <c r="D284" s="21" t="str">
        <f t="shared" si="0"/>
        <v>200325</v>
      </c>
      <c r="E284" s="22">
        <f t="shared" si="5"/>
        <v>4.4586120000000005</v>
      </c>
      <c r="F284" s="9">
        <v>0</v>
      </c>
      <c r="G284" s="14">
        <f t="shared" si="1"/>
        <v>98.232260608463932</v>
      </c>
      <c r="H284" s="24">
        <f t="shared" si="6"/>
        <v>-18458.643915360681</v>
      </c>
      <c r="I284" s="20">
        <f t="shared" si="2"/>
        <v>7220.7039107262826</v>
      </c>
      <c r="J284" s="17">
        <f t="shared" si="7"/>
        <v>0.72207039107262827</v>
      </c>
    </row>
    <row r="285" spans="1:10" ht="12" customHeight="1" x14ac:dyDescent="0.3">
      <c r="A285" s="1">
        <f t="shared" si="3"/>
        <v>43916</v>
      </c>
      <c r="B285" s="20">
        <v>1766.3043478260868</v>
      </c>
      <c r="C285" s="20">
        <f t="shared" si="4"/>
        <v>25747.282608695659</v>
      </c>
      <c r="D285" s="21" t="str">
        <f t="shared" si="0"/>
        <v>200326</v>
      </c>
      <c r="E285" s="22">
        <f t="shared" si="5"/>
        <v>4.4586120000000005</v>
      </c>
      <c r="F285" s="9">
        <v>0</v>
      </c>
      <c r="G285" s="14">
        <f t="shared" si="1"/>
        <v>98.237370638679749</v>
      </c>
      <c r="H285" s="24">
        <f t="shared" si="6"/>
        <v>-18407.543613202506</v>
      </c>
      <c r="I285" s="20">
        <f t="shared" si="2"/>
        <v>7339.7389954931532</v>
      </c>
      <c r="J285" s="17">
        <f t="shared" si="7"/>
        <v>0.73397389954931536</v>
      </c>
    </row>
    <row r="286" spans="1:10" ht="12" customHeight="1" x14ac:dyDescent="0.3">
      <c r="A286" s="1">
        <f t="shared" si="3"/>
        <v>43917</v>
      </c>
      <c r="B286" s="20">
        <v>1834.2391304347827</v>
      </c>
      <c r="C286" s="20">
        <f t="shared" si="4"/>
        <v>25815.217391304355</v>
      </c>
      <c r="D286" s="21" t="str">
        <f t="shared" si="0"/>
        <v>200327</v>
      </c>
      <c r="E286" s="22">
        <f t="shared" si="5"/>
        <v>4.4586120000000005</v>
      </c>
      <c r="F286" s="9">
        <v>0</v>
      </c>
      <c r="G286" s="14">
        <f t="shared" si="1"/>
        <v>98.242482145538787</v>
      </c>
      <c r="H286" s="24">
        <f t="shared" si="6"/>
        <v>-18356.428544612128</v>
      </c>
      <c r="I286" s="20">
        <f t="shared" si="2"/>
        <v>7458.7888466922268</v>
      </c>
      <c r="J286" s="17">
        <f t="shared" si="7"/>
        <v>0.7458788846692227</v>
      </c>
    </row>
    <row r="287" spans="1:10" ht="12" customHeight="1" x14ac:dyDescent="0.3">
      <c r="A287" s="1">
        <f t="shared" si="3"/>
        <v>43920</v>
      </c>
      <c r="B287" s="20">
        <v>2038.0434782608697</v>
      </c>
      <c r="C287" s="20">
        <f t="shared" si="4"/>
        <v>26019.021739130443</v>
      </c>
      <c r="D287" s="21" t="str">
        <f t="shared" si="0"/>
        <v>200330</v>
      </c>
      <c r="E287" s="22">
        <f t="shared" si="5"/>
        <v>4.4586120000000005</v>
      </c>
      <c r="F287" s="9">
        <v>0</v>
      </c>
      <c r="G287" s="14">
        <f t="shared" si="1"/>
        <v>98.257825527783908</v>
      </c>
      <c r="H287" s="24">
        <f t="shared" si="6"/>
        <v>-18202.994722160922</v>
      </c>
      <c r="I287" s="20">
        <f t="shared" si="2"/>
        <v>7816.0270169695214</v>
      </c>
      <c r="J287" s="17">
        <f t="shared" si="7"/>
        <v>0.78160270169695212</v>
      </c>
    </row>
    <row r="288" spans="1:10" ht="12" customHeight="1" x14ac:dyDescent="0.3">
      <c r="A288" s="1">
        <f t="shared" si="3"/>
        <v>43921</v>
      </c>
      <c r="B288" s="20">
        <v>2105.978260869565</v>
      </c>
      <c r="C288" s="20">
        <f t="shared" si="4"/>
        <v>26086.956521739139</v>
      </c>
      <c r="D288" s="21" t="str">
        <f t="shared" si="0"/>
        <v>200331</v>
      </c>
      <c r="E288" s="22">
        <f t="shared" si="5"/>
        <v>4.4586120000000005</v>
      </c>
      <c r="F288" s="9">
        <v>0</v>
      </c>
      <c r="G288" s="14">
        <f t="shared" si="1"/>
        <v>98.262942943024726</v>
      </c>
      <c r="H288" s="24">
        <f t="shared" si="6"/>
        <v>-18151.820569752745</v>
      </c>
      <c r="I288" s="20">
        <f t="shared" si="2"/>
        <v>7935.1359519863945</v>
      </c>
      <c r="J288" s="17">
        <f t="shared" si="7"/>
        <v>0.7935135951986394</v>
      </c>
    </row>
    <row r="289" spans="1:10" ht="12" customHeight="1" x14ac:dyDescent="0.3">
      <c r="A289" s="1">
        <f t="shared" si="3"/>
        <v>43922</v>
      </c>
      <c r="B289" s="20">
        <v>2173.913043478261</v>
      </c>
      <c r="C289" s="20">
        <f t="shared" si="4"/>
        <v>26154.891304347835</v>
      </c>
      <c r="D289" s="21" t="str">
        <f t="shared" si="0"/>
        <v>200401</v>
      </c>
      <c r="E289" s="22">
        <f t="shared" si="5"/>
        <v>4.4586120000000005</v>
      </c>
      <c r="F289" s="9">
        <v>0</v>
      </c>
      <c r="G289" s="14">
        <f t="shared" si="1"/>
        <v>98.268061835813342</v>
      </c>
      <c r="H289" s="24">
        <f t="shared" si="6"/>
        <v>-18100.631641866585</v>
      </c>
      <c r="I289" s="20">
        <f t="shared" si="2"/>
        <v>8054.2596624812504</v>
      </c>
      <c r="J289" s="17">
        <f t="shared" si="7"/>
        <v>0.80542596624812501</v>
      </c>
    </row>
    <row r="290" spans="1:10" ht="12" customHeight="1" x14ac:dyDescent="0.3">
      <c r="A290" s="1">
        <f t="shared" si="3"/>
        <v>43923</v>
      </c>
      <c r="B290" s="20">
        <v>2241.8478260869565</v>
      </c>
      <c r="C290" s="20">
        <f t="shared" si="4"/>
        <v>26222.826086956531</v>
      </c>
      <c r="D290" s="21" t="str">
        <f t="shared" si="0"/>
        <v>200402</v>
      </c>
      <c r="E290" s="22">
        <f t="shared" si="5"/>
        <v>4.4586120000000005</v>
      </c>
      <c r="F290" s="9">
        <v>0</v>
      </c>
      <c r="G290" s="14">
        <f t="shared" si="1"/>
        <v>98.27318220633083</v>
      </c>
      <c r="H290" s="24">
        <f t="shared" si="6"/>
        <v>-18049.4279366917</v>
      </c>
      <c r="I290" s="20">
        <f t="shared" si="2"/>
        <v>8173.3981502648312</v>
      </c>
      <c r="J290" s="17">
        <f t="shared" si="7"/>
        <v>0.81733981502648323</v>
      </c>
    </row>
    <row r="291" spans="1:10" ht="12" customHeight="1" x14ac:dyDescent="0.3">
      <c r="A291" s="1">
        <f t="shared" si="3"/>
        <v>43924</v>
      </c>
      <c r="B291" s="20">
        <v>2309.782608695652</v>
      </c>
      <c r="C291" s="20">
        <f t="shared" si="4"/>
        <v>26290.760869565227</v>
      </c>
      <c r="D291" s="21" t="str">
        <f t="shared" si="0"/>
        <v>200403</v>
      </c>
      <c r="E291" s="22">
        <f t="shared" si="5"/>
        <v>4.4586120000000005</v>
      </c>
      <c r="F291" s="9">
        <v>0</v>
      </c>
      <c r="G291" s="14">
        <f t="shared" si="1"/>
        <v>98.278304054758138</v>
      </c>
      <c r="H291" s="24">
        <f t="shared" si="6"/>
        <v>-17998.209452418621</v>
      </c>
      <c r="I291" s="20">
        <f t="shared" si="2"/>
        <v>8292.5514171466057</v>
      </c>
      <c r="J291" s="17">
        <f t="shared" si="7"/>
        <v>0.82925514171466064</v>
      </c>
    </row>
    <row r="292" spans="1:10" ht="12" customHeight="1" x14ac:dyDescent="0.3">
      <c r="A292" s="1">
        <f t="shared" si="3"/>
        <v>43927</v>
      </c>
      <c r="B292" s="20">
        <v>2513.5869565217395</v>
      </c>
      <c r="C292" s="20">
        <f t="shared" si="4"/>
        <v>26494.565217391315</v>
      </c>
      <c r="D292" s="21" t="str">
        <f t="shared" si="0"/>
        <v>200406</v>
      </c>
      <c r="E292" s="22">
        <f t="shared" si="5"/>
        <v>4.4586120000000005</v>
      </c>
      <c r="F292" s="9">
        <v>0</v>
      </c>
      <c r="G292" s="14">
        <f t="shared" si="1"/>
        <v>98.293678469309612</v>
      </c>
      <c r="H292" s="24">
        <f t="shared" si="6"/>
        <v>-17844.465306903887</v>
      </c>
      <c r="I292" s="20">
        <f t="shared" si="2"/>
        <v>8650.0999104874281</v>
      </c>
      <c r="J292" s="17">
        <f t="shared" si="7"/>
        <v>0.86500999104874277</v>
      </c>
    </row>
    <row r="293" spans="1:10" ht="12" customHeight="1" x14ac:dyDescent="0.3">
      <c r="A293" s="1">
        <f t="shared" si="3"/>
        <v>43928</v>
      </c>
      <c r="B293" s="20">
        <v>2581.5217391304345</v>
      </c>
      <c r="C293" s="20">
        <f t="shared" si="4"/>
        <v>26562.500000000011</v>
      </c>
      <c r="D293" s="21" t="str">
        <f t="shared" si="0"/>
        <v>200407</v>
      </c>
      <c r="E293" s="22">
        <f t="shared" si="5"/>
        <v>4.4586120000000005</v>
      </c>
      <c r="F293" s="9">
        <v>0</v>
      </c>
      <c r="G293" s="14">
        <f t="shared" si="1"/>
        <v>98.298806231186916</v>
      </c>
      <c r="H293" s="24">
        <f t="shared" si="6"/>
        <v>-17793.187688130842</v>
      </c>
      <c r="I293" s="20">
        <f t="shared" si="2"/>
        <v>8769.3123118691692</v>
      </c>
      <c r="J293" s="17">
        <f t="shared" si="7"/>
        <v>0.87693123118691685</v>
      </c>
    </row>
    <row r="294" spans="1:10" ht="12" customHeight="1" x14ac:dyDescent="0.3">
      <c r="A294" s="1">
        <f t="shared" si="3"/>
        <v>43929</v>
      </c>
      <c r="B294" s="20">
        <v>2649.45652173913</v>
      </c>
      <c r="C294" s="20">
        <f t="shared" si="4"/>
        <v>26630.434782608707</v>
      </c>
      <c r="D294" s="21" t="str">
        <f t="shared" si="0"/>
        <v>200408</v>
      </c>
      <c r="E294" s="22">
        <f t="shared" si="5"/>
        <v>4.4586120000000005</v>
      </c>
      <c r="F294" s="9">
        <v>0</v>
      </c>
      <c r="G294" s="14">
        <f t="shared" si="1"/>
        <v>98.303935471879484</v>
      </c>
      <c r="H294" s="24">
        <f t="shared" si="6"/>
        <v>-17741.895281205161</v>
      </c>
      <c r="I294" s="20">
        <f t="shared" si="2"/>
        <v>8888.5395014035457</v>
      </c>
      <c r="J294" s="17">
        <f t="shared" si="7"/>
        <v>0.88885395014035462</v>
      </c>
    </row>
    <row r="295" spans="1:10" ht="12" customHeight="1" x14ac:dyDescent="0.3">
      <c r="A295" s="1">
        <f t="shared" si="3"/>
        <v>43930</v>
      </c>
      <c r="B295" s="20">
        <v>2717.391304347826</v>
      </c>
      <c r="C295" s="20">
        <f t="shared" si="4"/>
        <v>26698.369565217403</v>
      </c>
      <c r="D295" s="21" t="str">
        <f t="shared" si="0"/>
        <v>200409</v>
      </c>
      <c r="E295" s="22">
        <f t="shared" si="5"/>
        <v>4.4586120000000005</v>
      </c>
      <c r="F295" s="9">
        <v>0</v>
      </c>
      <c r="G295" s="14">
        <f t="shared" si="1"/>
        <v>98.309066191568462</v>
      </c>
      <c r="H295" s="24">
        <f t="shared" si="6"/>
        <v>-17690.588084315379</v>
      </c>
      <c r="I295" s="20">
        <f t="shared" si="2"/>
        <v>9007.7814809020238</v>
      </c>
      <c r="J295" s="17">
        <f t="shared" si="7"/>
        <v>0.9007781480902024</v>
      </c>
    </row>
    <row r="296" spans="1:10" ht="12" customHeight="1" x14ac:dyDescent="0.3">
      <c r="A296" s="1">
        <f t="shared" si="3"/>
        <v>43931</v>
      </c>
      <c r="B296" s="20">
        <v>2785.3260869565215</v>
      </c>
      <c r="C296" s="20">
        <f t="shared" si="4"/>
        <v>26766.304347826099</v>
      </c>
      <c r="D296" s="21" t="str">
        <f t="shared" si="0"/>
        <v>200410</v>
      </c>
      <c r="E296" s="22">
        <f t="shared" si="5"/>
        <v>4.4586120000000005</v>
      </c>
      <c r="F296" s="9">
        <v>0</v>
      </c>
      <c r="G296" s="14">
        <f t="shared" si="1"/>
        <v>98.31419839043501</v>
      </c>
      <c r="H296" s="24">
        <f t="shared" si="6"/>
        <v>-17639.266095649902</v>
      </c>
      <c r="I296" s="20">
        <f t="shared" si="2"/>
        <v>9127.0382521761967</v>
      </c>
      <c r="J296" s="17">
        <f t="shared" si="7"/>
        <v>0.91270382521761972</v>
      </c>
    </row>
    <row r="297" spans="1:10" ht="12" customHeight="1" x14ac:dyDescent="0.3">
      <c r="A297" s="1">
        <f t="shared" si="3"/>
        <v>43934</v>
      </c>
      <c r="B297" s="20">
        <v>2989.1304347826085</v>
      </c>
      <c r="C297" s="20">
        <f t="shared" si="4"/>
        <v>26970.108695652187</v>
      </c>
      <c r="D297" s="21" t="str">
        <f t="shared" si="0"/>
        <v>200413</v>
      </c>
      <c r="E297" s="22">
        <f t="shared" si="5"/>
        <v>4.4586120000000005</v>
      </c>
      <c r="F297" s="9">
        <v>0</v>
      </c>
      <c r="G297" s="14">
        <f t="shared" si="1"/>
        <v>98.329603863912311</v>
      </c>
      <c r="H297" s="24">
        <f t="shared" si="6"/>
        <v>-17485.211360876889</v>
      </c>
      <c r="I297" s="20">
        <f t="shared" si="2"/>
        <v>9484.8973347752981</v>
      </c>
      <c r="J297" s="17">
        <f t="shared" si="7"/>
        <v>0.94848973347752985</v>
      </c>
    </row>
    <row r="298" spans="1:10" ht="12" customHeight="1" x14ac:dyDescent="0.3">
      <c r="A298" s="1">
        <f t="shared" si="3"/>
        <v>43935</v>
      </c>
      <c r="B298" s="20">
        <v>3057.0652173913045</v>
      </c>
      <c r="C298" s="20">
        <f t="shared" si="4"/>
        <v>27038.043478260883</v>
      </c>
      <c r="D298" s="21" t="str">
        <f t="shared" si="0"/>
        <v>200414</v>
      </c>
      <c r="E298" s="22">
        <f t="shared" si="5"/>
        <v>4.4586120000000005</v>
      </c>
      <c r="F298" s="9">
        <v>0</v>
      </c>
      <c r="G298" s="14">
        <f t="shared" si="1"/>
        <v>98.334741981301391</v>
      </c>
      <c r="H298" s="24">
        <f t="shared" si="6"/>
        <v>-17433.830186986084</v>
      </c>
      <c r="I298" s="20">
        <f t="shared" si="2"/>
        <v>9604.2132912747984</v>
      </c>
      <c r="J298" s="17">
        <f t="shared" si="7"/>
        <v>0.96042132912747979</v>
      </c>
    </row>
    <row r="299" spans="1:10" ht="12" customHeight="1" x14ac:dyDescent="0.3">
      <c r="A299" s="1">
        <f t="shared" si="3"/>
        <v>43936</v>
      </c>
      <c r="B299" s="20">
        <v>3125</v>
      </c>
      <c r="C299" s="20">
        <f t="shared" si="4"/>
        <v>27105.978260869579</v>
      </c>
      <c r="D299" s="21" t="str">
        <f t="shared" si="0"/>
        <v>200415</v>
      </c>
      <c r="E299" s="22">
        <f t="shared" si="5"/>
        <v>4.4586120000000005</v>
      </c>
      <c r="F299" s="9">
        <v>0</v>
      </c>
      <c r="G299" s="14">
        <f t="shared" si="1"/>
        <v>98.339881578774296</v>
      </c>
      <c r="H299" s="24">
        <f t="shared" si="6"/>
        <v>-17382.434212257038</v>
      </c>
      <c r="I299" s="20">
        <f t="shared" si="2"/>
        <v>9723.5440486125408</v>
      </c>
      <c r="J299" s="17">
        <f t="shared" si="7"/>
        <v>0.97235440486125402</v>
      </c>
    </row>
    <row r="300" spans="1:10" ht="12" customHeight="1" x14ac:dyDescent="0.3">
      <c r="A300" s="1">
        <f t="shared" si="3"/>
        <v>43937</v>
      </c>
      <c r="B300" s="20">
        <v>3192.9347826086964</v>
      </c>
      <c r="C300" s="20">
        <f t="shared" si="4"/>
        <v>27173.913043478275</v>
      </c>
      <c r="D300" s="21" t="str">
        <f t="shared" si="0"/>
        <v>200416</v>
      </c>
      <c r="E300" s="22">
        <f t="shared" si="5"/>
        <v>4.4586120000000005</v>
      </c>
      <c r="F300" s="9">
        <v>0</v>
      </c>
      <c r="G300" s="14">
        <f t="shared" si="1"/>
        <v>98.345022656512285</v>
      </c>
      <c r="H300" s="24">
        <f t="shared" si="6"/>
        <v>-17331.023434877152</v>
      </c>
      <c r="I300" s="20">
        <f t="shared" si="2"/>
        <v>9842.8896086011227</v>
      </c>
      <c r="J300" s="17">
        <f t="shared" si="7"/>
        <v>0.98428896086011231</v>
      </c>
    </row>
    <row r="301" spans="1:10" ht="12" customHeight="1" x14ac:dyDescent="0.3">
      <c r="A301" s="1">
        <f t="shared" si="3"/>
        <v>43938</v>
      </c>
      <c r="B301" s="20">
        <v>3260.8695652173915</v>
      </c>
      <c r="C301" s="20">
        <f t="shared" si="4"/>
        <v>27241.847826086971</v>
      </c>
      <c r="D301" s="21" t="str">
        <f t="shared" si="0"/>
        <v>200417</v>
      </c>
      <c r="E301" s="22">
        <f t="shared" si="5"/>
        <v>4.4586120000000005</v>
      </c>
      <c r="F301" s="9">
        <v>0</v>
      </c>
      <c r="G301" s="14">
        <f t="shared" si="1"/>
        <v>98.350165214696702</v>
      </c>
      <c r="H301" s="24">
        <f t="shared" si="6"/>
        <v>-17279.597853032981</v>
      </c>
      <c r="I301" s="20">
        <f t="shared" si="2"/>
        <v>9962.2499730539894</v>
      </c>
      <c r="J301" s="17">
        <f t="shared" si="7"/>
        <v>0.99622499730539893</v>
      </c>
    </row>
    <row r="302" spans="1:10" ht="12" customHeight="1" x14ac:dyDescent="0.3">
      <c r="A302" s="1">
        <f t="shared" si="3"/>
        <v>43941</v>
      </c>
      <c r="B302" s="20">
        <v>3464.6739130434785</v>
      </c>
      <c r="C302" s="20">
        <f t="shared" si="4"/>
        <v>27445.652173913059</v>
      </c>
      <c r="D302" s="21" t="str">
        <f t="shared" si="0"/>
        <v>200420</v>
      </c>
      <c r="E302" s="22">
        <f t="shared" si="5"/>
        <v>4.4586120000000005</v>
      </c>
      <c r="F302" s="9">
        <v>0</v>
      </c>
      <c r="G302" s="14">
        <f t="shared" si="1"/>
        <v>98.365601773742071</v>
      </c>
      <c r="H302" s="24">
        <f t="shared" si="6"/>
        <v>-17125.232262579288</v>
      </c>
      <c r="I302" s="20">
        <f t="shared" si="2"/>
        <v>10320.419911333771</v>
      </c>
      <c r="J302" s="17">
        <f t="shared" si="7"/>
        <v>1.0320419911333771</v>
      </c>
    </row>
    <row r="303" spans="1:10" ht="12" customHeight="1" x14ac:dyDescent="0.3">
      <c r="A303" s="1">
        <f t="shared" si="3"/>
        <v>43942</v>
      </c>
      <c r="B303" s="20">
        <v>3532.6086956521735</v>
      </c>
      <c r="C303" s="20">
        <f t="shared" si="4"/>
        <v>27513.586956521754</v>
      </c>
      <c r="D303" s="21" t="str">
        <f t="shared" si="0"/>
        <v>200421</v>
      </c>
      <c r="E303" s="22">
        <f t="shared" si="5"/>
        <v>4.4586120000000005</v>
      </c>
      <c r="F303" s="9">
        <v>0</v>
      </c>
      <c r="G303" s="14">
        <f t="shared" si="1"/>
        <v>98.37075025552592</v>
      </c>
      <c r="H303" s="24">
        <f t="shared" si="6"/>
        <v>-17073.747444740802</v>
      </c>
      <c r="I303" s="20">
        <f t="shared" si="2"/>
        <v>10439.839511780952</v>
      </c>
      <c r="J303" s="17">
        <f t="shared" si="7"/>
        <v>1.0439839511780953</v>
      </c>
    </row>
    <row r="304" spans="1:10" ht="12" customHeight="1" x14ac:dyDescent="0.3">
      <c r="A304" s="1">
        <f t="shared" si="3"/>
        <v>43943</v>
      </c>
      <c r="B304" s="20">
        <v>3600.54347826087</v>
      </c>
      <c r="C304" s="20">
        <f t="shared" si="4"/>
        <v>27581.52173913045</v>
      </c>
      <c r="D304" s="21" t="str">
        <f t="shared" si="0"/>
        <v>200422</v>
      </c>
      <c r="E304" s="22">
        <f t="shared" si="5"/>
        <v>4.4586120000000005</v>
      </c>
      <c r="F304" s="9">
        <v>0</v>
      </c>
      <c r="G304" s="14">
        <f t="shared" si="1"/>
        <v>98.375900218663134</v>
      </c>
      <c r="H304" s="24">
        <f t="shared" si="6"/>
        <v>-17022.247813368667</v>
      </c>
      <c r="I304" s="20">
        <f t="shared" si="2"/>
        <v>10559.273925761783</v>
      </c>
      <c r="J304" s="17">
        <f t="shared" si="7"/>
        <v>1.0559273925761783</v>
      </c>
    </row>
    <row r="305" spans="1:10" ht="12" customHeight="1" x14ac:dyDescent="0.3">
      <c r="A305" s="1">
        <f t="shared" si="3"/>
        <v>43944</v>
      </c>
      <c r="B305" s="20">
        <v>3668.4782608695655</v>
      </c>
      <c r="C305" s="20">
        <f t="shared" si="4"/>
        <v>27649.456521739146</v>
      </c>
      <c r="D305" s="21" t="str">
        <f t="shared" si="0"/>
        <v>200423</v>
      </c>
      <c r="E305" s="22">
        <f t="shared" si="5"/>
        <v>4.4586120000000005</v>
      </c>
      <c r="F305" s="9">
        <v>0</v>
      </c>
      <c r="G305" s="14">
        <f t="shared" si="1"/>
        <v>98.381051663335242</v>
      </c>
      <c r="H305" s="24">
        <f t="shared" si="6"/>
        <v>-16970.733366647579</v>
      </c>
      <c r="I305" s="20">
        <f t="shared" si="2"/>
        <v>10678.723155091568</v>
      </c>
      <c r="J305" s="17">
        <f t="shared" si="7"/>
        <v>1.0678723155091567</v>
      </c>
    </row>
    <row r="306" spans="1:10" ht="12" customHeight="1" x14ac:dyDescent="0.3">
      <c r="A306" s="1">
        <f t="shared" si="3"/>
        <v>43945</v>
      </c>
      <c r="B306" s="20">
        <v>3736.4130434782605</v>
      </c>
      <c r="C306" s="20">
        <f t="shared" si="4"/>
        <v>27717.391304347842</v>
      </c>
      <c r="D306" s="21" t="str">
        <f t="shared" si="0"/>
        <v>200424</v>
      </c>
      <c r="E306" s="22">
        <f t="shared" si="5"/>
        <v>4.4586120000000005</v>
      </c>
      <c r="F306" s="9">
        <v>0</v>
      </c>
      <c r="G306" s="14">
        <f t="shared" si="1"/>
        <v>98.386204589723675</v>
      </c>
      <c r="H306" s="24">
        <f t="shared" si="6"/>
        <v>-16919.204102763244</v>
      </c>
      <c r="I306" s="20">
        <f t="shared" si="2"/>
        <v>10798.187201584598</v>
      </c>
      <c r="J306" s="17">
        <f t="shared" si="7"/>
        <v>1.0798187201584599</v>
      </c>
    </row>
    <row r="307" spans="1:10" ht="12" customHeight="1" x14ac:dyDescent="0.3">
      <c r="A307" s="1">
        <f t="shared" si="3"/>
        <v>43948</v>
      </c>
      <c r="B307" s="20">
        <v>3940.217391304348</v>
      </c>
      <c r="C307" s="20">
        <f t="shared" si="4"/>
        <v>27921.19565217393</v>
      </c>
      <c r="D307" s="21" t="str">
        <f t="shared" si="0"/>
        <v>200427</v>
      </c>
      <c r="E307" s="22">
        <f t="shared" si="5"/>
        <v>4.4586120000000005</v>
      </c>
      <c r="F307" s="9">
        <v>0</v>
      </c>
      <c r="G307" s="14">
        <f t="shared" si="1"/>
        <v>98.401672261002304</v>
      </c>
      <c r="H307" s="24">
        <f t="shared" si="6"/>
        <v>-16764.527389976964</v>
      </c>
      <c r="I307" s="20">
        <f t="shared" si="2"/>
        <v>11156.668262196967</v>
      </c>
      <c r="J307" s="17">
        <f t="shared" si="7"/>
        <v>1.1156668262196967</v>
      </c>
    </row>
    <row r="308" spans="1:10" ht="12" customHeight="1" x14ac:dyDescent="0.3">
      <c r="A308" s="1">
        <f t="shared" si="3"/>
        <v>43949</v>
      </c>
      <c r="B308" s="20">
        <v>4008.152173913043</v>
      </c>
      <c r="C308" s="20">
        <f t="shared" si="4"/>
        <v>27989.130434782626</v>
      </c>
      <c r="D308" s="21" t="str">
        <f t="shared" si="0"/>
        <v>200428</v>
      </c>
      <c r="E308" s="22">
        <f t="shared" si="5"/>
        <v>4.4586120000000005</v>
      </c>
      <c r="F308" s="9">
        <v>0</v>
      </c>
      <c r="G308" s="14">
        <f t="shared" si="1"/>
        <v>98.40683111607143</v>
      </c>
      <c r="H308" s="24">
        <f t="shared" si="6"/>
        <v>-16712.938839285696</v>
      </c>
      <c r="I308" s="20">
        <f t="shared" si="2"/>
        <v>11276.19159549693</v>
      </c>
      <c r="J308" s="17">
        <f t="shared" si="7"/>
        <v>1.1276191595496929</v>
      </c>
    </row>
    <row r="309" spans="1:10" ht="12" customHeight="1" x14ac:dyDescent="0.3">
      <c r="A309" s="1">
        <f t="shared" si="3"/>
        <v>43950</v>
      </c>
      <c r="B309" s="20">
        <v>4076.0869565217395</v>
      </c>
      <c r="C309" s="20">
        <f t="shared" si="4"/>
        <v>28057.065217391322</v>
      </c>
      <c r="D309" s="21" t="str">
        <f t="shared" si="0"/>
        <v>200429</v>
      </c>
      <c r="E309" s="22">
        <f t="shared" si="5"/>
        <v>4.4586120000000005</v>
      </c>
      <c r="F309" s="9">
        <v>0</v>
      </c>
      <c r="G309" s="14">
        <f t="shared" si="1"/>
        <v>98.411991453764642</v>
      </c>
      <c r="H309" s="24">
        <f t="shared" si="6"/>
        <v>-16661.335462353578</v>
      </c>
      <c r="I309" s="20">
        <f t="shared" si="2"/>
        <v>11395.729755037744</v>
      </c>
      <c r="J309" s="17">
        <f t="shared" si="7"/>
        <v>1.1395729755037745</v>
      </c>
    </row>
    <row r="310" spans="1:10" ht="12" customHeight="1" x14ac:dyDescent="0.3">
      <c r="A310" s="1">
        <f t="shared" si="3"/>
        <v>43951</v>
      </c>
      <c r="B310" s="20">
        <v>4144.021739130435</v>
      </c>
      <c r="C310" s="20">
        <f t="shared" si="4"/>
        <v>28125.000000000018</v>
      </c>
      <c r="D310" s="21" t="str">
        <f t="shared" si="0"/>
        <v>200430</v>
      </c>
      <c r="E310" s="22">
        <f t="shared" si="5"/>
        <v>4.4586120000000005</v>
      </c>
      <c r="F310" s="9">
        <v>0</v>
      </c>
      <c r="G310" s="14">
        <f t="shared" si="1"/>
        <v>98.417153274263597</v>
      </c>
      <c r="H310" s="24">
        <f t="shared" si="6"/>
        <v>-16609.717257364024</v>
      </c>
      <c r="I310" s="20">
        <f t="shared" si="2"/>
        <v>11515.282742635995</v>
      </c>
      <c r="J310" s="17">
        <f t="shared" si="7"/>
        <v>1.1515282742635995</v>
      </c>
    </row>
    <row r="311" spans="1:10" ht="12" customHeight="1" x14ac:dyDescent="0.3">
      <c r="A311" s="1">
        <f t="shared" si="3"/>
        <v>43952</v>
      </c>
      <c r="B311" s="20">
        <v>4211.95652173913</v>
      </c>
      <c r="C311" s="20">
        <f t="shared" si="4"/>
        <v>28192.934782608714</v>
      </c>
      <c r="D311" s="21" t="str">
        <f t="shared" si="0"/>
        <v>200501</v>
      </c>
      <c r="E311" s="22">
        <f t="shared" si="5"/>
        <v>4.4586120000000005</v>
      </c>
      <c r="F311" s="9">
        <v>0</v>
      </c>
      <c r="G311" s="14">
        <f t="shared" si="1"/>
        <v>98.42231657774991</v>
      </c>
      <c r="H311" s="24">
        <f t="shared" si="6"/>
        <v>-16558.084222500896</v>
      </c>
      <c r="I311" s="20">
        <f t="shared" si="2"/>
        <v>11634.850560107818</v>
      </c>
      <c r="J311" s="17">
        <f t="shared" si="7"/>
        <v>1.1634850560107819</v>
      </c>
    </row>
    <row r="312" spans="1:10" ht="12" customHeight="1" x14ac:dyDescent="0.3">
      <c r="A312" s="1">
        <f t="shared" si="3"/>
        <v>43955</v>
      </c>
      <c r="B312" s="20">
        <v>4415.760869565217</v>
      </c>
      <c r="C312" s="20">
        <f t="shared" si="4"/>
        <v>28396.739130434802</v>
      </c>
      <c r="D312" s="21" t="str">
        <f t="shared" si="0"/>
        <v>200504</v>
      </c>
      <c r="E312" s="22">
        <f t="shared" si="5"/>
        <v>4.4586120000000005</v>
      </c>
      <c r="F312" s="9">
        <v>0</v>
      </c>
      <c r="G312" s="14">
        <f t="shared" si="1"/>
        <v>98.437815387949769</v>
      </c>
      <c r="H312" s="24">
        <f t="shared" si="6"/>
        <v>-16403.096120502312</v>
      </c>
      <c r="I312" s="20">
        <f t="shared" si="2"/>
        <v>11993.64300993249</v>
      </c>
      <c r="J312" s="17">
        <f t="shared" si="7"/>
        <v>1.1993643009932491</v>
      </c>
    </row>
    <row r="313" spans="1:10" ht="12" customHeight="1" x14ac:dyDescent="0.3">
      <c r="A313" s="1">
        <f t="shared" si="3"/>
        <v>43956</v>
      </c>
      <c r="B313" s="20">
        <v>4483.695652173913</v>
      </c>
      <c r="C313" s="20">
        <f t="shared" si="4"/>
        <v>28464.673913043498</v>
      </c>
      <c r="D313" s="21" t="str">
        <f t="shared" si="0"/>
        <v>200505</v>
      </c>
      <c r="E313" s="22">
        <f t="shared" si="5"/>
        <v>4.4586120000000005</v>
      </c>
      <c r="F313" s="9">
        <v>0</v>
      </c>
      <c r="G313" s="14">
        <f t="shared" si="1"/>
        <v>98.442984625202371</v>
      </c>
      <c r="H313" s="24">
        <f t="shared" si="6"/>
        <v>-16351.403747976292</v>
      </c>
      <c r="I313" s="20">
        <f t="shared" si="2"/>
        <v>12113.270165067206</v>
      </c>
      <c r="J313" s="17">
        <f t="shared" si="7"/>
        <v>1.2113270165067205</v>
      </c>
    </row>
    <row r="314" spans="1:10" ht="12" customHeight="1" x14ac:dyDescent="0.3">
      <c r="A314" s="1">
        <f t="shared" si="3"/>
        <v>43957</v>
      </c>
      <c r="B314" s="20">
        <v>4551.630434782609</v>
      </c>
      <c r="C314" s="20">
        <f t="shared" si="4"/>
        <v>28532.608695652194</v>
      </c>
      <c r="D314" s="21" t="str">
        <f t="shared" si="0"/>
        <v>200506</v>
      </c>
      <c r="E314" s="22">
        <f t="shared" si="5"/>
        <v>4.4586120000000005</v>
      </c>
      <c r="F314" s="9">
        <v>0</v>
      </c>
      <c r="G314" s="14">
        <f t="shared" si="1"/>
        <v>98.448155346350859</v>
      </c>
      <c r="H314" s="24">
        <f t="shared" si="6"/>
        <v>-16299.69653649141</v>
      </c>
      <c r="I314" s="20">
        <f t="shared" si="2"/>
        <v>12232.912159160784</v>
      </c>
      <c r="J314" s="17">
        <f t="shared" si="7"/>
        <v>1.2232912159160785</v>
      </c>
    </row>
    <row r="315" spans="1:10" ht="12" customHeight="1" x14ac:dyDescent="0.3">
      <c r="A315" s="1">
        <f t="shared" si="3"/>
        <v>43958</v>
      </c>
      <c r="B315" s="20">
        <v>4619.565217391304</v>
      </c>
      <c r="C315" s="20">
        <f t="shared" si="4"/>
        <v>28600.54347826089</v>
      </c>
      <c r="D315" s="21" t="str">
        <f t="shared" si="0"/>
        <v>200507</v>
      </c>
      <c r="E315" s="22">
        <f t="shared" si="5"/>
        <v>4.4586120000000005</v>
      </c>
      <c r="F315" s="9">
        <v>0</v>
      </c>
      <c r="G315" s="14">
        <f t="shared" si="1"/>
        <v>98.453327551577019</v>
      </c>
      <c r="H315" s="24">
        <f t="shared" si="6"/>
        <v>-16247.974484229815</v>
      </c>
      <c r="I315" s="20">
        <f t="shared" si="2"/>
        <v>12352.568994031075</v>
      </c>
      <c r="J315" s="17">
        <f t="shared" si="7"/>
        <v>1.2352568994031077</v>
      </c>
    </row>
    <row r="316" spans="1:10" ht="12" customHeight="1" x14ac:dyDescent="0.3">
      <c r="A316" s="1">
        <f t="shared" si="3"/>
        <v>43959</v>
      </c>
      <c r="B316" s="20">
        <v>4687.5</v>
      </c>
      <c r="C316" s="20">
        <f t="shared" si="4"/>
        <v>28668.478260869586</v>
      </c>
      <c r="D316" s="21" t="str">
        <f t="shared" si="0"/>
        <v>200508</v>
      </c>
      <c r="E316" s="22">
        <f t="shared" si="5"/>
        <v>4.4586120000000005</v>
      </c>
      <c r="F316" s="9">
        <v>0</v>
      </c>
      <c r="G316" s="14">
        <f t="shared" si="1"/>
        <v>98.458501241062649</v>
      </c>
      <c r="H316" s="24">
        <f t="shared" si="6"/>
        <v>-16196.23758937351</v>
      </c>
      <c r="I316" s="20">
        <f t="shared" si="2"/>
        <v>12472.240671496076</v>
      </c>
      <c r="J316" s="17">
        <f t="shared" si="7"/>
        <v>1.2472240671496078</v>
      </c>
    </row>
    <row r="317" spans="1:10" ht="12" customHeight="1" x14ac:dyDescent="0.3">
      <c r="A317" s="1">
        <f t="shared" si="3"/>
        <v>43962</v>
      </c>
      <c r="B317" s="20">
        <v>4891.304347826087</v>
      </c>
      <c r="C317" s="20">
        <f t="shared" si="4"/>
        <v>28872.282608695674</v>
      </c>
      <c r="D317" s="21" t="str">
        <f t="shared" si="0"/>
        <v>200511</v>
      </c>
      <c r="E317" s="22">
        <f t="shared" si="5"/>
        <v>4.4586120000000005</v>
      </c>
      <c r="F317" s="9">
        <v>0</v>
      </c>
      <c r="G317" s="14">
        <f t="shared" si="1"/>
        <v>98.474031216894616</v>
      </c>
      <c r="H317" s="24">
        <f t="shared" si="6"/>
        <v>-16040.937831053838</v>
      </c>
      <c r="I317" s="20">
        <f t="shared" si="2"/>
        <v>12831.344777641836</v>
      </c>
      <c r="J317" s="17">
        <f t="shared" si="7"/>
        <v>1.2831344777641835</v>
      </c>
    </row>
    <row r="318" spans="1:10" ht="12" customHeight="1" x14ac:dyDescent="0.3">
      <c r="A318" s="1">
        <f t="shared" si="3"/>
        <v>43963</v>
      </c>
      <c r="B318" s="20">
        <v>4959.239130434783</v>
      </c>
      <c r="C318" s="20">
        <f t="shared" si="4"/>
        <v>28940.21739130437</v>
      </c>
      <c r="D318" s="21" t="str">
        <f t="shared" si="0"/>
        <v>200512</v>
      </c>
      <c r="E318" s="22">
        <f t="shared" si="5"/>
        <v>4.4586120000000005</v>
      </c>
      <c r="F318" s="9">
        <v>0</v>
      </c>
      <c r="G318" s="14">
        <f t="shared" si="1"/>
        <v>98.479210845236494</v>
      </c>
      <c r="H318" s="24">
        <f t="shared" si="6"/>
        <v>-15989.141547635058</v>
      </c>
      <c r="I318" s="20">
        <f t="shared" si="2"/>
        <v>12951.075843669312</v>
      </c>
      <c r="J318" s="17">
        <f t="shared" si="7"/>
        <v>1.2951075843669313</v>
      </c>
    </row>
    <row r="319" spans="1:10" ht="12" customHeight="1" x14ac:dyDescent="0.3">
      <c r="A319" s="1">
        <f t="shared" si="3"/>
        <v>43964</v>
      </c>
      <c r="B319" s="20">
        <v>5027.1739130434789</v>
      </c>
      <c r="C319" s="20">
        <f t="shared" si="4"/>
        <v>29008.152173913066</v>
      </c>
      <c r="D319" s="21" t="str">
        <f t="shared" si="0"/>
        <v>200513</v>
      </c>
      <c r="E319" s="22">
        <f t="shared" si="5"/>
        <v>4.4586120000000005</v>
      </c>
      <c r="F319" s="9">
        <v>0</v>
      </c>
      <c r="G319" s="14">
        <f t="shared" si="1"/>
        <v>98.484391958747182</v>
      </c>
      <c r="H319" s="24">
        <f t="shared" si="6"/>
        <v>-15937.330412528185</v>
      </c>
      <c r="I319" s="20">
        <f t="shared" si="2"/>
        <v>13070.821761384881</v>
      </c>
      <c r="J319" s="17">
        <f t="shared" si="7"/>
        <v>1.3070821761384881</v>
      </c>
    </row>
    <row r="320" spans="1:10" ht="12" customHeight="1" x14ac:dyDescent="0.3">
      <c r="A320" s="1">
        <f t="shared" si="3"/>
        <v>43965</v>
      </c>
      <c r="B320" s="20">
        <v>5095.108695652174</v>
      </c>
      <c r="C320" s="20">
        <f t="shared" si="4"/>
        <v>29076.086956521762</v>
      </c>
      <c r="D320" s="21" t="str">
        <f t="shared" si="0"/>
        <v>200514</v>
      </c>
      <c r="E320" s="22">
        <f t="shared" si="5"/>
        <v>4.4586120000000005</v>
      </c>
      <c r="F320" s="9">
        <v>0</v>
      </c>
      <c r="G320" s="14">
        <f t="shared" si="1"/>
        <v>98.489574557608549</v>
      </c>
      <c r="H320" s="24">
        <f t="shared" si="6"/>
        <v>-15885.504423914512</v>
      </c>
      <c r="I320" s="20">
        <f t="shared" si="2"/>
        <v>13190.58253260725</v>
      </c>
      <c r="J320" s="17">
        <f t="shared" si="7"/>
        <v>1.3190582532607249</v>
      </c>
    </row>
    <row r="321" spans="1:10" ht="12" customHeight="1" x14ac:dyDescent="0.3">
      <c r="A321" s="1">
        <f t="shared" si="3"/>
        <v>43966</v>
      </c>
      <c r="B321" s="20">
        <v>5163.0434782608691</v>
      </c>
      <c r="C321" s="20">
        <f t="shared" si="4"/>
        <v>29144.021739130458</v>
      </c>
      <c r="D321" s="21" t="str">
        <f t="shared" si="0"/>
        <v>200515</v>
      </c>
      <c r="E321" s="22">
        <f t="shared" si="5"/>
        <v>4.4586120000000005</v>
      </c>
      <c r="F321" s="9">
        <v>0</v>
      </c>
      <c r="G321" s="14">
        <f t="shared" si="1"/>
        <v>98.49475864200258</v>
      </c>
      <c r="H321" s="24">
        <f t="shared" si="6"/>
        <v>-15833.6635799742</v>
      </c>
      <c r="I321" s="20">
        <f t="shared" si="2"/>
        <v>13310.358159156258</v>
      </c>
      <c r="J321" s="17">
        <f t="shared" si="7"/>
        <v>1.3310358159156257</v>
      </c>
    </row>
    <row r="322" spans="1:10" ht="12" customHeight="1" x14ac:dyDescent="0.3">
      <c r="A322" s="1">
        <f t="shared" si="3"/>
        <v>43969</v>
      </c>
      <c r="B322" s="20">
        <v>5366.847826086957</v>
      </c>
      <c r="C322" s="20">
        <f t="shared" si="4"/>
        <v>29347.826086956546</v>
      </c>
      <c r="D322" s="21" t="str">
        <f t="shared" si="0"/>
        <v>200518</v>
      </c>
      <c r="E322" s="22">
        <f t="shared" si="5"/>
        <v>4.4586120000000005</v>
      </c>
      <c r="F322" s="9">
        <v>0</v>
      </c>
      <c r="G322" s="14">
        <f t="shared" si="1"/>
        <v>98.510319810200457</v>
      </c>
      <c r="H322" s="24">
        <f t="shared" si="6"/>
        <v>-15678.05189799543</v>
      </c>
      <c r="I322" s="20">
        <f t="shared" si="2"/>
        <v>13669.774188961115</v>
      </c>
      <c r="J322" s="17">
        <f t="shared" si="7"/>
        <v>1.3669774188961115</v>
      </c>
    </row>
    <row r="323" spans="1:10" ht="12" customHeight="1" x14ac:dyDescent="0.3">
      <c r="A323" s="1">
        <f t="shared" si="3"/>
        <v>43970</v>
      </c>
      <c r="B323" s="20">
        <v>5434.782608695652</v>
      </c>
      <c r="C323" s="20">
        <f t="shared" si="4"/>
        <v>29415.760869565242</v>
      </c>
      <c r="D323" s="21" t="str">
        <f t="shared" si="0"/>
        <v>200519</v>
      </c>
      <c r="E323" s="22">
        <f t="shared" si="5"/>
        <v>4.4586120000000005</v>
      </c>
      <c r="F323" s="9">
        <v>0</v>
      </c>
      <c r="G323" s="14">
        <f t="shared" si="1"/>
        <v>98.515509838545086</v>
      </c>
      <c r="H323" s="24">
        <f t="shared" si="6"/>
        <v>-15626.151614549144</v>
      </c>
      <c r="I323" s="20">
        <f t="shared" si="2"/>
        <v>13789.609255016097</v>
      </c>
      <c r="J323" s="17">
        <f t="shared" si="7"/>
        <v>1.3789609255016098</v>
      </c>
    </row>
    <row r="324" spans="1:10" ht="12" customHeight="1" x14ac:dyDescent="0.3">
      <c r="A324" s="1">
        <f t="shared" si="3"/>
        <v>43971</v>
      </c>
      <c r="B324" s="20">
        <v>5502.717391304348</v>
      </c>
      <c r="C324" s="20">
        <f t="shared" si="4"/>
        <v>29483.695652173938</v>
      </c>
      <c r="D324" s="21" t="str">
        <f t="shared" si="0"/>
        <v>200520</v>
      </c>
      <c r="E324" s="22">
        <f t="shared" si="5"/>
        <v>4.4586120000000005</v>
      </c>
      <c r="F324" s="9">
        <v>0</v>
      </c>
      <c r="G324" s="14">
        <f t="shared" si="1"/>
        <v>98.52070135333247</v>
      </c>
      <c r="H324" s="24">
        <f t="shared" si="6"/>
        <v>-15574.236466675304</v>
      </c>
      <c r="I324" s="20">
        <f t="shared" si="2"/>
        <v>13909.459185498634</v>
      </c>
      <c r="J324" s="17">
        <f t="shared" si="7"/>
        <v>1.3909459185498634</v>
      </c>
    </row>
    <row r="325" spans="1:10" ht="12" customHeight="1" x14ac:dyDescent="0.3">
      <c r="A325" s="1">
        <f t="shared" si="3"/>
        <v>43972</v>
      </c>
      <c r="B325" s="20">
        <v>5570.652173913043</v>
      </c>
      <c r="C325" s="20">
        <f t="shared" si="4"/>
        <v>29551.630434782634</v>
      </c>
      <c r="D325" s="21" t="str">
        <f t="shared" si="0"/>
        <v>200521</v>
      </c>
      <c r="E325" s="22">
        <f t="shared" si="5"/>
        <v>4.4586120000000005</v>
      </c>
      <c r="F325" s="9">
        <v>0</v>
      </c>
      <c r="G325" s="14">
        <f t="shared" si="1"/>
        <v>98.525894354744679</v>
      </c>
      <c r="H325" s="24">
        <f t="shared" si="6"/>
        <v>-15522.30645255321</v>
      </c>
      <c r="I325" s="20">
        <f t="shared" si="2"/>
        <v>14029.323982229424</v>
      </c>
      <c r="J325" s="17">
        <f t="shared" si="7"/>
        <v>1.4029323982229425</v>
      </c>
    </row>
    <row r="326" spans="1:10" ht="12" customHeight="1" x14ac:dyDescent="0.3">
      <c r="A326" s="1">
        <f t="shared" si="3"/>
        <v>43973</v>
      </c>
      <c r="B326" s="20">
        <v>5638.5869565217399</v>
      </c>
      <c r="C326" s="20">
        <f t="shared" si="4"/>
        <v>29619.565217391329</v>
      </c>
      <c r="D326" s="21" t="str">
        <f t="shared" si="0"/>
        <v>200522</v>
      </c>
      <c r="E326" s="22">
        <f t="shared" si="5"/>
        <v>4.4586120000000005</v>
      </c>
      <c r="F326" s="9">
        <v>0</v>
      </c>
      <c r="G326" s="14">
        <f t="shared" si="1"/>
        <v>98.531088842963854</v>
      </c>
      <c r="H326" s="24">
        <f t="shared" si="6"/>
        <v>-15470.361570361461</v>
      </c>
      <c r="I326" s="20">
        <f t="shared" si="2"/>
        <v>14149.203647029868</v>
      </c>
      <c r="J326" s="17">
        <f t="shared" si="7"/>
        <v>1.4149203647029869</v>
      </c>
    </row>
    <row r="327" spans="1:10" ht="12" customHeight="1" x14ac:dyDescent="0.3">
      <c r="A327" s="1">
        <f t="shared" si="3"/>
        <v>43976</v>
      </c>
      <c r="B327" s="20">
        <v>5842.391304347826</v>
      </c>
      <c r="C327" s="20">
        <f t="shared" si="4"/>
        <v>29823.369565217414</v>
      </c>
      <c r="D327" s="21" t="str">
        <f t="shared" si="0"/>
        <v>200525</v>
      </c>
      <c r="E327" s="22">
        <f t="shared" si="5"/>
        <v>4.4586120000000005</v>
      </c>
      <c r="F327" s="9">
        <v>0</v>
      </c>
      <c r="G327" s="14">
        <f t="shared" si="1"/>
        <v>98.54668123028442</v>
      </c>
      <c r="H327" s="24">
        <f t="shared" si="6"/>
        <v>-15314.437697155798</v>
      </c>
      <c r="I327" s="20">
        <f t="shared" si="2"/>
        <v>14508.931868061616</v>
      </c>
      <c r="J327" s="17">
        <f t="shared" si="7"/>
        <v>1.4508931868061616</v>
      </c>
    </row>
    <row r="328" spans="1:10" ht="12" customHeight="1" x14ac:dyDescent="0.3">
      <c r="A328" s="1">
        <f t="shared" si="3"/>
        <v>43977</v>
      </c>
      <c r="B328" s="20">
        <v>5910.3260869565211</v>
      </c>
      <c r="C328" s="20">
        <f t="shared" si="4"/>
        <v>29891.30434782611</v>
      </c>
      <c r="D328" s="21" t="str">
        <f t="shared" si="0"/>
        <v>200526</v>
      </c>
      <c r="E328" s="22">
        <f t="shared" si="5"/>
        <v>4.4586120000000005</v>
      </c>
      <c r="F328" s="9">
        <v>0</v>
      </c>
      <c r="G328" s="14">
        <f t="shared" si="1"/>
        <v>98.551881667552891</v>
      </c>
      <c r="H328" s="24">
        <f t="shared" si="6"/>
        <v>-15262.433324471091</v>
      </c>
      <c r="I328" s="20">
        <f t="shared" si="2"/>
        <v>14628.871023355019</v>
      </c>
      <c r="J328" s="17">
        <f t="shared" si="7"/>
        <v>1.4628871023355019</v>
      </c>
    </row>
    <row r="329" spans="1:10" ht="12" customHeight="1" x14ac:dyDescent="0.3">
      <c r="A329" s="1">
        <f t="shared" si="3"/>
        <v>43978</v>
      </c>
      <c r="B329" s="20">
        <v>5978.260869565217</v>
      </c>
      <c r="C329" s="20">
        <f t="shared" si="4"/>
        <v>29959.239130434806</v>
      </c>
      <c r="D329" s="21" t="str">
        <f t="shared" si="0"/>
        <v>200527</v>
      </c>
      <c r="E329" s="22">
        <f t="shared" si="5"/>
        <v>4.4586120000000005</v>
      </c>
      <c r="F329" s="9">
        <v>0</v>
      </c>
      <c r="G329" s="14">
        <f t="shared" si="1"/>
        <v>98.557083592539172</v>
      </c>
      <c r="H329" s="24">
        <f t="shared" si="6"/>
        <v>-15210.414074608281</v>
      </c>
      <c r="I329" s="20">
        <f t="shared" si="2"/>
        <v>14748.825055826524</v>
      </c>
      <c r="J329" s="17">
        <f t="shared" si="7"/>
        <v>1.4748825055826524</v>
      </c>
    </row>
    <row r="330" spans="1:10" ht="12" customHeight="1" x14ac:dyDescent="0.3">
      <c r="A330" s="1">
        <f t="shared" si="3"/>
        <v>43979</v>
      </c>
      <c r="B330" s="20">
        <v>6046.1956521739121</v>
      </c>
      <c r="C330" s="20">
        <f t="shared" si="4"/>
        <v>30027.173913043502</v>
      </c>
      <c r="D330" s="21" t="str">
        <f t="shared" si="0"/>
        <v>200528</v>
      </c>
      <c r="E330" s="22">
        <f t="shared" si="5"/>
        <v>4.4586120000000005</v>
      </c>
      <c r="F330" s="9">
        <v>0</v>
      </c>
      <c r="G330" s="14">
        <f t="shared" si="1"/>
        <v>98.562287005425532</v>
      </c>
      <c r="H330" s="24">
        <f t="shared" si="6"/>
        <v>-15158.379945744684</v>
      </c>
      <c r="I330" s="20">
        <f t="shared" si="2"/>
        <v>14868.793967298818</v>
      </c>
      <c r="J330" s="17">
        <f t="shared" si="7"/>
        <v>1.4868793967298817</v>
      </c>
    </row>
    <row r="331" spans="1:10" ht="12" customHeight="1" x14ac:dyDescent="0.3">
      <c r="A331" s="1">
        <f t="shared" si="3"/>
        <v>43980</v>
      </c>
      <c r="B331" s="20">
        <v>6114.130434782609</v>
      </c>
      <c r="C331" s="20">
        <f t="shared" si="4"/>
        <v>30095.108695652198</v>
      </c>
      <c r="D331" s="21" t="str">
        <f t="shared" si="0"/>
        <v>200529</v>
      </c>
      <c r="E331" s="22">
        <f t="shared" si="5"/>
        <v>4.4586120000000005</v>
      </c>
      <c r="F331" s="9">
        <v>0</v>
      </c>
      <c r="G331" s="14">
        <f t="shared" si="1"/>
        <v>98.567491906394196</v>
      </c>
      <c r="H331" s="24">
        <f t="shared" si="6"/>
        <v>-15106.330936058042</v>
      </c>
      <c r="I331" s="20">
        <f t="shared" si="2"/>
        <v>14988.777759594155</v>
      </c>
      <c r="J331" s="17">
        <f t="shared" si="7"/>
        <v>1.4988777759594154</v>
      </c>
    </row>
    <row r="332" spans="1:10" ht="12" customHeight="1" x14ac:dyDescent="0.3">
      <c r="A332" s="1">
        <f t="shared" si="3"/>
        <v>43983</v>
      </c>
      <c r="B332" s="20">
        <v>6317.934782608696</v>
      </c>
      <c r="C332" s="20">
        <f t="shared" si="4"/>
        <v>30298.913043478286</v>
      </c>
      <c r="D332" s="21" t="str">
        <f t="shared" si="0"/>
        <v>200601</v>
      </c>
      <c r="E332" s="22">
        <f t="shared" si="5"/>
        <v>4.4586120000000005</v>
      </c>
      <c r="F332" s="9">
        <v>0</v>
      </c>
      <c r="G332" s="14">
        <f t="shared" si="1"/>
        <v>98.58311553961714</v>
      </c>
      <c r="H332" s="24">
        <f t="shared" si="6"/>
        <v>-14950.094603828604</v>
      </c>
      <c r="I332" s="20">
        <f t="shared" si="2"/>
        <v>15348.818439649682</v>
      </c>
      <c r="J332" s="17">
        <f t="shared" si="7"/>
        <v>1.5348818439649681</v>
      </c>
    </row>
    <row r="333" spans="1:10" ht="12" customHeight="1" x14ac:dyDescent="0.3">
      <c r="A333" s="1">
        <f t="shared" si="3"/>
        <v>43984</v>
      </c>
      <c r="B333" s="20">
        <v>6385.8695652173928</v>
      </c>
      <c r="C333" s="20">
        <f t="shared" si="4"/>
        <v>30366.847826086982</v>
      </c>
      <c r="D333" s="21" t="str">
        <f t="shared" si="0"/>
        <v>200602</v>
      </c>
      <c r="E333" s="22">
        <f t="shared" si="5"/>
        <v>4.4586120000000005</v>
      </c>
      <c r="F333" s="9">
        <v>0</v>
      </c>
      <c r="G333" s="14">
        <f t="shared" si="1"/>
        <v>98.588326394738218</v>
      </c>
      <c r="H333" s="24">
        <f t="shared" si="6"/>
        <v>-14897.986052617824</v>
      </c>
      <c r="I333" s="20">
        <f t="shared" si="2"/>
        <v>15468.861773469158</v>
      </c>
      <c r="J333" s="17">
        <f t="shared" si="7"/>
        <v>1.5468861773469158</v>
      </c>
    </row>
    <row r="334" spans="1:10" ht="12" customHeight="1" x14ac:dyDescent="0.3">
      <c r="A334" s="1">
        <f t="shared" si="3"/>
        <v>43985</v>
      </c>
      <c r="B334" s="20">
        <v>6453.8043478260861</v>
      </c>
      <c r="C334" s="20">
        <f t="shared" si="4"/>
        <v>30434.782608695674</v>
      </c>
      <c r="D334" s="21" t="str">
        <f t="shared" si="0"/>
        <v>200603</v>
      </c>
      <c r="E334" s="22">
        <f t="shared" si="5"/>
        <v>4.4586120000000005</v>
      </c>
      <c r="F334" s="9">
        <v>0</v>
      </c>
      <c r="G334" s="14">
        <f t="shared" si="1"/>
        <v>98.59353873885324</v>
      </c>
      <c r="H334" s="24">
        <f t="shared" si="6"/>
        <v>-14845.862611467595</v>
      </c>
      <c r="I334" s="20">
        <f t="shared" si="2"/>
        <v>15588.919997228079</v>
      </c>
      <c r="J334" s="17">
        <f t="shared" si="7"/>
        <v>1.5588919997228079</v>
      </c>
    </row>
    <row r="335" spans="1:10" ht="12" customHeight="1" x14ac:dyDescent="0.3">
      <c r="A335" s="1">
        <f t="shared" si="3"/>
        <v>43986</v>
      </c>
      <c r="B335" s="20">
        <v>6521.739130434783</v>
      </c>
      <c r="C335" s="20">
        <f t="shared" si="4"/>
        <v>30502.71739130437</v>
      </c>
      <c r="D335" s="21" t="str">
        <f t="shared" si="0"/>
        <v>200604</v>
      </c>
      <c r="E335" s="22">
        <f t="shared" si="5"/>
        <v>4.4586120000000005</v>
      </c>
      <c r="F335" s="9">
        <v>0</v>
      </c>
      <c r="G335" s="14">
        <f t="shared" si="1"/>
        <v>98.598752572144662</v>
      </c>
      <c r="H335" s="24">
        <f t="shared" si="6"/>
        <v>-14793.724278553384</v>
      </c>
      <c r="I335" s="20">
        <f t="shared" si="2"/>
        <v>15708.993112750986</v>
      </c>
      <c r="J335" s="17">
        <f t="shared" si="7"/>
        <v>1.5708993112750986</v>
      </c>
    </row>
    <row r="336" spans="1:10" ht="12" customHeight="1" x14ac:dyDescent="0.3">
      <c r="A336" s="1">
        <f t="shared" si="3"/>
        <v>43987</v>
      </c>
      <c r="B336" s="20">
        <v>6589.6739130434789</v>
      </c>
      <c r="C336" s="20">
        <f t="shared" si="4"/>
        <v>30570.652173913066</v>
      </c>
      <c r="D336" s="21" t="str">
        <f t="shared" si="0"/>
        <v>200605</v>
      </c>
      <c r="E336" s="22">
        <f t="shared" si="5"/>
        <v>4.4586120000000005</v>
      </c>
      <c r="F336" s="9">
        <v>0</v>
      </c>
      <c r="G336" s="14">
        <f t="shared" si="1"/>
        <v>98.603967894794877</v>
      </c>
      <c r="H336" s="24">
        <f t="shared" si="6"/>
        <v>-14741.571052051229</v>
      </c>
      <c r="I336" s="20">
        <f t="shared" si="2"/>
        <v>15829.081121861836</v>
      </c>
      <c r="J336" s="17">
        <f t="shared" si="7"/>
        <v>1.5829081121861834</v>
      </c>
    </row>
    <row r="337" spans="1:10" ht="12" customHeight="1" x14ac:dyDescent="0.3">
      <c r="A337" s="1">
        <f t="shared" si="3"/>
        <v>43990</v>
      </c>
      <c r="B337" s="20">
        <v>6793.478260869565</v>
      </c>
      <c r="C337" s="20">
        <f t="shared" si="4"/>
        <v>30774.45652173915</v>
      </c>
      <c r="D337" s="21" t="str">
        <f t="shared" si="0"/>
        <v>200608</v>
      </c>
      <c r="E337" s="22">
        <f t="shared" si="5"/>
        <v>4.4586120000000005</v>
      </c>
      <c r="F337" s="9">
        <v>0</v>
      </c>
      <c r="G337" s="14">
        <f t="shared" si="1"/>
        <v>98.619622800722865</v>
      </c>
      <c r="H337" s="24">
        <f t="shared" si="6"/>
        <v>-14585.021992771346</v>
      </c>
      <c r="I337" s="20">
        <f t="shared" si="2"/>
        <v>16189.434528967804</v>
      </c>
      <c r="J337" s="17">
        <f t="shared" si="7"/>
        <v>1.6189434528967803</v>
      </c>
    </row>
    <row r="338" spans="1:10" ht="12" customHeight="1" x14ac:dyDescent="0.3">
      <c r="A338" s="1">
        <f t="shared" si="3"/>
        <v>43991</v>
      </c>
      <c r="B338" s="20">
        <v>6861.4130434782601</v>
      </c>
      <c r="C338" s="20">
        <f t="shared" si="4"/>
        <v>30842.391304347846</v>
      </c>
      <c r="D338" s="21" t="str">
        <f t="shared" si="0"/>
        <v>200609</v>
      </c>
      <c r="E338" s="22">
        <f t="shared" si="5"/>
        <v>4.4586120000000005</v>
      </c>
      <c r="F338" s="9">
        <v>0</v>
      </c>
      <c r="G338" s="14">
        <f t="shared" si="1"/>
        <v>98.624844082632947</v>
      </c>
      <c r="H338" s="24">
        <f t="shared" si="6"/>
        <v>-14532.80917367053</v>
      </c>
      <c r="I338" s="20">
        <f t="shared" si="2"/>
        <v>16309.582130677316</v>
      </c>
      <c r="J338" s="17">
        <f t="shared" si="7"/>
        <v>1.6309582130677316</v>
      </c>
    </row>
    <row r="339" spans="1:10" ht="12" customHeight="1" x14ac:dyDescent="0.3">
      <c r="A339" s="1">
        <f t="shared" si="3"/>
        <v>43992</v>
      </c>
      <c r="B339" s="20">
        <v>6929.347826086957</v>
      </c>
      <c r="C339" s="20">
        <f t="shared" si="4"/>
        <v>30910.326086956542</v>
      </c>
      <c r="D339" s="21" t="str">
        <f t="shared" si="0"/>
        <v>200610</v>
      </c>
      <c r="E339" s="22">
        <f t="shared" si="5"/>
        <v>4.4586120000000005</v>
      </c>
      <c r="F339" s="9">
        <v>0</v>
      </c>
      <c r="G339" s="14">
        <f t="shared" si="1"/>
        <v>98.630066854814217</v>
      </c>
      <c r="H339" s="24">
        <f t="shared" si="6"/>
        <v>-14480.58145185783</v>
      </c>
      <c r="I339" s="20">
        <f t="shared" si="2"/>
        <v>16429.744635098712</v>
      </c>
      <c r="J339" s="17">
        <f t="shared" si="7"/>
        <v>1.6429744635098713</v>
      </c>
    </row>
    <row r="340" spans="1:10" ht="12" customHeight="1" x14ac:dyDescent="0.3">
      <c r="A340" s="1">
        <f t="shared" si="3"/>
        <v>43993</v>
      </c>
      <c r="B340" s="20">
        <v>6997.2826086956529</v>
      </c>
      <c r="C340" s="20">
        <f t="shared" si="4"/>
        <v>30978.260869565238</v>
      </c>
      <c r="D340" s="21" t="str">
        <f t="shared" si="0"/>
        <v>200611</v>
      </c>
      <c r="E340" s="22">
        <f t="shared" si="5"/>
        <v>4.4586120000000005</v>
      </c>
      <c r="F340" s="9">
        <v>0</v>
      </c>
      <c r="G340" s="14">
        <f t="shared" si="1"/>
        <v>98.635291117449327</v>
      </c>
      <c r="H340" s="24">
        <f t="shared" si="6"/>
        <v>-14428.338825506729</v>
      </c>
      <c r="I340" s="20">
        <f t="shared" si="2"/>
        <v>16549.922044058509</v>
      </c>
      <c r="J340" s="17">
        <f t="shared" si="7"/>
        <v>1.6549922044058509</v>
      </c>
    </row>
    <row r="341" spans="1:10" ht="12" customHeight="1" x14ac:dyDescent="0.3">
      <c r="A341" s="1">
        <f t="shared" si="3"/>
        <v>43994</v>
      </c>
      <c r="B341" s="20">
        <v>7065.2173913043471</v>
      </c>
      <c r="C341" s="20">
        <f t="shared" si="4"/>
        <v>31046.195652173934</v>
      </c>
      <c r="D341" s="21" t="str">
        <f t="shared" si="0"/>
        <v>200612</v>
      </c>
      <c r="E341" s="22">
        <f t="shared" si="5"/>
        <v>4.4586120000000005</v>
      </c>
      <c r="F341" s="9">
        <v>0</v>
      </c>
      <c r="G341" s="14">
        <f t="shared" si="1"/>
        <v>98.640516870720745</v>
      </c>
      <c r="H341" s="24">
        <f t="shared" si="6"/>
        <v>-14376.081292792549</v>
      </c>
      <c r="I341" s="20">
        <f t="shared" si="2"/>
        <v>16670.114359381383</v>
      </c>
      <c r="J341" s="17">
        <f t="shared" si="7"/>
        <v>1.6670114359381383</v>
      </c>
    </row>
    <row r="342" spans="1:10" ht="12" customHeight="1" x14ac:dyDescent="0.3">
      <c r="A342" s="1">
        <f t="shared" si="3"/>
        <v>43997</v>
      </c>
      <c r="B342" s="20">
        <v>7269.021739130435</v>
      </c>
      <c r="C342" s="20">
        <f t="shared" si="4"/>
        <v>31250.000000000022</v>
      </c>
      <c r="D342" s="21" t="str">
        <f t="shared" si="0"/>
        <v>200615</v>
      </c>
      <c r="E342" s="22">
        <f t="shared" si="5"/>
        <v>4.4586120000000005</v>
      </c>
      <c r="F342" s="9">
        <v>0</v>
      </c>
      <c r="G342" s="14">
        <f t="shared" si="1"/>
        <v>98.656203076179438</v>
      </c>
      <c r="H342" s="24">
        <f t="shared" si="6"/>
        <v>-14219.219238205624</v>
      </c>
      <c r="I342" s="20">
        <f t="shared" si="2"/>
        <v>17030.780761794398</v>
      </c>
      <c r="J342" s="17">
        <f t="shared" si="7"/>
        <v>1.7030780761794397</v>
      </c>
    </row>
    <row r="343" spans="1:10" ht="12" customHeight="1" x14ac:dyDescent="0.3">
      <c r="A343" s="1">
        <f t="shared" si="3"/>
        <v>43998</v>
      </c>
      <c r="B343" s="20">
        <v>7336.9565217391309</v>
      </c>
      <c r="C343" s="20">
        <f t="shared" si="4"/>
        <v>31317.934782608718</v>
      </c>
      <c r="D343" s="21" t="str">
        <f t="shared" si="0"/>
        <v>200616</v>
      </c>
      <c r="E343" s="22">
        <f t="shared" si="5"/>
        <v>4.4586120000000005</v>
      </c>
      <c r="F343" s="9">
        <v>0</v>
      </c>
      <c r="G343" s="14">
        <f t="shared" si="1"/>
        <v>98.661434793822565</v>
      </c>
      <c r="H343" s="24">
        <f t="shared" si="6"/>
        <v>-14166.902061774352</v>
      </c>
      <c r="I343" s="20">
        <f t="shared" si="2"/>
        <v>17151.032720834366</v>
      </c>
      <c r="J343" s="17">
        <f t="shared" si="7"/>
        <v>1.7151032720834365</v>
      </c>
    </row>
    <row r="344" spans="1:10" ht="12" customHeight="1" x14ac:dyDescent="0.3">
      <c r="A344" s="1">
        <f t="shared" si="3"/>
        <v>43999</v>
      </c>
      <c r="B344" s="20">
        <v>7404.891304347826</v>
      </c>
      <c r="C344" s="20">
        <f t="shared" si="4"/>
        <v>31385.869565217414</v>
      </c>
      <c r="D344" s="21" t="str">
        <f t="shared" si="0"/>
        <v>200617</v>
      </c>
      <c r="E344" s="22">
        <f t="shared" si="5"/>
        <v>4.4586120000000005</v>
      </c>
      <c r="F344" s="9">
        <v>0</v>
      </c>
      <c r="G344" s="14">
        <f t="shared" si="1"/>
        <v>98.666668003015317</v>
      </c>
      <c r="H344" s="24">
        <f t="shared" si="6"/>
        <v>-14114.569969846827</v>
      </c>
      <c r="I344" s="20">
        <f t="shared" si="2"/>
        <v>17271.299595370587</v>
      </c>
      <c r="J344" s="17">
        <f t="shared" si="7"/>
        <v>1.7271299595370586</v>
      </c>
    </row>
    <row r="345" spans="1:10" ht="12" customHeight="1" x14ac:dyDescent="0.3">
      <c r="A345" s="1">
        <f t="shared" si="3"/>
        <v>44000</v>
      </c>
      <c r="B345" s="20">
        <v>7472.8260869565211</v>
      </c>
      <c r="C345" s="20">
        <f t="shared" si="4"/>
        <v>31453.80434782611</v>
      </c>
      <c r="D345" s="21" t="str">
        <f t="shared" si="0"/>
        <v>200618</v>
      </c>
      <c r="E345" s="22">
        <f t="shared" si="5"/>
        <v>4.4586120000000005</v>
      </c>
      <c r="F345" s="9">
        <v>0</v>
      </c>
      <c r="G345" s="14">
        <f t="shared" si="1"/>
        <v>98.671902703940333</v>
      </c>
      <c r="H345" s="24">
        <f t="shared" si="6"/>
        <v>-14062.222960596671</v>
      </c>
      <c r="I345" s="20">
        <f t="shared" si="2"/>
        <v>17391.581387229438</v>
      </c>
      <c r="J345" s="17">
        <f t="shared" si="7"/>
        <v>1.739158138722944</v>
      </c>
    </row>
    <row r="346" spans="1:10" ht="12" customHeight="1" x14ac:dyDescent="0.3">
      <c r="A346" s="1">
        <f t="shared" si="3"/>
        <v>44001</v>
      </c>
      <c r="B346" s="20">
        <v>7540.760869565217</v>
      </c>
      <c r="C346" s="20">
        <f t="shared" si="4"/>
        <v>31521.739130434806</v>
      </c>
      <c r="D346" s="21" t="str">
        <f t="shared" si="0"/>
        <v>200619</v>
      </c>
      <c r="E346" s="22">
        <f t="shared" si="5"/>
        <v>4.4586120000000005</v>
      </c>
      <c r="F346" s="9">
        <v>0</v>
      </c>
      <c r="G346" s="14">
        <f t="shared" si="1"/>
        <v>98.677138896780392</v>
      </c>
      <c r="H346" s="24">
        <f t="shared" si="6"/>
        <v>-14009.861032196086</v>
      </c>
      <c r="I346" s="20">
        <f t="shared" si="2"/>
        <v>17511.878098238718</v>
      </c>
      <c r="J346" s="17">
        <f t="shared" si="7"/>
        <v>1.7511878098238718</v>
      </c>
    </row>
    <row r="347" spans="1:10" ht="12" customHeight="1" x14ac:dyDescent="0.3">
      <c r="A347" s="1">
        <f t="shared" si="3"/>
        <v>44004</v>
      </c>
      <c r="B347" s="20">
        <v>7744.565217391304</v>
      </c>
      <c r="C347" s="20">
        <f t="shared" si="4"/>
        <v>31725.543478260894</v>
      </c>
      <c r="D347" s="21" t="str">
        <f t="shared" si="0"/>
        <v>200622</v>
      </c>
      <c r="E347" s="22">
        <f t="shared" si="5"/>
        <v>4.4586120000000005</v>
      </c>
      <c r="F347" s="9">
        <v>0</v>
      </c>
      <c r="G347" s="14">
        <f t="shared" si="1"/>
        <v>98.692856428618413</v>
      </c>
      <c r="H347" s="24">
        <f t="shared" si="6"/>
        <v>-13852.685713815874</v>
      </c>
      <c r="I347" s="20">
        <f t="shared" si="2"/>
        <v>17872.85776444502</v>
      </c>
      <c r="J347" s="17">
        <f t="shared" si="7"/>
        <v>1.787285776444502</v>
      </c>
    </row>
    <row r="348" spans="1:10" ht="12" customHeight="1" x14ac:dyDescent="0.3">
      <c r="A348" s="1">
        <f t="shared" si="3"/>
        <v>44005</v>
      </c>
      <c r="B348" s="20">
        <v>7812.5</v>
      </c>
      <c r="C348" s="20">
        <f t="shared" si="4"/>
        <v>31793.47826086959</v>
      </c>
      <c r="D348" s="21" t="str">
        <f t="shared" si="0"/>
        <v>200623</v>
      </c>
      <c r="E348" s="22">
        <f t="shared" si="5"/>
        <v>4.4586120000000005</v>
      </c>
      <c r="F348" s="9">
        <v>0</v>
      </c>
      <c r="G348" s="14">
        <f t="shared" si="1"/>
        <v>98.698098590946401</v>
      </c>
      <c r="H348" s="24">
        <f t="shared" si="6"/>
        <v>-13800.264090535989</v>
      </c>
      <c r="I348" s="20">
        <f t="shared" si="2"/>
        <v>17993.214170333602</v>
      </c>
      <c r="J348" s="17">
        <f t="shared" si="7"/>
        <v>1.7993214170333602</v>
      </c>
    </row>
    <row r="349" spans="1:10" ht="12" customHeight="1" x14ac:dyDescent="0.3">
      <c r="A349" s="1">
        <f t="shared" si="3"/>
        <v>44006</v>
      </c>
      <c r="B349" s="20">
        <v>7880.434782608696</v>
      </c>
      <c r="C349" s="20">
        <f t="shared" si="4"/>
        <v>31861.413043478286</v>
      </c>
      <c r="D349" s="21" t="str">
        <f t="shared" si="0"/>
        <v>200624</v>
      </c>
      <c r="E349" s="22">
        <f t="shared" si="5"/>
        <v>4.4586120000000005</v>
      </c>
      <c r="F349" s="9">
        <v>0</v>
      </c>
      <c r="G349" s="14">
        <f t="shared" si="1"/>
        <v>98.703342246103418</v>
      </c>
      <c r="H349" s="24">
        <f t="shared" si="6"/>
        <v>-13747.827538965821</v>
      </c>
      <c r="I349" s="20">
        <f t="shared" si="2"/>
        <v>18113.585504512463</v>
      </c>
      <c r="J349" s="17">
        <f t="shared" si="7"/>
        <v>1.8113585504512462</v>
      </c>
    </row>
    <row r="350" spans="1:10" ht="12" customHeight="1" x14ac:dyDescent="0.3">
      <c r="A350" s="1">
        <f t="shared" si="3"/>
        <v>44007</v>
      </c>
      <c r="B350" s="20">
        <v>7948.3695652173928</v>
      </c>
      <c r="C350" s="20">
        <f t="shared" si="4"/>
        <v>31929.347826086982</v>
      </c>
      <c r="D350" s="21" t="str">
        <f t="shared" si="0"/>
        <v>200625</v>
      </c>
      <c r="E350" s="22">
        <f t="shared" si="5"/>
        <v>4.4586120000000005</v>
      </c>
      <c r="F350" s="9">
        <v>0</v>
      </c>
      <c r="G350" s="14">
        <f t="shared" si="1"/>
        <v>98.708587394272314</v>
      </c>
      <c r="H350" s="24">
        <f t="shared" si="6"/>
        <v>-13695.376057276861</v>
      </c>
      <c r="I350" s="20">
        <f t="shared" si="2"/>
        <v>18233.971768810123</v>
      </c>
      <c r="J350" s="17">
        <f t="shared" si="7"/>
        <v>1.8233971768810122</v>
      </c>
    </row>
    <row r="351" spans="1:10" ht="12" customHeight="1" x14ac:dyDescent="0.3">
      <c r="A351" s="1">
        <f t="shared" si="3"/>
        <v>44008</v>
      </c>
      <c r="B351" s="20">
        <v>8016.3043478260861</v>
      </c>
      <c r="C351" s="20">
        <f t="shared" si="4"/>
        <v>31997.282608695674</v>
      </c>
      <c r="D351" s="21" t="str">
        <f t="shared" si="0"/>
        <v>200626</v>
      </c>
      <c r="E351" s="22">
        <f t="shared" si="5"/>
        <v>4.4586120000000005</v>
      </c>
      <c r="F351" s="9">
        <v>0</v>
      </c>
      <c r="G351" s="14">
        <f t="shared" si="1"/>
        <v>98.713834035636012</v>
      </c>
      <c r="H351" s="24">
        <f t="shared" si="6"/>
        <v>-13642.909643639883</v>
      </c>
      <c r="I351" s="20">
        <f t="shared" si="2"/>
        <v>18354.372965055791</v>
      </c>
      <c r="J351" s="17">
        <f t="shared" si="7"/>
        <v>1.835437296505579</v>
      </c>
    </row>
    <row r="352" spans="1:10" ht="12" customHeight="1" x14ac:dyDescent="0.3">
      <c r="A352" s="1">
        <f t="shared" si="3"/>
        <v>44011</v>
      </c>
      <c r="B352" s="20">
        <v>8220.108695652174</v>
      </c>
      <c r="C352" s="20">
        <f t="shared" si="4"/>
        <v>32201.086956521762</v>
      </c>
      <c r="D352" s="21" t="str">
        <f t="shared" si="0"/>
        <v>200629</v>
      </c>
      <c r="E352" s="22">
        <f t="shared" si="5"/>
        <v>4.4586120000000005</v>
      </c>
      <c r="F352" s="9">
        <v>0</v>
      </c>
      <c r="G352" s="14">
        <f t="shared" si="1"/>
        <v>98.729582920725107</v>
      </c>
      <c r="H352" s="24">
        <f t="shared" si="6"/>
        <v>-13485.420792748926</v>
      </c>
      <c r="I352" s="20">
        <f t="shared" si="2"/>
        <v>18715.666163772836</v>
      </c>
      <c r="J352" s="17">
        <f t="shared" si="7"/>
        <v>1.8715666163772835</v>
      </c>
    </row>
    <row r="353" spans="1:10" ht="12" customHeight="1" x14ac:dyDescent="0.3">
      <c r="A353" s="1">
        <f t="shared" si="3"/>
        <v>44012</v>
      </c>
      <c r="B353" s="20">
        <v>8288.04347826087</v>
      </c>
      <c r="C353" s="20">
        <f t="shared" si="4"/>
        <v>32269.021739130458</v>
      </c>
      <c r="D353" s="21" t="str">
        <f t="shared" si="0"/>
        <v>200630</v>
      </c>
      <c r="E353" s="22">
        <f t="shared" si="5"/>
        <v>4.4586120000000005</v>
      </c>
      <c r="F353" s="9">
        <v>0</v>
      </c>
      <c r="G353" s="14">
        <f t="shared" si="1"/>
        <v>98.734835536697332</v>
      </c>
      <c r="H353" s="24">
        <f t="shared" si="6"/>
        <v>-13432.894633026677</v>
      </c>
      <c r="I353" s="20">
        <f t="shared" si="2"/>
        <v>18836.127106103781</v>
      </c>
      <c r="J353" s="17">
        <f t="shared" si="7"/>
        <v>1.8836127106103779</v>
      </c>
    </row>
    <row r="354" spans="1:10" ht="12" customHeight="1" x14ac:dyDescent="0.3">
      <c r="A354" s="1">
        <f t="shared" si="3"/>
        <v>44013</v>
      </c>
      <c r="B354" s="20">
        <v>8355.9782608695659</v>
      </c>
      <c r="C354" s="20">
        <f t="shared" si="4"/>
        <v>32336.956521739154</v>
      </c>
      <c r="D354" s="21" t="str">
        <f t="shared" si="0"/>
        <v>200701</v>
      </c>
      <c r="E354" s="22">
        <f t="shared" si="5"/>
        <v>4.4586120000000005</v>
      </c>
      <c r="F354" s="9">
        <v>0</v>
      </c>
      <c r="G354" s="14">
        <f t="shared" si="1"/>
        <v>98.740089646779126</v>
      </c>
      <c r="H354" s="24">
        <f t="shared" si="6"/>
        <v>-13380.353532208745</v>
      </c>
      <c r="I354" s="20">
        <f t="shared" si="2"/>
        <v>18956.602989530409</v>
      </c>
      <c r="J354" s="17">
        <f t="shared" si="7"/>
        <v>1.8956602989530409</v>
      </c>
    </row>
    <row r="355" spans="1:10" ht="12" customHeight="1" x14ac:dyDescent="0.3">
      <c r="A355" s="1">
        <f t="shared" si="3"/>
        <v>44014</v>
      </c>
      <c r="B355" s="20">
        <v>8423.9130434782601</v>
      </c>
      <c r="C355" s="20">
        <f t="shared" si="4"/>
        <v>32404.891304347846</v>
      </c>
      <c r="D355" s="21" t="str">
        <f t="shared" si="0"/>
        <v>200702</v>
      </c>
      <c r="E355" s="22">
        <f t="shared" si="5"/>
        <v>4.4586120000000005</v>
      </c>
      <c r="F355" s="9">
        <v>0</v>
      </c>
      <c r="G355" s="14">
        <f t="shared" si="1"/>
        <v>98.745345251153537</v>
      </c>
      <c r="H355" s="24">
        <f t="shared" si="6"/>
        <v>-13327.797488464625</v>
      </c>
      <c r="I355" s="20">
        <f t="shared" si="2"/>
        <v>19077.093815883221</v>
      </c>
      <c r="J355" s="17">
        <f t="shared" si="7"/>
        <v>1.9077093815883222</v>
      </c>
    </row>
    <row r="356" spans="1:10" ht="12" customHeight="1" x14ac:dyDescent="0.3">
      <c r="A356" s="1">
        <f t="shared" si="3"/>
        <v>44015</v>
      </c>
      <c r="B356" s="20">
        <v>8491.847826086956</v>
      </c>
      <c r="C356" s="20">
        <f t="shared" si="4"/>
        <v>32472.826086956542</v>
      </c>
      <c r="D356" s="21" t="str">
        <f t="shared" si="0"/>
        <v>200703</v>
      </c>
      <c r="E356" s="22">
        <f t="shared" si="5"/>
        <v>4.4586120000000005</v>
      </c>
      <c r="F356" s="9">
        <v>0</v>
      </c>
      <c r="G356" s="14">
        <f t="shared" si="1"/>
        <v>98.750602350003589</v>
      </c>
      <c r="H356" s="24">
        <f t="shared" si="6"/>
        <v>-13275.226499964107</v>
      </c>
      <c r="I356" s="20">
        <f t="shared" si="2"/>
        <v>19197.599586992437</v>
      </c>
      <c r="J356" s="17">
        <f t="shared" si="7"/>
        <v>1.9197599586992435</v>
      </c>
    </row>
    <row r="357" spans="1:10" ht="12" customHeight="1" x14ac:dyDescent="0.3">
      <c r="A357" s="1">
        <f t="shared" si="3"/>
        <v>44018</v>
      </c>
      <c r="B357" s="20">
        <v>8695.652173913044</v>
      </c>
      <c r="C357" s="20">
        <f t="shared" si="4"/>
        <v>32676.63043478263</v>
      </c>
      <c r="D357" s="21" t="str">
        <f t="shared" si="0"/>
        <v>200706</v>
      </c>
      <c r="E357" s="22">
        <f t="shared" si="5"/>
        <v>4.4586120000000005</v>
      </c>
      <c r="F357" s="9">
        <v>0</v>
      </c>
      <c r="G357" s="14">
        <f t="shared" si="1"/>
        <v>98.766382615238527</v>
      </c>
      <c r="H357" s="24">
        <f t="shared" si="6"/>
        <v>-13117.423847614731</v>
      </c>
      <c r="I357" s="20">
        <f t="shared" si="2"/>
        <v>19559.206587167901</v>
      </c>
      <c r="J357" s="17">
        <f t="shared" si="7"/>
        <v>1.9559206587167901</v>
      </c>
    </row>
    <row r="358" spans="1:10" ht="12" customHeight="1" x14ac:dyDescent="0.3">
      <c r="A358" s="1">
        <f t="shared" si="3"/>
        <v>44019</v>
      </c>
      <c r="B358" s="20">
        <v>8763.5869565217399</v>
      </c>
      <c r="C358" s="20">
        <f t="shared" si="4"/>
        <v>32744.565217391326</v>
      </c>
      <c r="D358" s="21" t="str">
        <f t="shared" si="0"/>
        <v>200707</v>
      </c>
      <c r="E358" s="22">
        <f t="shared" si="5"/>
        <v>4.4586120000000005</v>
      </c>
      <c r="F358" s="9">
        <v>0</v>
      </c>
      <c r="G358" s="14">
        <f t="shared" si="1"/>
        <v>98.771645693822109</v>
      </c>
      <c r="H358" s="24">
        <f t="shared" si="6"/>
        <v>-13064.793061778913</v>
      </c>
      <c r="I358" s="20">
        <f t="shared" si="2"/>
        <v>19679.772155612412</v>
      </c>
      <c r="J358" s="17">
        <f t="shared" si="7"/>
        <v>1.9679772155612414</v>
      </c>
    </row>
    <row r="359" spans="1:10" ht="12" customHeight="1" x14ac:dyDescent="0.3">
      <c r="A359" s="1">
        <f t="shared" si="3"/>
        <v>44020</v>
      </c>
      <c r="B359" s="20">
        <v>8831.5217391304341</v>
      </c>
      <c r="C359" s="20">
        <f t="shared" si="4"/>
        <v>32812.500000000022</v>
      </c>
      <c r="D359" s="21" t="str">
        <f t="shared" si="0"/>
        <v>200708</v>
      </c>
      <c r="E359" s="22">
        <f t="shared" si="5"/>
        <v>4.4586120000000005</v>
      </c>
      <c r="F359" s="9">
        <v>0</v>
      </c>
      <c r="G359" s="14">
        <f t="shared" si="1"/>
        <v>98.776910267796936</v>
      </c>
      <c r="H359" s="24">
        <f t="shared" si="6"/>
        <v>-13012.147322030643</v>
      </c>
      <c r="I359" s="20">
        <f t="shared" si="2"/>
        <v>19800.352677969378</v>
      </c>
      <c r="J359" s="17">
        <f t="shared" si="7"/>
        <v>1.9800352677969379</v>
      </c>
    </row>
    <row r="360" spans="1:10" ht="12" customHeight="1" x14ac:dyDescent="0.3">
      <c r="A360" s="1">
        <f t="shared" si="3"/>
        <v>44021</v>
      </c>
      <c r="B360" s="20">
        <v>8899.45652173913</v>
      </c>
      <c r="C360" s="20">
        <f t="shared" si="4"/>
        <v>32880.434782608718</v>
      </c>
      <c r="D360" s="21" t="str">
        <f t="shared" si="0"/>
        <v>200709</v>
      </c>
      <c r="E360" s="22">
        <f t="shared" si="5"/>
        <v>4.4586120000000005</v>
      </c>
      <c r="F360" s="9">
        <v>0</v>
      </c>
      <c r="G360" s="14">
        <f t="shared" si="1"/>
        <v>98.782176337346129</v>
      </c>
      <c r="H360" s="24">
        <f t="shared" si="6"/>
        <v>-12959.486626538706</v>
      </c>
      <c r="I360" s="20">
        <f t="shared" si="2"/>
        <v>19920.948156070011</v>
      </c>
      <c r="J360" s="17">
        <f t="shared" si="7"/>
        <v>1.9920948156070013</v>
      </c>
    </row>
    <row r="361" spans="1:10" ht="12" customHeight="1" x14ac:dyDescent="0.3">
      <c r="A361" s="1">
        <f t="shared" si="3"/>
        <v>44022</v>
      </c>
      <c r="B361" s="20">
        <v>8967.391304347826</v>
      </c>
      <c r="C361" s="20">
        <f t="shared" si="4"/>
        <v>32948.369565217414</v>
      </c>
      <c r="D361" s="21" t="str">
        <f t="shared" si="0"/>
        <v>200710</v>
      </c>
      <c r="E361" s="22">
        <f t="shared" si="5"/>
        <v>4.4586120000000005</v>
      </c>
      <c r="F361" s="9">
        <v>0</v>
      </c>
      <c r="G361" s="14">
        <f t="shared" si="1"/>
        <v>98.787443902652967</v>
      </c>
      <c r="H361" s="24">
        <f t="shared" si="6"/>
        <v>-12906.810973470327</v>
      </c>
      <c r="I361" s="20">
        <f t="shared" si="2"/>
        <v>20041.558591747089</v>
      </c>
      <c r="J361" s="17">
        <f t="shared" si="7"/>
        <v>2.0041558591747091</v>
      </c>
    </row>
    <row r="362" spans="1:10" ht="12" customHeight="1" x14ac:dyDescent="0.3">
      <c r="A362" s="1">
        <f t="shared" si="3"/>
        <v>44025</v>
      </c>
      <c r="B362" s="20">
        <v>9171.1956521739139</v>
      </c>
      <c r="C362" s="20">
        <f t="shared" si="4"/>
        <v>33152.173913043502</v>
      </c>
      <c r="D362" s="21" t="str">
        <f t="shared" si="0"/>
        <v>200713</v>
      </c>
      <c r="E362" s="22">
        <f t="shared" si="5"/>
        <v>4.4586120000000005</v>
      </c>
      <c r="F362" s="9">
        <v>0</v>
      </c>
      <c r="G362" s="14">
        <f t="shared" si="1"/>
        <v>98.803255574951507</v>
      </c>
      <c r="H362" s="24">
        <f t="shared" si="6"/>
        <v>-12748.69425048493</v>
      </c>
      <c r="I362" s="20">
        <f t="shared" si="2"/>
        <v>20403.479662558573</v>
      </c>
      <c r="J362" s="17">
        <f t="shared" si="7"/>
        <v>2.0403479662558572</v>
      </c>
    </row>
    <row r="363" spans="1:10" ht="12" customHeight="1" x14ac:dyDescent="0.3">
      <c r="A363" s="1">
        <f t="shared" si="3"/>
        <v>44026</v>
      </c>
      <c r="B363" s="20">
        <v>9239.1304347826081</v>
      </c>
      <c r="C363" s="20">
        <f t="shared" si="4"/>
        <v>33220.108695652198</v>
      </c>
      <c r="D363" s="21" t="str">
        <f t="shared" si="0"/>
        <v>200714</v>
      </c>
      <c r="E363" s="22">
        <f t="shared" si="5"/>
        <v>4.4586120000000005</v>
      </c>
      <c r="F363" s="9">
        <v>0</v>
      </c>
      <c r="G363" s="14">
        <f t="shared" si="1"/>
        <v>98.808529125121268</v>
      </c>
      <c r="H363" s="24">
        <f t="shared" si="6"/>
        <v>-12695.95874878732</v>
      </c>
      <c r="I363" s="20">
        <f t="shared" si="2"/>
        <v>20524.149946864876</v>
      </c>
      <c r="J363" s="17">
        <f t="shared" si="7"/>
        <v>2.0524149946864876</v>
      </c>
    </row>
    <row r="364" spans="1:10" ht="12" customHeight="1" x14ac:dyDescent="0.3">
      <c r="A364" s="1">
        <f t="shared" si="3"/>
        <v>44027</v>
      </c>
      <c r="B364" s="20">
        <v>9307.065217391304</v>
      </c>
      <c r="C364" s="20">
        <f t="shared" si="4"/>
        <v>33288.043478260894</v>
      </c>
      <c r="D364" s="21" t="str">
        <f t="shared" si="0"/>
        <v>200715</v>
      </c>
      <c r="E364" s="22">
        <f t="shared" si="5"/>
        <v>4.4586120000000005</v>
      </c>
      <c r="F364" s="9">
        <v>0</v>
      </c>
      <c r="G364" s="14">
        <f t="shared" si="1"/>
        <v>98.813804171965018</v>
      </c>
      <c r="H364" s="24">
        <f t="shared" si="6"/>
        <v>-12643.208280349825</v>
      </c>
      <c r="I364" s="20">
        <f t="shared" si="2"/>
        <v>20644.835197911067</v>
      </c>
      <c r="J364" s="17">
        <f t="shared" si="7"/>
        <v>2.0644835197911067</v>
      </c>
    </row>
    <row r="365" spans="1:10" ht="12" customHeight="1" x14ac:dyDescent="0.3">
      <c r="A365" s="1">
        <f t="shared" si="3"/>
        <v>44028</v>
      </c>
      <c r="B365" s="20">
        <v>9375</v>
      </c>
      <c r="C365" s="20">
        <f t="shared" si="4"/>
        <v>33355.97826086959</v>
      </c>
      <c r="D365" s="21" t="str">
        <f t="shared" si="0"/>
        <v>200716</v>
      </c>
      <c r="E365" s="22">
        <f t="shared" si="5"/>
        <v>4.4586120000000005</v>
      </c>
      <c r="F365" s="9">
        <v>0</v>
      </c>
      <c r="G365" s="14">
        <f t="shared" si="1"/>
        <v>98.819080715666061</v>
      </c>
      <c r="H365" s="24">
        <f t="shared" si="6"/>
        <v>-12590.44284333939</v>
      </c>
      <c r="I365" s="20">
        <f t="shared" si="2"/>
        <v>20765.535417530198</v>
      </c>
      <c r="J365" s="17">
        <f t="shared" si="7"/>
        <v>2.0765535417530199</v>
      </c>
    </row>
    <row r="366" spans="1:10" ht="12" customHeight="1" x14ac:dyDescent="0.3">
      <c r="A366" s="1">
        <f t="shared" si="3"/>
        <v>44029</v>
      </c>
      <c r="B366" s="20">
        <v>9442.934782608696</v>
      </c>
      <c r="C366" s="20">
        <f t="shared" si="4"/>
        <v>33423.913043478286</v>
      </c>
      <c r="D366" s="21" t="str">
        <f t="shared" si="0"/>
        <v>200717</v>
      </c>
      <c r="E366" s="22">
        <f t="shared" si="5"/>
        <v>4.4586120000000005</v>
      </c>
      <c r="F366" s="9">
        <v>0</v>
      </c>
      <c r="G366" s="14">
        <f t="shared" si="1"/>
        <v>98.824358756407747</v>
      </c>
      <c r="H366" s="24">
        <f t="shared" si="6"/>
        <v>-12537.662435922528</v>
      </c>
      <c r="I366" s="20">
        <f t="shared" si="2"/>
        <v>20886.250607555758</v>
      </c>
      <c r="J366" s="17">
        <f t="shared" si="7"/>
        <v>2.0886250607555756</v>
      </c>
    </row>
    <row r="367" spans="1:10" ht="12" customHeight="1" x14ac:dyDescent="0.3">
      <c r="A367" s="1">
        <f t="shared" si="3"/>
        <v>44032</v>
      </c>
      <c r="B367" s="20">
        <v>9646.7391304347821</v>
      </c>
      <c r="C367" s="20">
        <f t="shared" si="4"/>
        <v>33627.717391304373</v>
      </c>
      <c r="D367" s="21" t="str">
        <f t="shared" si="0"/>
        <v>200720</v>
      </c>
      <c r="E367" s="22">
        <f t="shared" si="5"/>
        <v>4.4586120000000005</v>
      </c>
      <c r="F367" s="9">
        <v>0</v>
      </c>
      <c r="G367" s="14">
        <f t="shared" si="1"/>
        <v>98.840201862710828</v>
      </c>
      <c r="H367" s="24">
        <f t="shared" si="6"/>
        <v>-12379.231372891723</v>
      </c>
      <c r="I367" s="20">
        <f t="shared" si="2"/>
        <v>21248.486018412652</v>
      </c>
      <c r="J367" s="17">
        <f t="shared" si="7"/>
        <v>2.1248486018412649</v>
      </c>
    </row>
    <row r="368" spans="1:10" ht="12" customHeight="1" x14ac:dyDescent="0.3">
      <c r="A368" s="1">
        <f t="shared" si="3"/>
        <v>44033</v>
      </c>
      <c r="B368" s="20">
        <v>9714.6739130434798</v>
      </c>
      <c r="C368" s="20">
        <f t="shared" si="4"/>
        <v>33695.652173913069</v>
      </c>
      <c r="D368" s="21" t="str">
        <f t="shared" si="0"/>
        <v>200721</v>
      </c>
      <c r="E368" s="22">
        <f t="shared" si="5"/>
        <v>4.4586120000000005</v>
      </c>
      <c r="F368" s="9">
        <v>0</v>
      </c>
      <c r="G368" s="14">
        <f t="shared" si="1"/>
        <v>98.845485893449265</v>
      </c>
      <c r="H368" s="24">
        <f t="shared" si="6"/>
        <v>-12326.391065507352</v>
      </c>
      <c r="I368" s="20">
        <f t="shared" si="2"/>
        <v>21369.261108405717</v>
      </c>
      <c r="J368" s="17">
        <f t="shared" si="7"/>
        <v>2.1369261108405717</v>
      </c>
    </row>
    <row r="369" spans="1:10" ht="12" customHeight="1" x14ac:dyDescent="0.3">
      <c r="A369" s="1">
        <f t="shared" si="3"/>
        <v>44034</v>
      </c>
      <c r="B369" s="20">
        <v>9782.608695652174</v>
      </c>
      <c r="C369" s="20">
        <f t="shared" si="4"/>
        <v>33763.586956521765</v>
      </c>
      <c r="D369" s="21" t="str">
        <f t="shared" si="0"/>
        <v>200722</v>
      </c>
      <c r="E369" s="22">
        <f t="shared" si="5"/>
        <v>4.4586120000000005</v>
      </c>
      <c r="F369" s="9">
        <v>0</v>
      </c>
      <c r="G369" s="14">
        <f t="shared" si="1"/>
        <v>98.850771422145527</v>
      </c>
      <c r="H369" s="24">
        <f t="shared" si="6"/>
        <v>-12273.535778544727</v>
      </c>
      <c r="I369" s="20">
        <f t="shared" si="2"/>
        <v>21490.051177977039</v>
      </c>
      <c r="J369" s="17">
        <f t="shared" si="7"/>
        <v>2.1490051177977039</v>
      </c>
    </row>
    <row r="370" spans="1:10" ht="12" customHeight="1" x14ac:dyDescent="0.3">
      <c r="A370" s="1">
        <f t="shared" si="3"/>
        <v>44035</v>
      </c>
      <c r="B370" s="20">
        <v>9850.54347826087</v>
      </c>
      <c r="C370" s="20">
        <f t="shared" si="4"/>
        <v>33831.521739130461</v>
      </c>
      <c r="D370" s="21" t="str">
        <f t="shared" si="0"/>
        <v>200723</v>
      </c>
      <c r="E370" s="22">
        <f t="shared" si="5"/>
        <v>4.4586120000000005</v>
      </c>
      <c r="F370" s="9">
        <v>0</v>
      </c>
      <c r="G370" s="14">
        <f t="shared" si="1"/>
        <v>98.856058448983077</v>
      </c>
      <c r="H370" s="24">
        <f t="shared" si="6"/>
        <v>-12220.665510169225</v>
      </c>
      <c r="I370" s="20">
        <f t="shared" si="2"/>
        <v>21610.856228961238</v>
      </c>
      <c r="J370" s="17">
        <f t="shared" si="7"/>
        <v>2.1610856228961235</v>
      </c>
    </row>
    <row r="371" spans="1:10" ht="12" customHeight="1" x14ac:dyDescent="0.3">
      <c r="A371" s="1">
        <f t="shared" si="3"/>
        <v>44036</v>
      </c>
      <c r="B371" s="20">
        <v>9918.4782608695659</v>
      </c>
      <c r="C371" s="20">
        <f t="shared" si="4"/>
        <v>33899.456521739157</v>
      </c>
      <c r="D371" s="21" t="str">
        <f t="shared" si="0"/>
        <v>200724</v>
      </c>
      <c r="E371" s="22">
        <f t="shared" si="5"/>
        <v>4.4586120000000005</v>
      </c>
      <c r="F371" s="9">
        <v>0</v>
      </c>
      <c r="G371" s="14">
        <f t="shared" si="1"/>
        <v>98.861346974145462</v>
      </c>
      <c r="H371" s="24">
        <f t="shared" si="6"/>
        <v>-12167.780258545377</v>
      </c>
      <c r="I371" s="20">
        <f t="shared" si="2"/>
        <v>21731.676263193782</v>
      </c>
      <c r="J371" s="17">
        <f t="shared" si="7"/>
        <v>2.173167626319378</v>
      </c>
    </row>
    <row r="372" spans="1:10" ht="12" customHeight="1" x14ac:dyDescent="0.3">
      <c r="A372" s="1">
        <f t="shared" si="3"/>
        <v>44039</v>
      </c>
      <c r="B372" s="20">
        <v>10122.282608695652</v>
      </c>
      <c r="C372" s="20">
        <f t="shared" si="4"/>
        <v>34103.260869565245</v>
      </c>
      <c r="D372" s="21" t="str">
        <f t="shared" si="0"/>
        <v>200727</v>
      </c>
      <c r="E372" s="22">
        <f t="shared" si="5"/>
        <v>4.4586120000000005</v>
      </c>
      <c r="F372" s="9">
        <v>0</v>
      </c>
      <c r="G372" s="14">
        <f t="shared" si="1"/>
        <v>98.877221541417086</v>
      </c>
      <c r="H372" s="24">
        <f t="shared" si="6"/>
        <v>-12009.034585829142</v>
      </c>
      <c r="I372" s="20">
        <f t="shared" si="2"/>
        <v>22094.226283736105</v>
      </c>
      <c r="J372" s="17">
        <f t="shared" si="7"/>
        <v>2.2094226283736105</v>
      </c>
    </row>
    <row r="373" spans="1:10" ht="12" customHeight="1" x14ac:dyDescent="0.3">
      <c r="A373" s="1">
        <f t="shared" si="3"/>
        <v>44040</v>
      </c>
      <c r="B373" s="20">
        <v>10190.217391304348</v>
      </c>
      <c r="C373" s="20">
        <f t="shared" si="4"/>
        <v>34171.195652173941</v>
      </c>
      <c r="D373" s="21" t="str">
        <f t="shared" si="0"/>
        <v>200728</v>
      </c>
      <c r="E373" s="22">
        <f t="shared" si="5"/>
        <v>4.4586120000000005</v>
      </c>
      <c r="F373" s="9">
        <v>0</v>
      </c>
      <c r="G373" s="14">
        <f t="shared" si="1"/>
        <v>98.882516061714426</v>
      </c>
      <c r="H373" s="24">
        <f t="shared" si="6"/>
        <v>-11956.089382855736</v>
      </c>
      <c r="I373" s="20">
        <f t="shared" si="2"/>
        <v>22215.106269318203</v>
      </c>
      <c r="J373" s="17">
        <f t="shared" si="7"/>
        <v>2.2215106269318201</v>
      </c>
    </row>
    <row r="374" spans="1:10" ht="12" customHeight="1" x14ac:dyDescent="0.3">
      <c r="A374" s="1">
        <f t="shared" si="3"/>
        <v>44041</v>
      </c>
      <c r="B374" s="20">
        <v>10258.152173913042</v>
      </c>
      <c r="C374" s="20">
        <f t="shared" si="4"/>
        <v>34239.130434782637</v>
      </c>
      <c r="D374" s="21" t="str">
        <f t="shared" si="0"/>
        <v>200729</v>
      </c>
      <c r="E374" s="22">
        <f t="shared" si="5"/>
        <v>4.4586120000000005</v>
      </c>
      <c r="F374" s="9">
        <v>0</v>
      </c>
      <c r="G374" s="14">
        <f t="shared" si="1"/>
        <v>98.887812081254495</v>
      </c>
      <c r="H374" s="24">
        <f t="shared" si="6"/>
        <v>-11903.129187455052</v>
      </c>
      <c r="I374" s="20">
        <f t="shared" si="2"/>
        <v>22336.001247327586</v>
      </c>
      <c r="J374" s="17">
        <f t="shared" si="7"/>
        <v>2.2336001247327588</v>
      </c>
    </row>
    <row r="375" spans="1:10" ht="12" customHeight="1" x14ac:dyDescent="0.3">
      <c r="A375" s="1">
        <f t="shared" si="3"/>
        <v>44042</v>
      </c>
      <c r="B375" s="20">
        <v>10326.086956521738</v>
      </c>
      <c r="C375" s="20">
        <f t="shared" si="4"/>
        <v>34307.065217391333</v>
      </c>
      <c r="D375" s="21" t="str">
        <f t="shared" si="0"/>
        <v>200730</v>
      </c>
      <c r="E375" s="22">
        <f t="shared" si="5"/>
        <v>4.4586120000000005</v>
      </c>
      <c r="F375" s="9">
        <v>0</v>
      </c>
      <c r="G375" s="14">
        <f t="shared" si="1"/>
        <v>98.893109600220996</v>
      </c>
      <c r="H375" s="24">
        <f t="shared" si="6"/>
        <v>-11850.153997790045</v>
      </c>
      <c r="I375" s="20">
        <f t="shared" si="2"/>
        <v>22456.911219601287</v>
      </c>
      <c r="J375" s="17">
        <f t="shared" si="7"/>
        <v>2.245691121960129</v>
      </c>
    </row>
    <row r="376" spans="1:10" ht="12" customHeight="1" x14ac:dyDescent="0.3">
      <c r="A376" s="1">
        <f t="shared" si="3"/>
        <v>44043</v>
      </c>
      <c r="B376" s="20">
        <v>10394.021739130434</v>
      </c>
      <c r="C376" s="20">
        <f t="shared" si="4"/>
        <v>34375.000000000029</v>
      </c>
      <c r="D376" s="21" t="str">
        <f t="shared" si="0"/>
        <v>200731</v>
      </c>
      <c r="E376" s="22">
        <f t="shared" si="5"/>
        <v>4.4586120000000005</v>
      </c>
      <c r="F376" s="9">
        <v>0</v>
      </c>
      <c r="G376" s="14">
        <f t="shared" si="1"/>
        <v>98.898408618797575</v>
      </c>
      <c r="H376" s="24">
        <f t="shared" si="6"/>
        <v>-11797.163812024251</v>
      </c>
      <c r="I376" s="20">
        <f t="shared" si="2"/>
        <v>22577.836187975779</v>
      </c>
      <c r="J376" s="17">
        <f t="shared" si="7"/>
        <v>2.2577836187975779</v>
      </c>
    </row>
    <row r="377" spans="1:10" ht="12" customHeight="1" x14ac:dyDescent="0.3">
      <c r="A377" s="1">
        <f t="shared" si="3"/>
        <v>44046</v>
      </c>
      <c r="B377" s="20">
        <v>10597.82608695652</v>
      </c>
      <c r="C377" s="20">
        <f t="shared" si="4"/>
        <v>34578.804347826117</v>
      </c>
      <c r="D377" s="21" t="str">
        <f t="shared" si="0"/>
        <v>200803</v>
      </c>
      <c r="E377" s="22">
        <f t="shared" si="5"/>
        <v>4.4586120000000005</v>
      </c>
      <c r="F377" s="9">
        <v>0</v>
      </c>
      <c r="G377" s="14">
        <f t="shared" si="1"/>
        <v>98.914314674024922</v>
      </c>
      <c r="H377" s="24">
        <f t="shared" si="6"/>
        <v>-11638.10325975078</v>
      </c>
      <c r="I377" s="20">
        <f t="shared" si="2"/>
        <v>22940.701088075337</v>
      </c>
      <c r="J377" s="17">
        <f t="shared" si="7"/>
        <v>2.2940701088075337</v>
      </c>
    </row>
    <row r="378" spans="1:10" ht="12" customHeight="1" x14ac:dyDescent="0.3">
      <c r="A378" s="1">
        <f t="shared" si="3"/>
        <v>44047</v>
      </c>
      <c r="B378" s="20">
        <v>10665.760869565218</v>
      </c>
      <c r="C378" s="20">
        <f t="shared" si="4"/>
        <v>34646.739130434813</v>
      </c>
      <c r="D378" s="21" t="str">
        <f t="shared" si="0"/>
        <v>200804</v>
      </c>
      <c r="E378" s="22">
        <f t="shared" si="5"/>
        <v>4.4586120000000005</v>
      </c>
      <c r="F378" s="9">
        <v>0</v>
      </c>
      <c r="G378" s="14">
        <f t="shared" si="1"/>
        <v>98.919619692879053</v>
      </c>
      <c r="H378" s="24">
        <f t="shared" si="6"/>
        <v>-11585.053071209471</v>
      </c>
      <c r="I378" s="20">
        <f t="shared" si="2"/>
        <v>23061.686059225343</v>
      </c>
      <c r="J378" s="17">
        <f t="shared" si="7"/>
        <v>2.3061686059225344</v>
      </c>
    </row>
    <row r="379" spans="1:10" ht="12" customHeight="1" x14ac:dyDescent="0.3">
      <c r="A379" s="1">
        <f t="shared" si="3"/>
        <v>44048</v>
      </c>
      <c r="B379" s="20">
        <v>10733.695652173914</v>
      </c>
      <c r="C379" s="20">
        <f t="shared" si="4"/>
        <v>34714.673913043509</v>
      </c>
      <c r="D379" s="21" t="str">
        <f t="shared" si="0"/>
        <v>200805</v>
      </c>
      <c r="E379" s="22">
        <f t="shared" si="5"/>
        <v>4.4586120000000005</v>
      </c>
      <c r="F379" s="9">
        <v>0</v>
      </c>
      <c r="G379" s="14">
        <f t="shared" si="1"/>
        <v>98.924926212261965</v>
      </c>
      <c r="H379" s="24">
        <f t="shared" si="6"/>
        <v>-11531.987877380345</v>
      </c>
      <c r="I379" s="20">
        <f t="shared" si="2"/>
        <v>23182.686035663166</v>
      </c>
      <c r="J379" s="17">
        <f t="shared" si="7"/>
        <v>2.3182686035663163</v>
      </c>
    </row>
    <row r="380" spans="1:10" ht="12" customHeight="1" x14ac:dyDescent="0.3">
      <c r="A380" s="1">
        <f t="shared" si="3"/>
        <v>44049</v>
      </c>
      <c r="B380" s="20">
        <v>10801.630434782608</v>
      </c>
      <c r="C380" s="20">
        <f t="shared" si="4"/>
        <v>34782.608695652205</v>
      </c>
      <c r="D380" s="21" t="str">
        <f t="shared" si="0"/>
        <v>200806</v>
      </c>
      <c r="E380" s="22">
        <f t="shared" si="5"/>
        <v>4.4586120000000005</v>
      </c>
      <c r="F380" s="9">
        <v>0</v>
      </c>
      <c r="G380" s="14">
        <f t="shared" si="1"/>
        <v>98.93023423235752</v>
      </c>
      <c r="H380" s="24">
        <f t="shared" si="6"/>
        <v>-11478.907676424797</v>
      </c>
      <c r="I380" s="20">
        <f t="shared" si="2"/>
        <v>23303.70101922741</v>
      </c>
      <c r="J380" s="17">
        <f t="shared" si="7"/>
        <v>2.3303701019227412</v>
      </c>
    </row>
    <row r="381" spans="1:10" ht="12" customHeight="1" x14ac:dyDescent="0.3">
      <c r="A381" s="1">
        <f t="shared" si="3"/>
        <v>44050</v>
      </c>
      <c r="B381" s="20">
        <v>10869.565217391304</v>
      </c>
      <c r="C381" s="20">
        <f t="shared" si="4"/>
        <v>34850.543478260901</v>
      </c>
      <c r="D381" s="21" t="str">
        <f t="shared" si="0"/>
        <v>200807</v>
      </c>
      <c r="E381" s="22">
        <f t="shared" si="5"/>
        <v>4.4586120000000005</v>
      </c>
      <c r="F381" s="9">
        <v>0</v>
      </c>
      <c r="G381" s="14">
        <f t="shared" si="1"/>
        <v>98.935543753349506</v>
      </c>
      <c r="H381" s="24">
        <f t="shared" si="6"/>
        <v>-11425.812466504936</v>
      </c>
      <c r="I381" s="20">
        <f t="shared" si="2"/>
        <v>23424.731011755965</v>
      </c>
      <c r="J381" s="17">
        <f t="shared" si="7"/>
        <v>2.3424731011755964</v>
      </c>
    </row>
    <row r="382" spans="1:10" ht="12" customHeight="1" x14ac:dyDescent="0.3">
      <c r="A382" s="1">
        <f t="shared" si="3"/>
        <v>44053</v>
      </c>
      <c r="B382" s="20">
        <v>11073.369565217392</v>
      </c>
      <c r="C382" s="20">
        <f t="shared" si="4"/>
        <v>35054.347826086989</v>
      </c>
      <c r="D382" s="21" t="str">
        <f t="shared" si="0"/>
        <v>200810</v>
      </c>
      <c r="E382" s="22">
        <f t="shared" si="5"/>
        <v>4.4586120000000005</v>
      </c>
      <c r="F382" s="9">
        <v>0</v>
      </c>
      <c r="G382" s="14">
        <f t="shared" si="1"/>
        <v>98.951481323542851</v>
      </c>
      <c r="H382" s="24">
        <f t="shared" si="6"/>
        <v>-11266.436764571494</v>
      </c>
      <c r="I382" s="20">
        <f t="shared" si="2"/>
        <v>23787.911061515493</v>
      </c>
      <c r="J382" s="17">
        <f t="shared" si="7"/>
        <v>2.3787911061515494</v>
      </c>
    </row>
    <row r="383" spans="1:10" ht="12" customHeight="1" x14ac:dyDescent="0.3">
      <c r="A383" s="1">
        <f t="shared" si="3"/>
        <v>44054</v>
      </c>
      <c r="B383" s="20">
        <v>11141.304347826086</v>
      </c>
      <c r="C383" s="20">
        <f t="shared" si="4"/>
        <v>35122.282608695685</v>
      </c>
      <c r="D383" s="21" t="str">
        <f t="shared" si="0"/>
        <v>200811</v>
      </c>
      <c r="E383" s="22">
        <f t="shared" si="5"/>
        <v>4.4586120000000005</v>
      </c>
      <c r="F383" s="9">
        <v>0</v>
      </c>
      <c r="G383" s="14">
        <f t="shared" si="1"/>
        <v>98.956796849959446</v>
      </c>
      <c r="H383" s="24">
        <f t="shared" si="6"/>
        <v>-11213.281500405543</v>
      </c>
      <c r="I383" s="20">
        <f t="shared" si="2"/>
        <v>23909.00110829014</v>
      </c>
      <c r="J383" s="17">
        <f t="shared" si="7"/>
        <v>2.3909001108290138</v>
      </c>
    </row>
    <row r="384" spans="1:10" ht="12" customHeight="1" x14ac:dyDescent="0.3">
      <c r="A384" s="1">
        <f t="shared" si="3"/>
        <v>44055</v>
      </c>
      <c r="B384" s="20">
        <v>11209.239130434782</v>
      </c>
      <c r="C384" s="20">
        <f t="shared" si="4"/>
        <v>35190.217391304381</v>
      </c>
      <c r="D384" s="21" t="str">
        <f t="shared" si="0"/>
        <v>200812</v>
      </c>
      <c r="E384" s="22">
        <f t="shared" si="5"/>
        <v>4.4586120000000005</v>
      </c>
      <c r="F384" s="9">
        <v>0</v>
      </c>
      <c r="G384" s="14">
        <f t="shared" si="1"/>
        <v>98.962113878191971</v>
      </c>
      <c r="H384" s="24">
        <f t="shared" si="6"/>
        <v>-11160.111218080288</v>
      </c>
      <c r="I384" s="20">
        <f t="shared" si="2"/>
        <v>24030.106173224092</v>
      </c>
      <c r="J384" s="17">
        <f t="shared" si="7"/>
        <v>2.4030106173224093</v>
      </c>
    </row>
    <row r="385" spans="1:10" ht="12" customHeight="1" x14ac:dyDescent="0.3">
      <c r="A385" s="1">
        <f t="shared" si="3"/>
        <v>44056</v>
      </c>
      <c r="B385" s="20">
        <v>11277.17391304348</v>
      </c>
      <c r="C385" s="20">
        <f t="shared" si="4"/>
        <v>35258.152173913077</v>
      </c>
      <c r="D385" s="21" t="str">
        <f t="shared" si="0"/>
        <v>200813</v>
      </c>
      <c r="E385" s="22">
        <f t="shared" si="5"/>
        <v>4.4586120000000005</v>
      </c>
      <c r="F385" s="9">
        <v>0</v>
      </c>
      <c r="G385" s="14">
        <f t="shared" si="1"/>
        <v>98.967432408424415</v>
      </c>
      <c r="H385" s="24">
        <f t="shared" si="6"/>
        <v>-11106.925915755854</v>
      </c>
      <c r="I385" s="20">
        <f t="shared" si="2"/>
        <v>24151.226258157221</v>
      </c>
      <c r="J385" s="17">
        <f t="shared" si="7"/>
        <v>2.4151226258157221</v>
      </c>
    </row>
    <row r="386" spans="1:10" ht="12" customHeight="1" x14ac:dyDescent="0.3">
      <c r="A386" s="1">
        <f t="shared" si="3"/>
        <v>44057</v>
      </c>
      <c r="B386" s="20">
        <v>11345.108695652176</v>
      </c>
      <c r="C386" s="20">
        <f t="shared" si="4"/>
        <v>35326.086956521773</v>
      </c>
      <c r="D386" s="21" t="str">
        <f t="shared" si="0"/>
        <v>200814</v>
      </c>
      <c r="E386" s="22">
        <f t="shared" si="5"/>
        <v>4.4586120000000005</v>
      </c>
      <c r="F386" s="9">
        <v>0</v>
      </c>
      <c r="G386" s="14">
        <f t="shared" si="1"/>
        <v>98.972752440840765</v>
      </c>
      <c r="H386" s="24">
        <f t="shared" si="6"/>
        <v>-11053.725591592352</v>
      </c>
      <c r="I386" s="20">
        <f t="shared" si="2"/>
        <v>24272.36136492942</v>
      </c>
      <c r="J386" s="17">
        <f t="shared" si="7"/>
        <v>2.427236136492942</v>
      </c>
    </row>
    <row r="387" spans="1:10" ht="12" customHeight="1" x14ac:dyDescent="0.3">
      <c r="A387" s="1">
        <f t="shared" si="3"/>
        <v>44060</v>
      </c>
      <c r="B387" s="20">
        <v>11548.913043478262</v>
      </c>
      <c r="C387" s="20">
        <f t="shared" si="4"/>
        <v>35529.891304347861</v>
      </c>
      <c r="D387" s="21" t="str">
        <f t="shared" si="0"/>
        <v>200817</v>
      </c>
      <c r="E387" s="22">
        <f t="shared" si="5"/>
        <v>4.4586120000000005</v>
      </c>
      <c r="F387" s="9">
        <v>0</v>
      </c>
      <c r="G387" s="14">
        <f t="shared" si="1"/>
        <v>98.988721553033585</v>
      </c>
      <c r="H387" s="24">
        <f t="shared" si="6"/>
        <v>-10894.034469664148</v>
      </c>
      <c r="I387" s="20">
        <f t="shared" si="2"/>
        <v>24635.856834683713</v>
      </c>
      <c r="J387" s="17">
        <f t="shared" si="7"/>
        <v>2.4635856834683714</v>
      </c>
    </row>
    <row r="388" spans="1:10" ht="12" customHeight="1" x14ac:dyDescent="0.3">
      <c r="A388" s="1">
        <f t="shared" si="3"/>
        <v>44061</v>
      </c>
      <c r="B388" s="20">
        <v>11616.847826086958</v>
      </c>
      <c r="C388" s="20">
        <f t="shared" si="4"/>
        <v>35597.826086956557</v>
      </c>
      <c r="D388" s="21" t="str">
        <f t="shared" si="0"/>
        <v>200818</v>
      </c>
      <c r="E388" s="22">
        <f t="shared" si="5"/>
        <v>4.4586120000000005</v>
      </c>
      <c r="F388" s="9">
        <v>0</v>
      </c>
      <c r="G388" s="14">
        <f t="shared" si="1"/>
        <v>98.994047596025993</v>
      </c>
      <c r="H388" s="24">
        <f t="shared" si="6"/>
        <v>-10840.774039740068</v>
      </c>
      <c r="I388" s="20">
        <f t="shared" si="2"/>
        <v>24757.052047216486</v>
      </c>
      <c r="J388" s="17">
        <f t="shared" si="7"/>
        <v>2.4757052047216486</v>
      </c>
    </row>
    <row r="389" spans="1:10" ht="12" customHeight="1" x14ac:dyDescent="0.3">
      <c r="A389" s="1">
        <f t="shared" si="3"/>
        <v>44062</v>
      </c>
      <c r="B389" s="20">
        <v>11684.782608695652</v>
      </c>
      <c r="C389" s="20">
        <f t="shared" si="4"/>
        <v>35665.760869565253</v>
      </c>
      <c r="D389" s="21" t="str">
        <f t="shared" si="0"/>
        <v>200819</v>
      </c>
      <c r="E389" s="22">
        <f t="shared" si="5"/>
        <v>4.4586120000000005</v>
      </c>
      <c r="F389" s="9">
        <v>0</v>
      </c>
      <c r="G389" s="14">
        <f t="shared" si="1"/>
        <v>98.999375142122574</v>
      </c>
      <c r="H389" s="24">
        <f t="shared" si="6"/>
        <v>-10787.498578774261</v>
      </c>
      <c r="I389" s="20">
        <f t="shared" si="2"/>
        <v>24878.26229079099</v>
      </c>
      <c r="J389" s="17">
        <f t="shared" si="7"/>
        <v>2.4878262290790989</v>
      </c>
    </row>
    <row r="390" spans="1:10" ht="12" customHeight="1" x14ac:dyDescent="0.3">
      <c r="A390" s="1">
        <f t="shared" si="3"/>
        <v>44063</v>
      </c>
      <c r="B390" s="20">
        <v>11752.717391304348</v>
      </c>
      <c r="C390" s="20">
        <f t="shared" si="4"/>
        <v>35733.695652173948</v>
      </c>
      <c r="D390" s="21" t="str">
        <f t="shared" si="0"/>
        <v>200820</v>
      </c>
      <c r="E390" s="22">
        <f t="shared" si="5"/>
        <v>4.4586120000000005</v>
      </c>
      <c r="F390" s="9">
        <v>0</v>
      </c>
      <c r="G390" s="14">
        <f t="shared" si="1"/>
        <v>99.004704191507486</v>
      </c>
      <c r="H390" s="24">
        <f t="shared" si="6"/>
        <v>-10734.208084925143</v>
      </c>
      <c r="I390" s="20">
        <f t="shared" si="2"/>
        <v>24999.487567248805</v>
      </c>
      <c r="J390" s="17">
        <f t="shared" si="7"/>
        <v>2.4999487567248804</v>
      </c>
    </row>
    <row r="391" spans="1:10" ht="12" customHeight="1" x14ac:dyDescent="0.3">
      <c r="A391" s="1">
        <f t="shared" si="3"/>
        <v>44064</v>
      </c>
      <c r="B391" s="20">
        <v>11820.652173913042</v>
      </c>
      <c r="C391" s="20">
        <f t="shared" si="4"/>
        <v>35801.630434782644</v>
      </c>
      <c r="D391" s="21" t="str">
        <f t="shared" si="0"/>
        <v>200821</v>
      </c>
      <c r="E391" s="22">
        <f t="shared" si="5"/>
        <v>4.4586120000000005</v>
      </c>
      <c r="F391" s="9">
        <v>0</v>
      </c>
      <c r="G391" s="14">
        <f t="shared" si="1"/>
        <v>99.010034744364887</v>
      </c>
      <c r="H391" s="24">
        <f t="shared" si="6"/>
        <v>-10680.902556351128</v>
      </c>
      <c r="I391" s="20">
        <f t="shared" si="2"/>
        <v>25120.727878431517</v>
      </c>
      <c r="J391" s="17">
        <f t="shared" si="7"/>
        <v>2.5120727878431519</v>
      </c>
    </row>
    <row r="392" spans="1:10" ht="12" customHeight="1" x14ac:dyDescent="0.3">
      <c r="A392" s="1">
        <f t="shared" si="3"/>
        <v>44067</v>
      </c>
      <c r="B392" s="20">
        <v>12024.45652173913</v>
      </c>
      <c r="C392" s="20">
        <f t="shared" si="4"/>
        <v>36005.434782608732</v>
      </c>
      <c r="D392" s="21" t="str">
        <f t="shared" si="0"/>
        <v>200824</v>
      </c>
      <c r="E392" s="22">
        <f t="shared" si="5"/>
        <v>4.4586120000000005</v>
      </c>
      <c r="F392" s="9">
        <v>0</v>
      </c>
      <c r="G392" s="14">
        <f t="shared" si="1"/>
        <v>99.026035425613841</v>
      </c>
      <c r="H392" s="24">
        <f t="shared" si="6"/>
        <v>-10520.895743861587</v>
      </c>
      <c r="I392" s="20">
        <f t="shared" si="2"/>
        <v>25484.539038747145</v>
      </c>
      <c r="J392" s="17">
        <f t="shared" si="7"/>
        <v>2.5484539038747145</v>
      </c>
    </row>
    <row r="393" spans="1:10" ht="12" customHeight="1" x14ac:dyDescent="0.3">
      <c r="A393" s="1">
        <f t="shared" si="3"/>
        <v>44068</v>
      </c>
      <c r="B393" s="20">
        <v>12092.391304347824</v>
      </c>
      <c r="C393" s="20">
        <f t="shared" si="4"/>
        <v>36073.369565217428</v>
      </c>
      <c r="D393" s="21" t="str">
        <f t="shared" si="0"/>
        <v>200825</v>
      </c>
      <c r="E393" s="22">
        <f t="shared" si="5"/>
        <v>4.4586120000000005</v>
      </c>
      <c r="F393" s="9">
        <v>0</v>
      </c>
      <c r="G393" s="14">
        <f t="shared" si="1"/>
        <v>99.031371994203127</v>
      </c>
      <c r="H393" s="24">
        <f t="shared" si="6"/>
        <v>-10467.53005796873</v>
      </c>
      <c r="I393" s="20">
        <f t="shared" si="2"/>
        <v>25605.839507248696</v>
      </c>
      <c r="J393" s="17">
        <f t="shared" si="7"/>
        <v>2.5605839507248698</v>
      </c>
    </row>
    <row r="394" spans="1:10" ht="12" customHeight="1" x14ac:dyDescent="0.3">
      <c r="A394" s="1">
        <f t="shared" si="3"/>
        <v>44069</v>
      </c>
      <c r="B394" s="20">
        <v>12160.32608695652</v>
      </c>
      <c r="C394" s="20">
        <f t="shared" si="4"/>
        <v>36141.304347826124</v>
      </c>
      <c r="D394" s="21" t="str">
        <f t="shared" si="0"/>
        <v>200826</v>
      </c>
      <c r="E394" s="22">
        <f t="shared" si="5"/>
        <v>4.4586120000000005</v>
      </c>
      <c r="F394" s="9">
        <v>0</v>
      </c>
      <c r="G394" s="14">
        <f t="shared" si="1"/>
        <v>99.036710067185965</v>
      </c>
      <c r="H394" s="24">
        <f t="shared" si="6"/>
        <v>-10414.149328140355</v>
      </c>
      <c r="I394" s="20">
        <f t="shared" si="2"/>
        <v>25727.155019685772</v>
      </c>
      <c r="J394" s="17">
        <f t="shared" si="7"/>
        <v>2.572715501968577</v>
      </c>
    </row>
    <row r="395" spans="1:10" ht="12" customHeight="1" x14ac:dyDescent="0.3">
      <c r="A395" s="1">
        <f t="shared" si="3"/>
        <v>44070</v>
      </c>
      <c r="B395" s="20">
        <v>12228.260869565218</v>
      </c>
      <c r="C395" s="20">
        <f t="shared" si="4"/>
        <v>36209.23913043482</v>
      </c>
      <c r="D395" s="21" t="str">
        <f t="shared" si="0"/>
        <v>200827</v>
      </c>
      <c r="E395" s="22">
        <f t="shared" si="5"/>
        <v>4.4586120000000005</v>
      </c>
      <c r="F395" s="9">
        <v>0</v>
      </c>
      <c r="G395" s="14">
        <f t="shared" si="1"/>
        <v>99.042049644746697</v>
      </c>
      <c r="H395" s="24">
        <f t="shared" si="6"/>
        <v>-10360.753552533026</v>
      </c>
      <c r="I395" s="20">
        <f t="shared" si="2"/>
        <v>25848.485577901796</v>
      </c>
      <c r="J395" s="17">
        <f t="shared" si="7"/>
        <v>2.5848485577901799</v>
      </c>
    </row>
    <row r="396" spans="1:10" ht="12" customHeight="1" x14ac:dyDescent="0.3">
      <c r="A396" s="1">
        <f t="shared" si="3"/>
        <v>44071</v>
      </c>
      <c r="B396" s="20">
        <v>12296.195652173914</v>
      </c>
      <c r="C396" s="20">
        <f t="shared" si="4"/>
        <v>36277.173913043516</v>
      </c>
      <c r="D396" s="21" t="str">
        <f t="shared" si="0"/>
        <v>200828</v>
      </c>
      <c r="E396" s="22">
        <f t="shared" si="5"/>
        <v>4.4586120000000005</v>
      </c>
      <c r="F396" s="9">
        <v>0</v>
      </c>
      <c r="G396" s="14">
        <f t="shared" si="1"/>
        <v>99.047390727069555</v>
      </c>
      <c r="H396" s="24">
        <f t="shared" si="6"/>
        <v>-10307.342729304451</v>
      </c>
      <c r="I396" s="20">
        <f t="shared" si="2"/>
        <v>25969.831183739065</v>
      </c>
      <c r="J396" s="17">
        <f t="shared" si="7"/>
        <v>2.5969831183739065</v>
      </c>
    </row>
    <row r="397" spans="1:10" ht="12" customHeight="1" x14ac:dyDescent="0.3">
      <c r="A397" s="1">
        <f t="shared" si="3"/>
        <v>44074</v>
      </c>
      <c r="B397" s="20">
        <v>0</v>
      </c>
      <c r="C397" s="20">
        <f t="shared" si="4"/>
        <v>36480.978260869604</v>
      </c>
      <c r="D397" s="21" t="str">
        <f t="shared" si="0"/>
        <v>200831</v>
      </c>
      <c r="E397" s="22">
        <f t="shared" si="5"/>
        <v>4.4586120000000005</v>
      </c>
      <c r="F397" s="9">
        <v>0</v>
      </c>
      <c r="G397" s="14">
        <f t="shared" si="1"/>
        <v>99.042049644746683</v>
      </c>
      <c r="H397" s="24">
        <f t="shared" si="6"/>
        <v>-10360.753552533168</v>
      </c>
      <c r="I397" s="20">
        <f t="shared" si="2"/>
        <v>26120.224708336435</v>
      </c>
      <c r="J397" s="17">
        <f t="shared" si="7"/>
        <v>2.6120224708336437</v>
      </c>
    </row>
    <row r="398" spans="1:10" ht="12" customHeight="1" x14ac:dyDescent="0.3">
      <c r="A398" s="1">
        <f t="shared" si="3"/>
        <v>44075</v>
      </c>
      <c r="B398" s="20">
        <v>69.060773480662988</v>
      </c>
      <c r="C398" s="20">
        <f t="shared" si="4"/>
        <v>36550.039034350266</v>
      </c>
      <c r="D398" s="21" t="str">
        <f t="shared" si="0"/>
        <v>200901</v>
      </c>
      <c r="E398" s="22">
        <f t="shared" si="5"/>
        <v>4.4586120000000005</v>
      </c>
      <c r="F398" s="9">
        <v>0</v>
      </c>
      <c r="G398" s="14">
        <f t="shared" si="1"/>
        <v>99.047105552833429</v>
      </c>
      <c r="H398" s="24">
        <f t="shared" si="6"/>
        <v>-10310.194471665711</v>
      </c>
      <c r="I398" s="20">
        <f t="shared" si="2"/>
        <v>26239.844562684557</v>
      </c>
      <c r="J398" s="17">
        <f t="shared" si="7"/>
        <v>2.6239844562684556</v>
      </c>
    </row>
    <row r="399" spans="1:10" ht="12" customHeight="1" x14ac:dyDescent="0.3">
      <c r="A399" s="1">
        <f t="shared" si="3"/>
        <v>44076</v>
      </c>
      <c r="B399" s="20">
        <v>138.12154696132598</v>
      </c>
      <c r="C399" s="20">
        <f t="shared" si="4"/>
        <v>36619.099807830928</v>
      </c>
      <c r="D399" s="21" t="str">
        <f t="shared" si="0"/>
        <v>200902</v>
      </c>
      <c r="E399" s="22">
        <f t="shared" si="5"/>
        <v>4.4586120000000005</v>
      </c>
      <c r="F399" s="9">
        <v>0</v>
      </c>
      <c r="G399" s="14">
        <f t="shared" si="1"/>
        <v>99.05216436929922</v>
      </c>
      <c r="H399" s="24">
        <f t="shared" si="6"/>
        <v>-10259.606307007802</v>
      </c>
      <c r="I399" s="20">
        <f t="shared" si="2"/>
        <v>26359.493500823126</v>
      </c>
      <c r="J399" s="17">
        <f t="shared" si="7"/>
        <v>2.6359493500823126</v>
      </c>
    </row>
    <row r="400" spans="1:10" ht="12" customHeight="1" x14ac:dyDescent="0.3">
      <c r="A400" s="1">
        <f t="shared" si="3"/>
        <v>44077</v>
      </c>
      <c r="B400" s="20">
        <v>207.18232044198896</v>
      </c>
      <c r="C400" s="20">
        <f t="shared" si="4"/>
        <v>36688.160581311589</v>
      </c>
      <c r="D400" s="21" t="str">
        <f t="shared" si="0"/>
        <v>200903</v>
      </c>
      <c r="E400" s="22">
        <f t="shared" si="5"/>
        <v>4.4586120000000005</v>
      </c>
      <c r="F400" s="9">
        <v>0</v>
      </c>
      <c r="G400" s="14">
        <f t="shared" si="1"/>
        <v>99.057226095201514</v>
      </c>
      <c r="H400" s="24">
        <f t="shared" si="6"/>
        <v>-10208.989047984858</v>
      </c>
      <c r="I400" s="20">
        <f t="shared" si="2"/>
        <v>26479.171533326731</v>
      </c>
      <c r="J400" s="17">
        <f t="shared" si="7"/>
        <v>2.6479171533326733</v>
      </c>
    </row>
    <row r="401" spans="1:10" ht="12" customHeight="1" x14ac:dyDescent="0.3">
      <c r="A401" s="1">
        <f t="shared" si="3"/>
        <v>44078</v>
      </c>
      <c r="B401" s="20">
        <v>276.24309392265195</v>
      </c>
      <c r="C401" s="20">
        <f t="shared" si="4"/>
        <v>36757.221354792251</v>
      </c>
      <c r="D401" s="21" t="str">
        <f t="shared" si="0"/>
        <v>200904</v>
      </c>
      <c r="E401" s="22">
        <f t="shared" si="5"/>
        <v>4.4586120000000005</v>
      </c>
      <c r="F401" s="9">
        <v>0</v>
      </c>
      <c r="G401" s="14">
        <f t="shared" si="1"/>
        <v>99.062290731598239</v>
      </c>
      <c r="H401" s="24">
        <f t="shared" si="6"/>
        <v>-10158.342684017613</v>
      </c>
      <c r="I401" s="20">
        <f t="shared" si="2"/>
        <v>26598.87867077464</v>
      </c>
      <c r="J401" s="17">
        <f t="shared" si="7"/>
        <v>2.6598878670774639</v>
      </c>
    </row>
    <row r="402" spans="1:10" ht="12" customHeight="1" x14ac:dyDescent="0.3">
      <c r="A402" s="1">
        <f t="shared" si="3"/>
        <v>44081</v>
      </c>
      <c r="B402" s="20">
        <v>483.42541436464091</v>
      </c>
      <c r="C402" s="20">
        <f t="shared" si="4"/>
        <v>36964.403675234244</v>
      </c>
      <c r="D402" s="21" t="str">
        <f t="shared" si="0"/>
        <v>200907</v>
      </c>
      <c r="E402" s="22">
        <f t="shared" si="5"/>
        <v>4.4586120000000005</v>
      </c>
      <c r="F402" s="9">
        <v>0</v>
      </c>
      <c r="G402" s="14">
        <f t="shared" si="1"/>
        <v>99.077502114342138</v>
      </c>
      <c r="H402" s="24">
        <f t="shared" si="6"/>
        <v>-10006.228856578617</v>
      </c>
      <c r="I402" s="20">
        <f t="shared" si="2"/>
        <v>26958.174818655629</v>
      </c>
      <c r="J402" s="17">
        <f t="shared" si="7"/>
        <v>2.6958174818655629</v>
      </c>
    </row>
    <row r="403" spans="1:10" ht="12" customHeight="1" x14ac:dyDescent="0.3">
      <c r="A403" s="1">
        <f t="shared" si="3"/>
        <v>44082</v>
      </c>
      <c r="B403" s="20">
        <v>552.4861878453039</v>
      </c>
      <c r="C403" s="20">
        <f t="shared" si="4"/>
        <v>37033.464448714905</v>
      </c>
      <c r="D403" s="21" t="str">
        <f t="shared" si="0"/>
        <v>200908</v>
      </c>
      <c r="E403" s="22">
        <f t="shared" si="5"/>
        <v>4.4586120000000005</v>
      </c>
      <c r="F403" s="9">
        <v>0</v>
      </c>
      <c r="G403" s="14">
        <f t="shared" si="1"/>
        <v>99.0825784033063</v>
      </c>
      <c r="H403" s="24">
        <f t="shared" si="6"/>
        <v>-9955.4659669369976</v>
      </c>
      <c r="I403" s="20">
        <f t="shared" si="2"/>
        <v>27077.998481777908</v>
      </c>
      <c r="J403" s="17">
        <f t="shared" si="7"/>
        <v>2.7077998481777907</v>
      </c>
    </row>
    <row r="404" spans="1:10" ht="12" customHeight="1" x14ac:dyDescent="0.3">
      <c r="A404" s="1">
        <f t="shared" si="3"/>
        <v>44083</v>
      </c>
      <c r="B404" s="20">
        <v>621.54696132596678</v>
      </c>
      <c r="C404" s="20">
        <f t="shared" si="4"/>
        <v>37102.525222195567</v>
      </c>
      <c r="D404" s="21" t="str">
        <f t="shared" si="0"/>
        <v>200909</v>
      </c>
      <c r="E404" s="22">
        <f t="shared" si="5"/>
        <v>4.4586120000000005</v>
      </c>
      <c r="F404" s="9">
        <v>0</v>
      </c>
      <c r="G404" s="14">
        <f t="shared" si="1"/>
        <v>99.087657608062301</v>
      </c>
      <c r="H404" s="24">
        <f t="shared" si="6"/>
        <v>-9904.6739193769899</v>
      </c>
      <c r="I404" s="20">
        <f t="shared" si="2"/>
        <v>27197.851302818577</v>
      </c>
      <c r="J404" s="17">
        <f t="shared" si="7"/>
        <v>2.7197851302818576</v>
      </c>
    </row>
    <row r="405" spans="1:10" ht="12" customHeight="1" x14ac:dyDescent="0.3">
      <c r="A405" s="1">
        <f t="shared" si="3"/>
        <v>44084</v>
      </c>
      <c r="B405" s="20">
        <v>690.60773480662976</v>
      </c>
      <c r="C405" s="20">
        <f t="shared" si="4"/>
        <v>37171.585995676229</v>
      </c>
      <c r="D405" s="21" t="str">
        <f t="shared" si="0"/>
        <v>200910</v>
      </c>
      <c r="E405" s="22">
        <f t="shared" si="5"/>
        <v>4.4586120000000005</v>
      </c>
      <c r="F405" s="9">
        <v>0</v>
      </c>
      <c r="G405" s="14">
        <f t="shared" si="1"/>
        <v>99.092739729671209</v>
      </c>
      <c r="H405" s="24">
        <f t="shared" si="6"/>
        <v>-9853.8527032879138</v>
      </c>
      <c r="I405" s="20">
        <f t="shared" si="2"/>
        <v>27317.733292388315</v>
      </c>
      <c r="J405" s="17">
        <f t="shared" si="7"/>
        <v>2.7317733292388313</v>
      </c>
    </row>
    <row r="406" spans="1:10" ht="12" customHeight="1" x14ac:dyDescent="0.3">
      <c r="A406" s="1">
        <f t="shared" si="3"/>
        <v>44085</v>
      </c>
      <c r="B406" s="20">
        <v>759.66850828729275</v>
      </c>
      <c r="C406" s="20">
        <f t="shared" si="4"/>
        <v>37240.646769156891</v>
      </c>
      <c r="D406" s="21" t="str">
        <f t="shared" si="0"/>
        <v>200911</v>
      </c>
      <c r="E406" s="22">
        <f t="shared" si="5"/>
        <v>4.4586120000000005</v>
      </c>
      <c r="F406" s="9">
        <v>0</v>
      </c>
      <c r="G406" s="14">
        <f t="shared" si="1"/>
        <v>99.097824769194517</v>
      </c>
      <c r="H406" s="24">
        <f t="shared" si="6"/>
        <v>-9803.002308054829</v>
      </c>
      <c r="I406" s="20">
        <f t="shared" si="2"/>
        <v>27437.644461102063</v>
      </c>
      <c r="J406" s="17">
        <f t="shared" si="7"/>
        <v>2.7437644461102062</v>
      </c>
    </row>
    <row r="407" spans="1:10" ht="12" customHeight="1" x14ac:dyDescent="0.3">
      <c r="A407" s="1">
        <f t="shared" si="3"/>
        <v>44088</v>
      </c>
      <c r="B407" s="20">
        <v>966.85082872928183</v>
      </c>
      <c r="C407" s="20">
        <f t="shared" si="4"/>
        <v>37447.829089598883</v>
      </c>
      <c r="D407" s="21" t="str">
        <f t="shared" si="0"/>
        <v>200914</v>
      </c>
      <c r="E407" s="22">
        <f t="shared" si="5"/>
        <v>4.4586120000000005</v>
      </c>
      <c r="F407" s="9">
        <v>0</v>
      </c>
      <c r="G407" s="14">
        <f t="shared" si="1"/>
        <v>99.1130974058741</v>
      </c>
      <c r="H407" s="24">
        <f t="shared" si="6"/>
        <v>-9650.2759412589967</v>
      </c>
      <c r="I407" s="20">
        <f t="shared" si="2"/>
        <v>27797.553148339888</v>
      </c>
      <c r="J407" s="17">
        <f t="shared" si="7"/>
        <v>2.7797553148339889</v>
      </c>
    </row>
    <row r="408" spans="1:10" ht="12" customHeight="1" x14ac:dyDescent="0.3">
      <c r="A408" s="1">
        <f t="shared" si="3"/>
        <v>44089</v>
      </c>
      <c r="B408" s="20">
        <v>1035.9116022099447</v>
      </c>
      <c r="C408" s="20">
        <f t="shared" si="4"/>
        <v>37516.889863079545</v>
      </c>
      <c r="D408" s="21" t="str">
        <f t="shared" si="0"/>
        <v>200915</v>
      </c>
      <c r="E408" s="22">
        <f t="shared" si="5"/>
        <v>4.4586120000000005</v>
      </c>
      <c r="F408" s="9">
        <v>0</v>
      </c>
      <c r="G408" s="14">
        <f t="shared" si="1"/>
        <v>99.118194127680809</v>
      </c>
      <c r="H408" s="24">
        <f t="shared" si="6"/>
        <v>-9599.3087231919108</v>
      </c>
      <c r="I408" s="20">
        <f t="shared" si="2"/>
        <v>27917.581139887632</v>
      </c>
      <c r="J408" s="17">
        <f t="shared" si="7"/>
        <v>2.7917581139887635</v>
      </c>
    </row>
    <row r="409" spans="1:10" ht="12" customHeight="1" x14ac:dyDescent="0.3">
      <c r="A409" s="1">
        <f t="shared" si="3"/>
        <v>44090</v>
      </c>
      <c r="B409" s="20">
        <v>1104.9723756906078</v>
      </c>
      <c r="C409" s="20">
        <f t="shared" si="4"/>
        <v>37585.950636560206</v>
      </c>
      <c r="D409" s="21" t="str">
        <f t="shared" si="0"/>
        <v>200916</v>
      </c>
      <c r="E409" s="22">
        <f t="shared" si="5"/>
        <v>4.4586120000000005</v>
      </c>
      <c r="F409" s="9">
        <v>0</v>
      </c>
      <c r="G409" s="14">
        <f t="shared" si="1"/>
        <v>99.123293772717346</v>
      </c>
      <c r="H409" s="24">
        <f t="shared" si="6"/>
        <v>-9548.3122728265353</v>
      </c>
      <c r="I409" s="20">
        <f t="shared" si="2"/>
        <v>28037.638363733669</v>
      </c>
      <c r="J409" s="17">
        <f t="shared" si="7"/>
        <v>2.803763836373367</v>
      </c>
    </row>
    <row r="410" spans="1:10" ht="12" customHeight="1" x14ac:dyDescent="0.3">
      <c r="A410" s="1">
        <f t="shared" si="3"/>
        <v>44091</v>
      </c>
      <c r="B410" s="20">
        <v>1174.0331491712707</v>
      </c>
      <c r="C410" s="20">
        <f t="shared" si="4"/>
        <v>37655.011410040868</v>
      </c>
      <c r="D410" s="21" t="str">
        <f t="shared" si="0"/>
        <v>200917</v>
      </c>
      <c r="E410" s="22">
        <f t="shared" si="5"/>
        <v>4.4586120000000005</v>
      </c>
      <c r="F410" s="9">
        <v>0</v>
      </c>
      <c r="G410" s="14">
        <f t="shared" si="1"/>
        <v>99.128396342048418</v>
      </c>
      <c r="H410" s="24">
        <f t="shared" si="6"/>
        <v>-9497.2865795158159</v>
      </c>
      <c r="I410" s="20">
        <f t="shared" si="2"/>
        <v>28157.724830525054</v>
      </c>
      <c r="J410" s="17">
        <f t="shared" si="7"/>
        <v>2.8157724830525055</v>
      </c>
    </row>
    <row r="411" spans="1:10" ht="12" customHeight="1" x14ac:dyDescent="0.3">
      <c r="A411" s="1">
        <f t="shared" si="3"/>
        <v>44092</v>
      </c>
      <c r="B411" s="20">
        <v>1243.0939226519336</v>
      </c>
      <c r="C411" s="20">
        <f t="shared" si="4"/>
        <v>37724.07218352153</v>
      </c>
      <c r="D411" s="21" t="str">
        <f t="shared" si="0"/>
        <v>200918</v>
      </c>
      <c r="E411" s="22">
        <f t="shared" si="5"/>
        <v>4.4586120000000005</v>
      </c>
      <c r="F411" s="9">
        <v>0</v>
      </c>
      <c r="G411" s="14">
        <f t="shared" si="1"/>
        <v>99.133501836739129</v>
      </c>
      <c r="H411" s="24">
        <f t="shared" si="6"/>
        <v>-9446.2316326087148</v>
      </c>
      <c r="I411" s="20">
        <f t="shared" si="2"/>
        <v>28277.840550912813</v>
      </c>
      <c r="J411" s="17">
        <f t="shared" si="7"/>
        <v>2.8277840550912812</v>
      </c>
    </row>
    <row r="412" spans="1:10" ht="12" customHeight="1" x14ac:dyDescent="0.3">
      <c r="A412" s="1">
        <f t="shared" si="3"/>
        <v>44095</v>
      </c>
      <c r="B412" s="20">
        <v>1450.2762430939226</v>
      </c>
      <c r="C412" s="20">
        <f t="shared" si="4"/>
        <v>37931.254503963522</v>
      </c>
      <c r="D412" s="21" t="str">
        <f t="shared" si="0"/>
        <v>200921</v>
      </c>
      <c r="E412" s="22">
        <f t="shared" si="5"/>
        <v>4.4586120000000005</v>
      </c>
      <c r="F412" s="9">
        <v>0</v>
      </c>
      <c r="G412" s="14">
        <f t="shared" si="1"/>
        <v>99.148835883628408</v>
      </c>
      <c r="H412" s="24">
        <f t="shared" si="6"/>
        <v>-9292.8911637159217</v>
      </c>
      <c r="I412" s="20">
        <f t="shared" si="2"/>
        <v>28638.363340247601</v>
      </c>
      <c r="J412" s="17">
        <f t="shared" si="7"/>
        <v>2.8638363340247599</v>
      </c>
    </row>
    <row r="413" spans="1:10" ht="12" customHeight="1" x14ac:dyDescent="0.3">
      <c r="A413" s="1">
        <f t="shared" si="3"/>
        <v>44096</v>
      </c>
      <c r="B413" s="20">
        <v>1519.3370165745855</v>
      </c>
      <c r="C413" s="20">
        <f t="shared" si="4"/>
        <v>38000.315277444184</v>
      </c>
      <c r="D413" s="21" t="str">
        <f t="shared" si="0"/>
        <v>200922</v>
      </c>
      <c r="E413" s="22">
        <f t="shared" si="5"/>
        <v>4.4586120000000005</v>
      </c>
      <c r="F413" s="9">
        <v>0</v>
      </c>
      <c r="G413" s="14">
        <f t="shared" si="1"/>
        <v>99.153953090419606</v>
      </c>
      <c r="H413" s="24">
        <f t="shared" si="6"/>
        <v>-9241.7190958039446</v>
      </c>
      <c r="I413" s="20">
        <f t="shared" si="2"/>
        <v>28758.596181640241</v>
      </c>
      <c r="J413" s="17">
        <f t="shared" si="7"/>
        <v>2.8758596181640241</v>
      </c>
    </row>
    <row r="414" spans="1:10" ht="12" customHeight="1" x14ac:dyDescent="0.3">
      <c r="A414" s="1">
        <f t="shared" si="3"/>
        <v>44097</v>
      </c>
      <c r="B414" s="20">
        <v>1588.3977900552488</v>
      </c>
      <c r="C414" s="20">
        <f t="shared" si="4"/>
        <v>38069.376050924846</v>
      </c>
      <c r="D414" s="21" t="str">
        <f t="shared" si="0"/>
        <v>200923</v>
      </c>
      <c r="E414" s="22">
        <f t="shared" si="5"/>
        <v>4.4586120000000005</v>
      </c>
      <c r="F414" s="9">
        <v>0</v>
      </c>
      <c r="G414" s="14">
        <f t="shared" si="1"/>
        <v>99.159073227903932</v>
      </c>
      <c r="H414" s="24">
        <f t="shared" si="6"/>
        <v>-9190.5177209606845</v>
      </c>
      <c r="I414" s="20">
        <f t="shared" si="2"/>
        <v>28878.858329964161</v>
      </c>
      <c r="J414" s="17">
        <f t="shared" si="7"/>
        <v>2.8878858329964161</v>
      </c>
    </row>
    <row r="415" spans="1:10" ht="12" customHeight="1" x14ac:dyDescent="0.3">
      <c r="A415" s="1">
        <f t="shared" si="3"/>
        <v>44098</v>
      </c>
      <c r="B415" s="20">
        <v>1657.4585635359117</v>
      </c>
      <c r="C415" s="20">
        <f t="shared" si="4"/>
        <v>38138.436824405508</v>
      </c>
      <c r="D415" s="21" t="str">
        <f t="shared" si="0"/>
        <v>200924</v>
      </c>
      <c r="E415" s="22">
        <f t="shared" si="5"/>
        <v>4.4586120000000005</v>
      </c>
      <c r="F415" s="9">
        <v>0</v>
      </c>
      <c r="G415" s="14">
        <f t="shared" si="1"/>
        <v>99.164196297149743</v>
      </c>
      <c r="H415" s="24">
        <f t="shared" si="6"/>
        <v>-9139.2870285025638</v>
      </c>
      <c r="I415" s="20">
        <f t="shared" si="2"/>
        <v>28999.149795902944</v>
      </c>
      <c r="J415" s="17">
        <f t="shared" si="7"/>
        <v>2.8999149795902941</v>
      </c>
    </row>
    <row r="416" spans="1:10" ht="12" customHeight="1" x14ac:dyDescent="0.3">
      <c r="A416" s="1">
        <f t="shared" si="3"/>
        <v>44099</v>
      </c>
      <c r="B416" s="20">
        <v>1726.5193370165746</v>
      </c>
      <c r="C416" s="20">
        <f t="shared" si="4"/>
        <v>38207.497597886169</v>
      </c>
      <c r="D416" s="21" t="str">
        <f t="shared" si="0"/>
        <v>200925</v>
      </c>
      <c r="E416" s="22">
        <f t="shared" si="5"/>
        <v>4.4586120000000005</v>
      </c>
      <c r="F416" s="9">
        <v>0</v>
      </c>
      <c r="G416" s="14">
        <f t="shared" si="1"/>
        <v>99.169322299225783</v>
      </c>
      <c r="H416" s="24">
        <f t="shared" si="6"/>
        <v>-9088.0270077421701</v>
      </c>
      <c r="I416" s="20">
        <f t="shared" si="2"/>
        <v>29119.470590143999</v>
      </c>
      <c r="J416" s="17">
        <f t="shared" si="7"/>
        <v>2.9119470590143997</v>
      </c>
    </row>
    <row r="417" spans="1:10" ht="12" customHeight="1" x14ac:dyDescent="0.3">
      <c r="A417" s="1">
        <f t="shared" si="3"/>
        <v>44102</v>
      </c>
      <c r="B417" s="20">
        <v>1933.7016574585637</v>
      </c>
      <c r="C417" s="20">
        <f t="shared" si="4"/>
        <v>38414.679918328162</v>
      </c>
      <c r="D417" s="21" t="str">
        <f t="shared" si="0"/>
        <v>200928</v>
      </c>
      <c r="E417" s="22">
        <f t="shared" si="5"/>
        <v>4.4586120000000005</v>
      </c>
      <c r="F417" s="9">
        <v>0</v>
      </c>
      <c r="G417" s="14">
        <f t="shared" si="1"/>
        <v>99.184717913130839</v>
      </c>
      <c r="H417" s="24">
        <f t="shared" si="6"/>
        <v>-8934.0708686916059</v>
      </c>
      <c r="I417" s="20">
        <f t="shared" si="2"/>
        <v>29480.609049636558</v>
      </c>
      <c r="J417" s="17">
        <f t="shared" si="7"/>
        <v>2.9480609049636555</v>
      </c>
    </row>
    <row r="418" spans="1:10" ht="12" customHeight="1" x14ac:dyDescent="0.3">
      <c r="A418" s="1">
        <f t="shared" si="3"/>
        <v>44103</v>
      </c>
      <c r="B418" s="20">
        <v>2002.7624309392268</v>
      </c>
      <c r="C418" s="20">
        <f t="shared" si="4"/>
        <v>38483.740691808824</v>
      </c>
      <c r="D418" s="21" t="str">
        <f t="shared" si="0"/>
        <v>200929</v>
      </c>
      <c r="E418" s="22">
        <f t="shared" si="5"/>
        <v>4.4586120000000005</v>
      </c>
      <c r="F418" s="9">
        <v>0</v>
      </c>
      <c r="G418" s="14">
        <f t="shared" si="1"/>
        <v>99.189855657225991</v>
      </c>
      <c r="H418" s="24">
        <f t="shared" si="6"/>
        <v>-8882.6934277400942</v>
      </c>
      <c r="I418" s="20">
        <f t="shared" si="2"/>
        <v>29601.047264068729</v>
      </c>
      <c r="J418" s="17">
        <f t="shared" si="7"/>
        <v>2.9601047264068732</v>
      </c>
    </row>
    <row r="419" spans="1:10" ht="12" customHeight="1" x14ac:dyDescent="0.3">
      <c r="A419" s="1">
        <f t="shared" si="3"/>
        <v>44104</v>
      </c>
      <c r="B419" s="20">
        <v>2071.8232044198894</v>
      </c>
      <c r="C419" s="20">
        <f t="shared" si="4"/>
        <v>38552.801465289485</v>
      </c>
      <c r="D419" s="21" t="str">
        <f t="shared" si="0"/>
        <v>200930</v>
      </c>
      <c r="E419" s="22">
        <f t="shared" si="5"/>
        <v>4.4586120000000005</v>
      </c>
      <c r="F419" s="9">
        <v>0</v>
      </c>
      <c r="G419" s="14">
        <f t="shared" si="1"/>
        <v>99.194996339503064</v>
      </c>
      <c r="H419" s="24">
        <f t="shared" si="6"/>
        <v>-8831.2866049693639</v>
      </c>
      <c r="I419" s="20">
        <f t="shared" si="2"/>
        <v>29721.514860320123</v>
      </c>
      <c r="J419" s="17">
        <f t="shared" si="7"/>
        <v>2.9721514860320122</v>
      </c>
    </row>
    <row r="420" spans="1:10" ht="12" customHeight="1" x14ac:dyDescent="0.3">
      <c r="A420" s="1">
        <f t="shared" si="3"/>
        <v>44105</v>
      </c>
      <c r="B420" s="20">
        <v>2140.8839779005525</v>
      </c>
      <c r="C420" s="20">
        <f t="shared" si="4"/>
        <v>38621.862238770147</v>
      </c>
      <c r="D420" s="21" t="str">
        <f t="shared" si="0"/>
        <v>201001</v>
      </c>
      <c r="E420" s="22">
        <f t="shared" si="5"/>
        <v>4.4586120000000005</v>
      </c>
      <c r="F420" s="9">
        <v>0</v>
      </c>
      <c r="G420" s="14">
        <f t="shared" si="1"/>
        <v>99.200139961033997</v>
      </c>
      <c r="H420" s="24">
        <f t="shared" si="6"/>
        <v>-8779.8503896600268</v>
      </c>
      <c r="I420" s="20">
        <f t="shared" si="2"/>
        <v>29842.01184911012</v>
      </c>
      <c r="J420" s="17">
        <f t="shared" si="7"/>
        <v>2.9842011849110119</v>
      </c>
    </row>
    <row r="421" spans="1:10" ht="12" customHeight="1" x14ac:dyDescent="0.3">
      <c r="A421" s="1">
        <f t="shared" si="3"/>
        <v>44106</v>
      </c>
      <c r="B421" s="20">
        <v>2209.9447513812156</v>
      </c>
      <c r="C421" s="20">
        <f t="shared" si="4"/>
        <v>38690.923012250809</v>
      </c>
      <c r="D421" s="21" t="str">
        <f t="shared" si="0"/>
        <v>201002</v>
      </c>
      <c r="E421" s="22">
        <f t="shared" si="5"/>
        <v>4.4586120000000005</v>
      </c>
      <c r="F421" s="9">
        <v>0</v>
      </c>
      <c r="G421" s="14">
        <f t="shared" si="1"/>
        <v>99.205286522891171</v>
      </c>
      <c r="H421" s="24">
        <f t="shared" si="6"/>
        <v>-8728.3847710882874</v>
      </c>
      <c r="I421" s="20">
        <f t="shared" si="2"/>
        <v>29962.538241162521</v>
      </c>
      <c r="J421" s="17">
        <f t="shared" si="7"/>
        <v>2.996253824116252</v>
      </c>
    </row>
    <row r="422" spans="1:10" ht="12" customHeight="1" x14ac:dyDescent="0.3">
      <c r="A422" s="1">
        <f t="shared" si="3"/>
        <v>44109</v>
      </c>
      <c r="B422" s="20">
        <v>2417.1270718232049</v>
      </c>
      <c r="C422" s="20">
        <f t="shared" si="4"/>
        <v>38898.105332692801</v>
      </c>
      <c r="D422" s="21" t="str">
        <f t="shared" si="0"/>
        <v>201005</v>
      </c>
      <c r="E422" s="22">
        <f t="shared" si="5"/>
        <v>4.4586120000000005</v>
      </c>
      <c r="F422" s="9">
        <v>0</v>
      </c>
      <c r="G422" s="14">
        <f t="shared" si="1"/>
        <v>99.220743861152386</v>
      </c>
      <c r="H422" s="24">
        <f t="shared" si="6"/>
        <v>-8573.811388476146</v>
      </c>
      <c r="I422" s="20">
        <f t="shared" si="2"/>
        <v>30324.293944216653</v>
      </c>
      <c r="J422" s="17">
        <f t="shared" si="7"/>
        <v>3.0324293944216656</v>
      </c>
    </row>
    <row r="423" spans="1:10" ht="12" customHeight="1" x14ac:dyDescent="0.3">
      <c r="A423" s="1">
        <f t="shared" si="3"/>
        <v>44110</v>
      </c>
      <c r="B423" s="20">
        <v>2486.1878453038671</v>
      </c>
      <c r="C423" s="20">
        <f t="shared" si="4"/>
        <v>38967.166106173463</v>
      </c>
      <c r="D423" s="21" t="str">
        <f t="shared" si="0"/>
        <v>201006</v>
      </c>
      <c r="E423" s="22">
        <f t="shared" si="5"/>
        <v>4.4586120000000005</v>
      </c>
      <c r="F423" s="9">
        <v>0</v>
      </c>
      <c r="G423" s="14">
        <f t="shared" si="1"/>
        <v>99.225902195049315</v>
      </c>
      <c r="H423" s="24">
        <f t="shared" si="6"/>
        <v>-8522.2280495068499</v>
      </c>
      <c r="I423" s="20">
        <f t="shared" si="2"/>
        <v>30444.938056666615</v>
      </c>
      <c r="J423" s="17">
        <f t="shared" si="7"/>
        <v>3.0444938056666615</v>
      </c>
    </row>
    <row r="424" spans="1:10" ht="12" customHeight="1" x14ac:dyDescent="0.3">
      <c r="A424" s="1">
        <f t="shared" si="3"/>
        <v>44111</v>
      </c>
      <c r="B424" s="20">
        <v>2555.2486187845302</v>
      </c>
      <c r="C424" s="20">
        <f t="shared" si="4"/>
        <v>39036.226879654125</v>
      </c>
      <c r="D424" s="21" t="str">
        <f t="shared" si="0"/>
        <v>201007</v>
      </c>
      <c r="E424" s="22">
        <f t="shared" si="5"/>
        <v>4.4586120000000005</v>
      </c>
      <c r="F424" s="9">
        <v>0</v>
      </c>
      <c r="G424" s="14">
        <f t="shared" si="1"/>
        <v>99.231063474642454</v>
      </c>
      <c r="H424" s="24">
        <f t="shared" si="6"/>
        <v>-8470.6152535754591</v>
      </c>
      <c r="I424" s="20">
        <f t="shared" si="2"/>
        <v>30565.611626078666</v>
      </c>
      <c r="J424" s="17">
        <f t="shared" si="7"/>
        <v>3.0565611626078666</v>
      </c>
    </row>
    <row r="425" spans="1:10" ht="12" customHeight="1" x14ac:dyDescent="0.3">
      <c r="A425" s="1">
        <f t="shared" si="3"/>
        <v>44112</v>
      </c>
      <c r="B425" s="20">
        <v>2624.3093922651933</v>
      </c>
      <c r="C425" s="20">
        <f t="shared" si="4"/>
        <v>39105.287653134787</v>
      </c>
      <c r="D425" s="21" t="str">
        <f t="shared" si="0"/>
        <v>201008</v>
      </c>
      <c r="E425" s="22">
        <f t="shared" si="5"/>
        <v>4.4586120000000005</v>
      </c>
      <c r="F425" s="9">
        <v>0</v>
      </c>
      <c r="G425" s="14">
        <f t="shared" si="1"/>
        <v>99.236227701007408</v>
      </c>
      <c r="H425" s="24">
        <f t="shared" si="6"/>
        <v>-8418.9729899259182</v>
      </c>
      <c r="I425" s="20">
        <f t="shared" si="2"/>
        <v>30686.314663208868</v>
      </c>
      <c r="J425" s="17">
        <f t="shared" si="7"/>
        <v>3.0686314663208867</v>
      </c>
    </row>
    <row r="426" spans="1:10" ht="12" customHeight="1" x14ac:dyDescent="0.3">
      <c r="A426" s="1">
        <f t="shared" si="3"/>
        <v>44113</v>
      </c>
      <c r="B426" s="20">
        <v>2693.3701657458564</v>
      </c>
      <c r="C426" s="20">
        <f t="shared" si="4"/>
        <v>39174.348426615448</v>
      </c>
      <c r="D426" s="21" t="str">
        <f t="shared" si="0"/>
        <v>201009</v>
      </c>
      <c r="E426" s="22">
        <f t="shared" si="5"/>
        <v>4.4586120000000005</v>
      </c>
      <c r="F426" s="9">
        <v>0</v>
      </c>
      <c r="G426" s="14">
        <f t="shared" si="1"/>
        <v>99.241394875220209</v>
      </c>
      <c r="H426" s="24">
        <f t="shared" si="6"/>
        <v>-8367.3012477979119</v>
      </c>
      <c r="I426" s="20">
        <f t="shared" si="2"/>
        <v>30807.047178817535</v>
      </c>
      <c r="J426" s="17">
        <f t="shared" si="7"/>
        <v>3.0807047178817535</v>
      </c>
    </row>
    <row r="427" spans="1:10" ht="12" customHeight="1" x14ac:dyDescent="0.3">
      <c r="A427" s="1">
        <f t="shared" si="3"/>
        <v>44116</v>
      </c>
      <c r="B427" s="20">
        <v>2900.5524861878453</v>
      </c>
      <c r="C427" s="20">
        <f t="shared" si="4"/>
        <v>39381.530747057433</v>
      </c>
      <c r="D427" s="21" t="str">
        <f t="shared" si="0"/>
        <v>201012</v>
      </c>
      <c r="E427" s="22">
        <f t="shared" si="5"/>
        <v>4.4586120000000005</v>
      </c>
      <c r="F427" s="9">
        <v>0</v>
      </c>
      <c r="G427" s="14">
        <f t="shared" si="1"/>
        <v>99.256914095714535</v>
      </c>
      <c r="H427" s="24">
        <f t="shared" si="6"/>
        <v>-8212.1090428546486</v>
      </c>
      <c r="I427" s="20">
        <f t="shared" si="2"/>
        <v>31169.421704202785</v>
      </c>
      <c r="J427" s="17">
        <f t="shared" si="7"/>
        <v>3.1169421704202787</v>
      </c>
    </row>
    <row r="428" spans="1:10" ht="12" customHeight="1" x14ac:dyDescent="0.3">
      <c r="A428" s="1">
        <f t="shared" si="3"/>
        <v>44117</v>
      </c>
      <c r="B428" s="20">
        <v>2969.6132596685079</v>
      </c>
      <c r="C428" s="20">
        <f t="shared" si="4"/>
        <v>39450.591520538095</v>
      </c>
      <c r="D428" s="21" t="str">
        <f t="shared" si="0"/>
        <v>201013</v>
      </c>
      <c r="E428" s="22">
        <f t="shared" si="5"/>
        <v>4.4586120000000005</v>
      </c>
      <c r="F428" s="9">
        <v>0</v>
      </c>
      <c r="G428" s="14">
        <f t="shared" si="1"/>
        <v>99.262093072090124</v>
      </c>
      <c r="H428" s="24">
        <f t="shared" si="6"/>
        <v>-8160.3192790987578</v>
      </c>
      <c r="I428" s="20">
        <f t="shared" si="2"/>
        <v>31290.272241439336</v>
      </c>
      <c r="J428" s="17">
        <f t="shared" si="7"/>
        <v>3.1290272241439334</v>
      </c>
    </row>
    <row r="429" spans="1:10" ht="12" customHeight="1" x14ac:dyDescent="0.3">
      <c r="A429" s="1">
        <f t="shared" si="3"/>
        <v>44118</v>
      </c>
      <c r="B429" s="20">
        <v>3038.674033149171</v>
      </c>
      <c r="C429" s="20">
        <f t="shared" si="4"/>
        <v>39519.652294018757</v>
      </c>
      <c r="D429" s="21" t="str">
        <f t="shared" si="0"/>
        <v>201014</v>
      </c>
      <c r="E429" s="22">
        <f t="shared" si="5"/>
        <v>4.4586120000000005</v>
      </c>
      <c r="F429" s="9">
        <v>0</v>
      </c>
      <c r="G429" s="14">
        <f t="shared" si="1"/>
        <v>99.267275001701904</v>
      </c>
      <c r="H429" s="24">
        <f t="shared" si="6"/>
        <v>-8108.4999829809585</v>
      </c>
      <c r="I429" s="20">
        <f t="shared" si="2"/>
        <v>31411.152311037797</v>
      </c>
      <c r="J429" s="17">
        <f t="shared" si="7"/>
        <v>3.1411152311037798</v>
      </c>
    </row>
    <row r="430" spans="1:10" ht="12" customHeight="1" x14ac:dyDescent="0.3">
      <c r="A430" s="1">
        <f t="shared" si="3"/>
        <v>44119</v>
      </c>
      <c r="B430" s="20">
        <v>3107.7348066298346</v>
      </c>
      <c r="C430" s="20">
        <f t="shared" si="4"/>
        <v>39588.713067499419</v>
      </c>
      <c r="D430" s="21" t="str">
        <f t="shared" si="0"/>
        <v>201015</v>
      </c>
      <c r="E430" s="22">
        <f t="shared" si="5"/>
        <v>4.4586120000000005</v>
      </c>
      <c r="F430" s="9">
        <v>0</v>
      </c>
      <c r="G430" s="14">
        <f t="shared" si="1"/>
        <v>99.272459885629061</v>
      </c>
      <c r="H430" s="24">
        <f t="shared" si="6"/>
        <v>-8056.6511437093877</v>
      </c>
      <c r="I430" s="20">
        <f t="shared" si="2"/>
        <v>31532.061923790032</v>
      </c>
      <c r="J430" s="17">
        <f t="shared" si="7"/>
        <v>3.1532061923790029</v>
      </c>
    </row>
    <row r="431" spans="1:10" ht="12" customHeight="1" x14ac:dyDescent="0.3">
      <c r="A431" s="1">
        <f t="shared" si="3"/>
        <v>44120</v>
      </c>
      <c r="B431" s="20">
        <v>3176.7955801104977</v>
      </c>
      <c r="C431" s="20">
        <f t="shared" si="4"/>
        <v>39657.77384098008</v>
      </c>
      <c r="D431" s="21" t="str">
        <f t="shared" si="0"/>
        <v>201016</v>
      </c>
      <c r="E431" s="22">
        <f t="shared" si="5"/>
        <v>4.4586120000000005</v>
      </c>
      <c r="F431" s="9">
        <v>0</v>
      </c>
      <c r="G431" s="14">
        <f t="shared" si="1"/>
        <v>99.277647724951379</v>
      </c>
      <c r="H431" s="24">
        <f t="shared" si="6"/>
        <v>-8004.7727504862114</v>
      </c>
      <c r="I431" s="20">
        <f t="shared" si="2"/>
        <v>31653.001090493868</v>
      </c>
      <c r="J431" s="17">
        <f t="shared" si="7"/>
        <v>3.1653001090493871</v>
      </c>
    </row>
    <row r="432" spans="1:10" ht="12" customHeight="1" x14ac:dyDescent="0.3">
      <c r="A432" s="1">
        <f t="shared" si="3"/>
        <v>44123</v>
      </c>
      <c r="B432" s="20">
        <v>3383.9779005524861</v>
      </c>
      <c r="C432" s="20">
        <f t="shared" si="4"/>
        <v>39864.956161422066</v>
      </c>
      <c r="D432" s="21" t="str">
        <f t="shared" si="0"/>
        <v>201019</v>
      </c>
      <c r="E432" s="22">
        <f t="shared" si="5"/>
        <v>4.4586120000000005</v>
      </c>
      <c r="F432" s="9">
        <v>0</v>
      </c>
      <c r="G432" s="14">
        <f t="shared" si="1"/>
        <v>99.293228986094675</v>
      </c>
      <c r="H432" s="24">
        <f t="shared" si="6"/>
        <v>-7848.9601390532471</v>
      </c>
      <c r="I432" s="20">
        <f t="shared" si="2"/>
        <v>32015.996022368818</v>
      </c>
      <c r="J432" s="17">
        <f t="shared" si="7"/>
        <v>3.201599602236882</v>
      </c>
    </row>
    <row r="433" spans="1:10" ht="12" customHeight="1" x14ac:dyDescent="0.3">
      <c r="A433" s="1">
        <f t="shared" si="3"/>
        <v>44124</v>
      </c>
      <c r="B433" s="20">
        <v>3453.0386740331492</v>
      </c>
      <c r="C433" s="20">
        <f t="shared" si="4"/>
        <v>39934.016934902727</v>
      </c>
      <c r="D433" s="21" t="str">
        <f t="shared" si="0"/>
        <v>201020</v>
      </c>
      <c r="E433" s="22">
        <f t="shared" si="5"/>
        <v>4.4586120000000005</v>
      </c>
      <c r="F433" s="9">
        <v>0</v>
      </c>
      <c r="G433" s="14">
        <f t="shared" si="1"/>
        <v>99.298428657805673</v>
      </c>
      <c r="H433" s="24">
        <f t="shared" si="6"/>
        <v>-7796.9634219432746</v>
      </c>
      <c r="I433" s="20">
        <f t="shared" si="2"/>
        <v>32137.053512959454</v>
      </c>
      <c r="J433" s="17">
        <f t="shared" si="7"/>
        <v>3.2137053512959453</v>
      </c>
    </row>
    <row r="434" spans="1:10" ht="12" customHeight="1" x14ac:dyDescent="0.3">
      <c r="A434" s="1">
        <f t="shared" si="3"/>
        <v>44125</v>
      </c>
      <c r="B434" s="20">
        <v>3522.0994475138123</v>
      </c>
      <c r="C434" s="20">
        <f t="shared" si="4"/>
        <v>40003.077708383389</v>
      </c>
      <c r="D434" s="21" t="str">
        <f t="shared" si="0"/>
        <v>201021</v>
      </c>
      <c r="E434" s="22">
        <f t="shared" si="5"/>
        <v>4.4586120000000005</v>
      </c>
      <c r="F434" s="9">
        <v>0</v>
      </c>
      <c r="G434" s="14">
        <f t="shared" si="1"/>
        <v>99.303631290318549</v>
      </c>
      <c r="H434" s="24">
        <f t="shared" si="6"/>
        <v>-7744.9370968145113</v>
      </c>
      <c r="I434" s="20">
        <f t="shared" si="2"/>
        <v>32258.140611568877</v>
      </c>
      <c r="J434" s="17">
        <f t="shared" si="7"/>
        <v>3.2258140611568877</v>
      </c>
    </row>
    <row r="435" spans="1:10" ht="12" customHeight="1" x14ac:dyDescent="0.3">
      <c r="A435" s="1">
        <f t="shared" si="3"/>
        <v>44126</v>
      </c>
      <c r="B435" s="20">
        <v>3591.1602209944749</v>
      </c>
      <c r="C435" s="20">
        <f t="shared" si="4"/>
        <v>40072.138481864051</v>
      </c>
      <c r="D435" s="21" t="str">
        <f t="shared" si="0"/>
        <v>201022</v>
      </c>
      <c r="E435" s="22">
        <f t="shared" si="5"/>
        <v>4.4586120000000005</v>
      </c>
      <c r="F435" s="9">
        <v>0</v>
      </c>
      <c r="G435" s="14">
        <f t="shared" si="1"/>
        <v>99.308836884716186</v>
      </c>
      <c r="H435" s="24">
        <f t="shared" si="6"/>
        <v>-7692.8811528381402</v>
      </c>
      <c r="I435" s="20">
        <f t="shared" si="2"/>
        <v>32379.25732902591</v>
      </c>
      <c r="J435" s="17">
        <f t="shared" si="7"/>
        <v>3.2379257329025912</v>
      </c>
    </row>
    <row r="436" spans="1:10" ht="12" customHeight="1" x14ac:dyDescent="0.3">
      <c r="A436" s="1">
        <f t="shared" si="3"/>
        <v>44127</v>
      </c>
      <c r="B436" s="20">
        <v>3660.220994475138</v>
      </c>
      <c r="C436" s="20">
        <f t="shared" si="4"/>
        <v>40141.199255344713</v>
      </c>
      <c r="D436" s="21" t="str">
        <f t="shared" si="0"/>
        <v>201023</v>
      </c>
      <c r="E436" s="22">
        <f t="shared" si="5"/>
        <v>4.4586120000000005</v>
      </c>
      <c r="F436" s="9">
        <v>0</v>
      </c>
      <c r="G436" s="14">
        <f t="shared" si="1"/>
        <v>99.314045442082048</v>
      </c>
      <c r="H436" s="24">
        <f t="shared" si="6"/>
        <v>-7640.7955791795239</v>
      </c>
      <c r="I436" s="20">
        <f t="shared" si="2"/>
        <v>32500.403676165188</v>
      </c>
      <c r="J436" s="17">
        <f t="shared" si="7"/>
        <v>3.2500403676165188</v>
      </c>
    </row>
    <row r="437" spans="1:10" ht="12" customHeight="1" x14ac:dyDescent="0.3">
      <c r="A437" s="1">
        <f t="shared" si="3"/>
        <v>44130</v>
      </c>
      <c r="B437" s="20">
        <v>3867.4033149171273</v>
      </c>
      <c r="C437" s="20">
        <f t="shared" si="4"/>
        <v>40348.381575786705</v>
      </c>
      <c r="D437" s="21" t="str">
        <f t="shared" si="0"/>
        <v>201026</v>
      </c>
      <c r="E437" s="22">
        <f t="shared" si="5"/>
        <v>4.4586120000000005</v>
      </c>
      <c r="F437" s="9">
        <v>0</v>
      </c>
      <c r="G437" s="14">
        <f t="shared" si="1"/>
        <v>99.329688902831336</v>
      </c>
      <c r="H437" s="24">
        <f t="shared" si="6"/>
        <v>-7484.3609716866413</v>
      </c>
      <c r="I437" s="20">
        <f t="shared" si="2"/>
        <v>32864.020604100064</v>
      </c>
      <c r="J437" s="17">
        <f t="shared" si="7"/>
        <v>3.2864020604100062</v>
      </c>
    </row>
    <row r="438" spans="1:10" ht="12" customHeight="1" x14ac:dyDescent="0.3">
      <c r="A438" s="1">
        <f t="shared" si="3"/>
        <v>44131</v>
      </c>
      <c r="B438" s="20">
        <v>3936.46408839779</v>
      </c>
      <c r="C438" s="20">
        <f t="shared" si="4"/>
        <v>40417.442349267367</v>
      </c>
      <c r="D438" s="21" t="str">
        <f t="shared" si="0"/>
        <v>201027</v>
      </c>
      <c r="E438" s="22">
        <f t="shared" si="5"/>
        <v>4.4586120000000005</v>
      </c>
      <c r="F438" s="9">
        <v>0</v>
      </c>
      <c r="G438" s="14">
        <f t="shared" si="1"/>
        <v>99.334909322915124</v>
      </c>
      <c r="H438" s="24">
        <f t="shared" si="6"/>
        <v>-7432.1567708487637</v>
      </c>
      <c r="I438" s="20">
        <f t="shared" si="2"/>
        <v>32985.285578418603</v>
      </c>
      <c r="J438" s="17">
        <f t="shared" si="7"/>
        <v>3.2985285578418599</v>
      </c>
    </row>
    <row r="439" spans="1:10" ht="12" customHeight="1" x14ac:dyDescent="0.3">
      <c r="A439" s="1">
        <f t="shared" si="3"/>
        <v>44132</v>
      </c>
      <c r="B439" s="20">
        <v>4005.5248618784535</v>
      </c>
      <c r="C439" s="20">
        <f t="shared" si="4"/>
        <v>40486.503122748029</v>
      </c>
      <c r="D439" s="21" t="str">
        <f t="shared" si="0"/>
        <v>201028</v>
      </c>
      <c r="E439" s="22">
        <f t="shared" si="5"/>
        <v>4.4586120000000005</v>
      </c>
      <c r="F439" s="9">
        <v>0</v>
      </c>
      <c r="G439" s="14">
        <f t="shared" si="1"/>
        <v>99.340132711392314</v>
      </c>
      <c r="H439" s="24">
        <f t="shared" si="6"/>
        <v>-7379.9228860768544</v>
      </c>
      <c r="I439" s="20">
        <f t="shared" si="2"/>
        <v>33106.580236671172</v>
      </c>
      <c r="J439" s="17">
        <f t="shared" si="7"/>
        <v>3.3106580236671173</v>
      </c>
    </row>
    <row r="440" spans="1:10" ht="12" customHeight="1" x14ac:dyDescent="0.3">
      <c r="A440" s="1">
        <f t="shared" si="3"/>
        <v>44133</v>
      </c>
      <c r="B440" s="20">
        <v>4074.5856353591162</v>
      </c>
      <c r="C440" s="20">
        <f t="shared" si="4"/>
        <v>40555.56389622869</v>
      </c>
      <c r="D440" s="21" t="str">
        <f t="shared" si="0"/>
        <v>201029</v>
      </c>
      <c r="E440" s="22">
        <f t="shared" si="5"/>
        <v>4.4586120000000005</v>
      </c>
      <c r="F440" s="9">
        <v>0</v>
      </c>
      <c r="G440" s="14">
        <f t="shared" si="1"/>
        <v>99.345359069349527</v>
      </c>
      <c r="H440" s="24">
        <f t="shared" si="6"/>
        <v>-7327.6593065047273</v>
      </c>
      <c r="I440" s="20">
        <f t="shared" si="2"/>
        <v>33227.904589723963</v>
      </c>
      <c r="J440" s="17">
        <f t="shared" si="7"/>
        <v>3.322790458972396</v>
      </c>
    </row>
    <row r="441" spans="1:10" ht="12" customHeight="1" x14ac:dyDescent="0.3">
      <c r="A441" s="1">
        <f t="shared" si="3"/>
        <v>44134</v>
      </c>
      <c r="B441" s="20">
        <v>4143.6464088397788</v>
      </c>
      <c r="C441" s="20">
        <f t="shared" si="4"/>
        <v>40624.624669709352</v>
      </c>
      <c r="D441" s="21" t="str">
        <f t="shared" si="0"/>
        <v>201030</v>
      </c>
      <c r="E441" s="22">
        <f t="shared" si="5"/>
        <v>4.4586120000000005</v>
      </c>
      <c r="F441" s="9">
        <v>0</v>
      </c>
      <c r="G441" s="14">
        <f t="shared" si="1"/>
        <v>99.350588397873935</v>
      </c>
      <c r="H441" s="24">
        <f t="shared" si="6"/>
        <v>-7275.3660212606519</v>
      </c>
      <c r="I441" s="20">
        <f t="shared" si="2"/>
        <v>33349.258648448696</v>
      </c>
      <c r="J441" s="17">
        <f t="shared" si="7"/>
        <v>3.3349258648448696</v>
      </c>
    </row>
    <row r="442" spans="1:10" ht="12" customHeight="1" x14ac:dyDescent="0.3">
      <c r="A442" s="1">
        <f t="shared" si="3"/>
        <v>44137</v>
      </c>
      <c r="B442" s="20">
        <v>4350.8287292817686</v>
      </c>
      <c r="C442" s="20">
        <f t="shared" si="4"/>
        <v>40831.806990151345</v>
      </c>
      <c r="D442" s="21" t="str">
        <f t="shared" si="0"/>
        <v>201102</v>
      </c>
      <c r="E442" s="22">
        <f t="shared" si="5"/>
        <v>4.4586120000000005</v>
      </c>
      <c r="F442" s="9">
        <v>0</v>
      </c>
      <c r="G442" s="14">
        <f t="shared" si="1"/>
        <v>99.366294217729731</v>
      </c>
      <c r="H442" s="24">
        <f t="shared" si="6"/>
        <v>-7118.3078227026899</v>
      </c>
      <c r="I442" s="20">
        <f t="shared" si="2"/>
        <v>33713.499167448652</v>
      </c>
      <c r="J442" s="17">
        <f t="shared" si="7"/>
        <v>3.3713499167448653</v>
      </c>
    </row>
    <row r="443" spans="1:10" ht="12" customHeight="1" x14ac:dyDescent="0.3">
      <c r="A443" s="1">
        <f t="shared" si="3"/>
        <v>44138</v>
      </c>
      <c r="B443" s="20">
        <v>4419.8895027624312</v>
      </c>
      <c r="C443" s="20">
        <f t="shared" si="4"/>
        <v>40900.867763632006</v>
      </c>
      <c r="D443" s="21" t="str">
        <f t="shared" si="0"/>
        <v>201103</v>
      </c>
      <c r="E443" s="22">
        <f t="shared" si="5"/>
        <v>4.4586120000000005</v>
      </c>
      <c r="F443" s="9">
        <v>0</v>
      </c>
      <c r="G443" s="14">
        <f t="shared" si="1"/>
        <v>99.371535439405008</v>
      </c>
      <c r="H443" s="24">
        <f t="shared" si="6"/>
        <v>-7065.8956059499187</v>
      </c>
      <c r="I443" s="20">
        <f t="shared" si="2"/>
        <v>33834.972157682088</v>
      </c>
      <c r="J443" s="17">
        <f t="shared" si="7"/>
        <v>3.3834972157682088</v>
      </c>
    </row>
    <row r="444" spans="1:10" ht="12" customHeight="1" x14ac:dyDescent="0.3">
      <c r="A444" s="1">
        <f t="shared" si="3"/>
        <v>44139</v>
      </c>
      <c r="B444" s="20">
        <v>4488.9502762430939</v>
      </c>
      <c r="C444" s="20">
        <f t="shared" si="4"/>
        <v>40969.928537112668</v>
      </c>
      <c r="D444" s="21" t="str">
        <f t="shared" si="0"/>
        <v>201104</v>
      </c>
      <c r="E444" s="22">
        <f t="shared" si="5"/>
        <v>4.4586120000000005</v>
      </c>
      <c r="F444" s="9">
        <v>0</v>
      </c>
      <c r="G444" s="14">
        <f t="shared" si="1"/>
        <v>99.376779637091246</v>
      </c>
      <c r="H444" s="24">
        <f t="shared" si="6"/>
        <v>-7013.4536290875358</v>
      </c>
      <c r="I444" s="20">
        <f t="shared" si="2"/>
        <v>33956.474908025135</v>
      </c>
      <c r="J444" s="17">
        <f t="shared" si="7"/>
        <v>3.3956474908025136</v>
      </c>
    </row>
    <row r="445" spans="1:10" ht="12" customHeight="1" x14ac:dyDescent="0.3">
      <c r="A445" s="1">
        <f t="shared" si="3"/>
        <v>44140</v>
      </c>
      <c r="B445" s="20">
        <v>4558.0110497237565</v>
      </c>
      <c r="C445" s="20">
        <f t="shared" si="4"/>
        <v>41038.98931059333</v>
      </c>
      <c r="D445" s="21" t="str">
        <f t="shared" si="0"/>
        <v>201105</v>
      </c>
      <c r="E445" s="22">
        <f t="shared" si="5"/>
        <v>4.4586120000000005</v>
      </c>
      <c r="F445" s="9">
        <v>0</v>
      </c>
      <c r="G445" s="14">
        <f t="shared" si="1"/>
        <v>99.38202681187876</v>
      </c>
      <c r="H445" s="24">
        <f t="shared" si="6"/>
        <v>-6960.9818812124049</v>
      </c>
      <c r="I445" s="20">
        <f t="shared" si="2"/>
        <v>34078.007429380923</v>
      </c>
      <c r="J445" s="17">
        <f t="shared" si="7"/>
        <v>3.4078007429380919</v>
      </c>
    </row>
    <row r="446" spans="1:10" ht="12" customHeight="1" x14ac:dyDescent="0.3">
      <c r="A446" s="1">
        <f t="shared" si="3"/>
        <v>44141</v>
      </c>
      <c r="B446" s="20">
        <v>4627.0718232044201</v>
      </c>
      <c r="C446" s="20">
        <f t="shared" si="4"/>
        <v>41108.050084073991</v>
      </c>
      <c r="D446" s="21" t="str">
        <f t="shared" si="0"/>
        <v>201106</v>
      </c>
      <c r="E446" s="22">
        <f t="shared" si="5"/>
        <v>4.4586120000000005</v>
      </c>
      <c r="F446" s="9">
        <v>0</v>
      </c>
      <c r="G446" s="14">
        <f t="shared" si="1"/>
        <v>99.387276964858415</v>
      </c>
      <c r="H446" s="24">
        <f t="shared" si="6"/>
        <v>-6908.4803514158466</v>
      </c>
      <c r="I446" s="20">
        <f t="shared" si="2"/>
        <v>34199.569732658143</v>
      </c>
      <c r="J446" s="17">
        <f t="shared" si="7"/>
        <v>3.4199569732658142</v>
      </c>
    </row>
    <row r="447" spans="1:10" ht="12" customHeight="1" x14ac:dyDescent="0.3">
      <c r="A447" s="1">
        <f t="shared" si="3"/>
        <v>44144</v>
      </c>
      <c r="B447" s="20">
        <v>4834.2541436464098</v>
      </c>
      <c r="C447" s="20">
        <f t="shared" si="4"/>
        <v>41315.232404515984</v>
      </c>
      <c r="D447" s="21" t="str">
        <f t="shared" si="0"/>
        <v>201109</v>
      </c>
      <c r="E447" s="22">
        <f t="shared" si="5"/>
        <v>4.4586120000000005</v>
      </c>
      <c r="F447" s="9">
        <v>0</v>
      </c>
      <c r="G447" s="14">
        <f t="shared" si="1"/>
        <v>99.403045303867032</v>
      </c>
      <c r="H447" s="24">
        <f t="shared" si="6"/>
        <v>-6750.7969613296846</v>
      </c>
      <c r="I447" s="20">
        <f t="shared" si="2"/>
        <v>34564.435443186303</v>
      </c>
      <c r="J447" s="17">
        <f t="shared" si="7"/>
        <v>3.4564435443186303</v>
      </c>
    </row>
    <row r="448" spans="1:10" ht="12" customHeight="1" x14ac:dyDescent="0.3">
      <c r="A448" s="1">
        <f t="shared" si="3"/>
        <v>44145</v>
      </c>
      <c r="B448" s="20">
        <v>4903.3149171270716</v>
      </c>
      <c r="C448" s="20">
        <f t="shared" si="4"/>
        <v>41384.293177996646</v>
      </c>
      <c r="D448" s="21" t="str">
        <f t="shared" si="0"/>
        <v>201110</v>
      </c>
      <c r="E448" s="22">
        <f t="shared" si="5"/>
        <v>4.4586120000000005</v>
      </c>
      <c r="F448" s="9">
        <v>0</v>
      </c>
      <c r="G448" s="14">
        <f t="shared" si="1"/>
        <v>99.408307380534723</v>
      </c>
      <c r="H448" s="24">
        <f t="shared" si="6"/>
        <v>-6698.176194652774</v>
      </c>
      <c r="I448" s="20">
        <f t="shared" si="2"/>
        <v>34686.116983343869</v>
      </c>
      <c r="J448" s="17">
        <f t="shared" si="7"/>
        <v>3.4686116983343869</v>
      </c>
    </row>
    <row r="449" spans="1:10" ht="12" customHeight="1" x14ac:dyDescent="0.3">
      <c r="A449" s="1">
        <f t="shared" si="3"/>
        <v>44146</v>
      </c>
      <c r="B449" s="20">
        <v>4972.3756906077342</v>
      </c>
      <c r="C449" s="20">
        <f t="shared" si="4"/>
        <v>41453.353951477307</v>
      </c>
      <c r="D449" s="21" t="str">
        <f t="shared" si="0"/>
        <v>201111</v>
      </c>
      <c r="E449" s="22">
        <f t="shared" si="5"/>
        <v>4.4586120000000005</v>
      </c>
      <c r="F449" s="9">
        <v>0</v>
      </c>
      <c r="G449" s="14">
        <f t="shared" si="1"/>
        <v>99.413572440856981</v>
      </c>
      <c r="H449" s="24">
        <f t="shared" si="6"/>
        <v>-6645.5255914301852</v>
      </c>
      <c r="I449" s="20">
        <f t="shared" si="2"/>
        <v>34807.828360047119</v>
      </c>
      <c r="J449" s="17">
        <f t="shared" si="7"/>
        <v>3.4807828360047117</v>
      </c>
    </row>
    <row r="450" spans="1:10" ht="12" customHeight="1" x14ac:dyDescent="0.3">
      <c r="A450" s="1">
        <f t="shared" si="3"/>
        <v>44147</v>
      </c>
      <c r="B450" s="20">
        <v>5041.4364640883978</v>
      </c>
      <c r="C450" s="20">
        <f t="shared" si="4"/>
        <v>41522.414724957969</v>
      </c>
      <c r="D450" s="21" t="str">
        <f t="shared" si="0"/>
        <v>201112</v>
      </c>
      <c r="E450" s="22">
        <f t="shared" si="5"/>
        <v>4.4586120000000005</v>
      </c>
      <c r="F450" s="9">
        <v>0</v>
      </c>
      <c r="G450" s="14">
        <f t="shared" si="1"/>
        <v>99.418840485927845</v>
      </c>
      <c r="H450" s="24">
        <f t="shared" si="6"/>
        <v>-6592.8451407215498</v>
      </c>
      <c r="I450" s="20">
        <f t="shared" si="2"/>
        <v>34929.569584236422</v>
      </c>
      <c r="J450" s="17">
        <f t="shared" si="7"/>
        <v>3.4929569584236422</v>
      </c>
    </row>
    <row r="451" spans="1:10" ht="12" customHeight="1" x14ac:dyDescent="0.3">
      <c r="A451" s="1">
        <f t="shared" si="3"/>
        <v>44148</v>
      </c>
      <c r="B451" s="20">
        <v>5110.4972375690604</v>
      </c>
      <c r="C451" s="20">
        <f t="shared" si="4"/>
        <v>41591.475498438631</v>
      </c>
      <c r="D451" s="21" t="str">
        <f t="shared" si="0"/>
        <v>201113</v>
      </c>
      <c r="E451" s="22">
        <f t="shared" si="5"/>
        <v>4.4586120000000005</v>
      </c>
      <c r="F451" s="9">
        <v>0</v>
      </c>
      <c r="G451" s="14">
        <f t="shared" si="1"/>
        <v>99.424111516841961</v>
      </c>
      <c r="H451" s="24">
        <f t="shared" si="6"/>
        <v>-6540.134831580388</v>
      </c>
      <c r="I451" s="20">
        <f t="shared" si="2"/>
        <v>35051.340666858247</v>
      </c>
      <c r="J451" s="17">
        <f t="shared" si="7"/>
        <v>3.5051340666858248</v>
      </c>
    </row>
    <row r="452" spans="1:10" ht="12" customHeight="1" x14ac:dyDescent="0.3">
      <c r="A452" s="1">
        <f t="shared" si="3"/>
        <v>44151</v>
      </c>
      <c r="B452" s="20">
        <v>5317.6795580110502</v>
      </c>
      <c r="C452" s="20">
        <f t="shared" si="4"/>
        <v>41798.657818880623</v>
      </c>
      <c r="D452" s="21" t="str">
        <f t="shared" si="0"/>
        <v>201116</v>
      </c>
      <c r="E452" s="22">
        <f t="shared" si="5"/>
        <v>4.4586120000000005</v>
      </c>
      <c r="F452" s="9">
        <v>0</v>
      </c>
      <c r="G452" s="14">
        <f t="shared" si="1"/>
        <v>99.439942535597922</v>
      </c>
      <c r="H452" s="24">
        <f t="shared" si="6"/>
        <v>-6381.8246440207822</v>
      </c>
      <c r="I452" s="20">
        <f t="shared" si="2"/>
        <v>35416.833174859843</v>
      </c>
      <c r="J452" s="17">
        <f t="shared" si="7"/>
        <v>3.5416833174859845</v>
      </c>
    </row>
    <row r="453" spans="1:10" ht="12" customHeight="1" x14ac:dyDescent="0.3">
      <c r="A453" s="1">
        <f t="shared" si="3"/>
        <v>44152</v>
      </c>
      <c r="B453" s="20">
        <v>5386.7403314917128</v>
      </c>
      <c r="C453" s="20">
        <f t="shared" si="4"/>
        <v>41867.718592361285</v>
      </c>
      <c r="D453" s="21" t="str">
        <f t="shared" si="0"/>
        <v>201117</v>
      </c>
      <c r="E453" s="22">
        <f t="shared" si="5"/>
        <v>4.4586120000000005</v>
      </c>
      <c r="F453" s="9">
        <v>0</v>
      </c>
      <c r="G453" s="14">
        <f t="shared" si="1"/>
        <v>99.445225520841845</v>
      </c>
      <c r="H453" s="24">
        <f t="shared" si="6"/>
        <v>-6328.9947915815501</v>
      </c>
      <c r="I453" s="20">
        <f t="shared" si="2"/>
        <v>35538.723800779735</v>
      </c>
      <c r="J453" s="17">
        <f t="shared" si="7"/>
        <v>3.5538723800779737</v>
      </c>
    </row>
    <row r="454" spans="1:10" ht="12" customHeight="1" x14ac:dyDescent="0.3">
      <c r="A454" s="1">
        <f t="shared" si="3"/>
        <v>44153</v>
      </c>
      <c r="B454" s="20">
        <v>5455.8011049723755</v>
      </c>
      <c r="C454" s="20">
        <f t="shared" si="4"/>
        <v>41936.779365841947</v>
      </c>
      <c r="D454" s="21" t="str">
        <f t="shared" si="0"/>
        <v>201118</v>
      </c>
      <c r="E454" s="22">
        <f t="shared" si="5"/>
        <v>4.4586120000000005</v>
      </c>
      <c r="F454" s="9">
        <v>0</v>
      </c>
      <c r="G454" s="14">
        <f t="shared" si="1"/>
        <v>99.450511497410147</v>
      </c>
      <c r="H454" s="24">
        <f t="shared" si="6"/>
        <v>-6276.1350258985258</v>
      </c>
      <c r="I454" s="20">
        <f t="shared" si="2"/>
        <v>35660.644339943421</v>
      </c>
      <c r="J454" s="17">
        <f t="shared" si="7"/>
        <v>3.5660644339943417</v>
      </c>
    </row>
    <row r="455" spans="1:10" ht="12" customHeight="1" x14ac:dyDescent="0.3">
      <c r="A455" s="1">
        <f t="shared" si="3"/>
        <v>44154</v>
      </c>
      <c r="B455" s="20">
        <v>5524.8618784530381</v>
      </c>
      <c r="C455" s="20">
        <f t="shared" si="4"/>
        <v>42005.840139322609</v>
      </c>
      <c r="D455" s="21" t="str">
        <f t="shared" si="0"/>
        <v>201119</v>
      </c>
      <c r="E455" s="22">
        <f t="shared" si="5"/>
        <v>4.4586120000000005</v>
      </c>
      <c r="F455" s="9">
        <v>0</v>
      </c>
      <c r="G455" s="14">
        <f t="shared" si="1"/>
        <v>99.455800466400646</v>
      </c>
      <c r="H455" s="24">
        <f t="shared" si="6"/>
        <v>-6223.2453359935389</v>
      </c>
      <c r="I455" s="20">
        <f t="shared" si="2"/>
        <v>35782.59480332907</v>
      </c>
      <c r="J455" s="17">
        <f t="shared" si="7"/>
        <v>3.5782594803329069</v>
      </c>
    </row>
    <row r="456" spans="1:10" ht="12" customHeight="1" x14ac:dyDescent="0.3">
      <c r="A456" s="1">
        <f t="shared" si="3"/>
        <v>44155</v>
      </c>
      <c r="B456" s="20">
        <v>5593.9226519337017</v>
      </c>
      <c r="C456" s="20">
        <f t="shared" si="4"/>
        <v>42074.90091280327</v>
      </c>
      <c r="D456" s="21" t="str">
        <f t="shared" si="0"/>
        <v>201120</v>
      </c>
      <c r="E456" s="22">
        <f t="shared" si="5"/>
        <v>4.4586120000000005</v>
      </c>
      <c r="F456" s="9">
        <v>0</v>
      </c>
      <c r="G456" s="14">
        <f t="shared" si="1"/>
        <v>99.461092428911712</v>
      </c>
      <c r="H456" s="24">
        <f t="shared" si="6"/>
        <v>-6170.3257108828775</v>
      </c>
      <c r="I456" s="20">
        <f t="shared" si="2"/>
        <v>35904.575201920394</v>
      </c>
      <c r="J456" s="17">
        <f t="shared" si="7"/>
        <v>3.590457520192039</v>
      </c>
    </row>
    <row r="457" spans="1:10" ht="12" customHeight="1" x14ac:dyDescent="0.3">
      <c r="A457" s="1">
        <f t="shared" si="3"/>
        <v>44158</v>
      </c>
      <c r="B457" s="20">
        <v>5801.1049723756905</v>
      </c>
      <c r="C457" s="20">
        <f t="shared" si="4"/>
        <v>42282.083233245256</v>
      </c>
      <c r="D457" s="21" t="str">
        <f t="shared" si="0"/>
        <v>201123</v>
      </c>
      <c r="E457" s="22">
        <f t="shared" si="5"/>
        <v>4.4586120000000005</v>
      </c>
      <c r="F457" s="9">
        <v>0</v>
      </c>
      <c r="G457" s="14">
        <f t="shared" si="1"/>
        <v>99.476986288559985</v>
      </c>
      <c r="H457" s="24">
        <f t="shared" si="6"/>
        <v>-6011.3871144001514</v>
      </c>
      <c r="I457" s="20">
        <f t="shared" si="2"/>
        <v>36270.696118845102</v>
      </c>
      <c r="J457" s="17">
        <f t="shared" si="7"/>
        <v>3.6270696118845107</v>
      </c>
    </row>
    <row r="458" spans="1:10" ht="12" customHeight="1" x14ac:dyDescent="0.3">
      <c r="A458" s="1">
        <f t="shared" si="3"/>
        <v>44159</v>
      </c>
      <c r="B458" s="20">
        <v>5870.1657458563532</v>
      </c>
      <c r="C458" s="20">
        <f t="shared" si="4"/>
        <v>42351.144006725917</v>
      </c>
      <c r="D458" s="21" t="str">
        <f t="shared" si="0"/>
        <v>201124</v>
      </c>
      <c r="E458" s="22">
        <f t="shared" si="5"/>
        <v>4.4586120000000005</v>
      </c>
      <c r="F458" s="9">
        <v>0</v>
      </c>
      <c r="G458" s="14">
        <f t="shared" si="1"/>
        <v>99.482290236147719</v>
      </c>
      <c r="H458" s="24">
        <f t="shared" si="6"/>
        <v>-5958.3476385228096</v>
      </c>
      <c r="I458" s="20">
        <f t="shared" si="2"/>
        <v>36392.796368203111</v>
      </c>
      <c r="J458" s="17">
        <f t="shared" si="7"/>
        <v>3.6392796368203113</v>
      </c>
    </row>
    <row r="459" spans="1:10" ht="12" customHeight="1" x14ac:dyDescent="0.3">
      <c r="A459" s="1">
        <f t="shared" si="3"/>
        <v>44160</v>
      </c>
      <c r="B459" s="20">
        <v>5939.2265193370158</v>
      </c>
      <c r="C459" s="20">
        <f t="shared" si="4"/>
        <v>42420.204780206579</v>
      </c>
      <c r="D459" s="21" t="str">
        <f t="shared" si="0"/>
        <v>201125</v>
      </c>
      <c r="E459" s="22">
        <f t="shared" si="5"/>
        <v>4.4586120000000005</v>
      </c>
      <c r="F459" s="9">
        <v>0</v>
      </c>
      <c r="G459" s="14">
        <f t="shared" si="1"/>
        <v>99.487597182755948</v>
      </c>
      <c r="H459" s="24">
        <f t="shared" si="6"/>
        <v>-5905.2781724405186</v>
      </c>
      <c r="I459" s="20">
        <f t="shared" si="2"/>
        <v>36514.926607766058</v>
      </c>
      <c r="J459" s="17">
        <f t="shared" si="7"/>
        <v>3.6514926607766056</v>
      </c>
    </row>
    <row r="460" spans="1:10" ht="12" customHeight="1" x14ac:dyDescent="0.3">
      <c r="A460" s="1">
        <f t="shared" si="3"/>
        <v>44161</v>
      </c>
      <c r="B460" s="20">
        <v>6008.2872928176794</v>
      </c>
      <c r="C460" s="20">
        <f t="shared" si="4"/>
        <v>42489.265553687241</v>
      </c>
      <c r="D460" s="21" t="str">
        <f t="shared" si="0"/>
        <v>201126</v>
      </c>
      <c r="E460" s="22">
        <f t="shared" si="5"/>
        <v>4.4586120000000005</v>
      </c>
      <c r="F460" s="9">
        <v>0</v>
      </c>
      <c r="G460" s="14">
        <f t="shared" si="1"/>
        <v>99.492907129486269</v>
      </c>
      <c r="H460" s="24">
        <f t="shared" si="6"/>
        <v>-5852.1787051373058</v>
      </c>
      <c r="I460" s="20">
        <f t="shared" si="2"/>
        <v>36637.086848549938</v>
      </c>
      <c r="J460" s="17">
        <f t="shared" si="7"/>
        <v>3.6637086848549938</v>
      </c>
    </row>
    <row r="461" spans="1:10" ht="12" customHeight="1" x14ac:dyDescent="0.3">
      <c r="A461" s="1">
        <f t="shared" si="3"/>
        <v>44162</v>
      </c>
      <c r="B461" s="20">
        <v>6077.348066298342</v>
      </c>
      <c r="C461" s="20">
        <f t="shared" si="4"/>
        <v>42558.326327167902</v>
      </c>
      <c r="D461" s="21" t="str">
        <f t="shared" si="0"/>
        <v>201127</v>
      </c>
      <c r="E461" s="22">
        <f t="shared" si="5"/>
        <v>4.4586120000000005</v>
      </c>
      <c r="F461" s="9">
        <v>0</v>
      </c>
      <c r="G461" s="14">
        <f t="shared" si="1"/>
        <v>99.498220077440806</v>
      </c>
      <c r="H461" s="24">
        <f t="shared" si="6"/>
        <v>-5799.0492255919435</v>
      </c>
      <c r="I461" s="20">
        <f t="shared" si="2"/>
        <v>36759.277101575957</v>
      </c>
      <c r="J461" s="17">
        <f t="shared" si="7"/>
        <v>3.6759277101575956</v>
      </c>
    </row>
    <row r="462" spans="1:10" ht="12" customHeight="1" x14ac:dyDescent="0.3">
      <c r="A462" s="1">
        <f t="shared" si="3"/>
        <v>44165</v>
      </c>
      <c r="B462" s="20">
        <v>6284.5303867403327</v>
      </c>
      <c r="C462" s="20">
        <f t="shared" si="4"/>
        <v>42765.508647609895</v>
      </c>
      <c r="D462" s="21" t="str">
        <f t="shared" si="0"/>
        <v>201130</v>
      </c>
      <c r="E462" s="22">
        <f t="shared" si="5"/>
        <v>4.4586120000000005</v>
      </c>
      <c r="F462" s="9">
        <v>0</v>
      </c>
      <c r="G462" s="14">
        <f t="shared" si="1"/>
        <v>99.51417693967926</v>
      </c>
      <c r="H462" s="24">
        <f t="shared" si="6"/>
        <v>-5639.480603207403</v>
      </c>
      <c r="I462" s="20">
        <f t="shared" si="2"/>
        <v>37126.02804440249</v>
      </c>
      <c r="J462" s="17">
        <f t="shared" si="7"/>
        <v>3.7126028044402486</v>
      </c>
    </row>
    <row r="463" spans="1:10" ht="12" customHeight="1" x14ac:dyDescent="0.3">
      <c r="A463" s="1">
        <f t="shared" si="3"/>
        <v>44166</v>
      </c>
      <c r="B463" s="20">
        <v>6353.5911602209953</v>
      </c>
      <c r="C463" s="20">
        <f t="shared" si="4"/>
        <v>42834.569421090557</v>
      </c>
      <c r="D463" s="21" t="str">
        <f t="shared" si="0"/>
        <v>201201</v>
      </c>
      <c r="E463" s="22">
        <f t="shared" si="5"/>
        <v>4.4586120000000005</v>
      </c>
      <c r="F463" s="9">
        <v>0</v>
      </c>
      <c r="G463" s="14">
        <f t="shared" si="1"/>
        <v>99.519501903562869</v>
      </c>
      <c r="H463" s="24">
        <f t="shared" si="6"/>
        <v>-5586.2309643713106</v>
      </c>
      <c r="I463" s="20">
        <f t="shared" si="2"/>
        <v>37248.338456719248</v>
      </c>
      <c r="J463" s="17">
        <f t="shared" si="7"/>
        <v>3.7248338456719243</v>
      </c>
    </row>
    <row r="464" spans="1:10" ht="12" customHeight="1" x14ac:dyDescent="0.3">
      <c r="A464" s="1">
        <f t="shared" si="3"/>
        <v>44167</v>
      </c>
      <c r="B464" s="20">
        <v>6422.651933701658</v>
      </c>
      <c r="C464" s="20">
        <f t="shared" si="4"/>
        <v>42903.630194571218</v>
      </c>
      <c r="D464" s="21" t="str">
        <f t="shared" si="0"/>
        <v>201202</v>
      </c>
      <c r="E464" s="22">
        <f t="shared" si="5"/>
        <v>4.4586120000000005</v>
      </c>
      <c r="F464" s="9">
        <v>0</v>
      </c>
      <c r="G464" s="14">
        <f t="shared" si="1"/>
        <v>99.524829874189535</v>
      </c>
      <c r="H464" s="24">
        <f t="shared" si="6"/>
        <v>-5532.9512581046465</v>
      </c>
      <c r="I464" s="20">
        <f t="shared" si="2"/>
        <v>37370.678936466575</v>
      </c>
      <c r="J464" s="17">
        <f t="shared" si="7"/>
        <v>3.7370678936466577</v>
      </c>
    </row>
    <row r="465" spans="1:10" ht="12" customHeight="1" x14ac:dyDescent="0.3">
      <c r="A465" s="1">
        <f t="shared" si="3"/>
        <v>44168</v>
      </c>
      <c r="B465" s="20">
        <v>6491.7127071823206</v>
      </c>
      <c r="C465" s="20">
        <f t="shared" si="4"/>
        <v>42972.69096805188</v>
      </c>
      <c r="D465" s="21" t="str">
        <f t="shared" si="0"/>
        <v>201203</v>
      </c>
      <c r="E465" s="22">
        <f t="shared" si="5"/>
        <v>4.4586120000000005</v>
      </c>
      <c r="F465" s="9">
        <v>0</v>
      </c>
      <c r="G465" s="14">
        <f t="shared" si="1"/>
        <v>99.530160852664622</v>
      </c>
      <c r="H465" s="24">
        <f t="shared" si="6"/>
        <v>-5479.6414733537795</v>
      </c>
      <c r="I465" s="20">
        <f t="shared" si="2"/>
        <v>37493.049494698098</v>
      </c>
      <c r="J465" s="17">
        <f t="shared" si="7"/>
        <v>3.7493049494698094</v>
      </c>
    </row>
    <row r="466" spans="1:10" ht="12" customHeight="1" x14ac:dyDescent="0.3">
      <c r="A466" s="1">
        <f t="shared" si="3"/>
        <v>44169</v>
      </c>
      <c r="B466" s="20">
        <v>6560.7734806629842</v>
      </c>
      <c r="C466" s="20">
        <f t="shared" si="4"/>
        <v>43041.751741532542</v>
      </c>
      <c r="D466" s="21" t="str">
        <f t="shared" si="0"/>
        <v>201204</v>
      </c>
      <c r="E466" s="22">
        <f t="shared" si="5"/>
        <v>4.4586120000000005</v>
      </c>
      <c r="F466" s="9">
        <v>0</v>
      </c>
      <c r="G466" s="14">
        <f t="shared" si="1"/>
        <v>99.535494840094003</v>
      </c>
      <c r="H466" s="24">
        <f t="shared" si="6"/>
        <v>-5426.3015990599688</v>
      </c>
      <c r="I466" s="20">
        <f t="shared" si="2"/>
        <v>37615.450142472575</v>
      </c>
      <c r="J466" s="17">
        <f t="shared" si="7"/>
        <v>3.7615450142472575</v>
      </c>
    </row>
    <row r="467" spans="1:10" ht="12" customHeight="1" x14ac:dyDescent="0.3">
      <c r="A467" s="1">
        <f t="shared" si="3"/>
        <v>44172</v>
      </c>
      <c r="B467" s="20">
        <v>6767.9558011049721</v>
      </c>
      <c r="C467" s="20">
        <f t="shared" si="4"/>
        <v>43248.934061974527</v>
      </c>
      <c r="D467" s="21" t="str">
        <f t="shared" si="0"/>
        <v>201207</v>
      </c>
      <c r="E467" s="22">
        <f t="shared" si="5"/>
        <v>4.4586120000000005</v>
      </c>
      <c r="F467" s="9">
        <v>0</v>
      </c>
      <c r="G467" s="14">
        <f t="shared" si="1"/>
        <v>99.551514867175726</v>
      </c>
      <c r="H467" s="24">
        <f t="shared" si="6"/>
        <v>-5266.1013282427402</v>
      </c>
      <c r="I467" s="20">
        <f t="shared" si="2"/>
        <v>37982.83273373179</v>
      </c>
      <c r="J467" s="17">
        <f t="shared" si="7"/>
        <v>3.7982832733731793</v>
      </c>
    </row>
    <row r="468" spans="1:10" ht="12" customHeight="1" x14ac:dyDescent="0.3">
      <c r="A468" s="1">
        <f t="shared" si="3"/>
        <v>44173</v>
      </c>
      <c r="B468" s="20">
        <v>6837.0165745856357</v>
      </c>
      <c r="C468" s="20">
        <f t="shared" si="4"/>
        <v>43317.994835455189</v>
      </c>
      <c r="D468" s="21" t="str">
        <f t="shared" si="0"/>
        <v>201208</v>
      </c>
      <c r="E468" s="22">
        <f t="shared" si="5"/>
        <v>4.4586120000000005</v>
      </c>
      <c r="F468" s="9">
        <v>0</v>
      </c>
      <c r="G468" s="14">
        <f t="shared" si="1"/>
        <v>99.556860901492612</v>
      </c>
      <c r="H468" s="24">
        <f t="shared" si="6"/>
        <v>-5212.6409850738746</v>
      </c>
      <c r="I468" s="20">
        <f t="shared" si="2"/>
        <v>38105.353850381318</v>
      </c>
      <c r="J468" s="17">
        <f t="shared" si="7"/>
        <v>3.8105353850381314</v>
      </c>
    </row>
    <row r="469" spans="1:10" ht="12" customHeight="1" x14ac:dyDescent="0.3">
      <c r="A469" s="1">
        <f t="shared" si="3"/>
        <v>44174</v>
      </c>
      <c r="B469" s="20">
        <v>6906.0773480662983</v>
      </c>
      <c r="C469" s="20">
        <f t="shared" si="4"/>
        <v>43387.055608935851</v>
      </c>
      <c r="D469" s="21" t="str">
        <f t="shared" si="0"/>
        <v>201209</v>
      </c>
      <c r="E469" s="22">
        <f t="shared" si="5"/>
        <v>4.4586120000000005</v>
      </c>
      <c r="F469" s="9">
        <v>0</v>
      </c>
      <c r="G469" s="14">
        <f t="shared" si="1"/>
        <v>99.562209950301622</v>
      </c>
      <c r="H469" s="24">
        <f t="shared" si="6"/>
        <v>-5159.1504969837843</v>
      </c>
      <c r="I469" s="20">
        <f t="shared" si="2"/>
        <v>38227.905111952066</v>
      </c>
      <c r="J469" s="17">
        <f t="shared" si="7"/>
        <v>3.8227905111952065</v>
      </c>
    </row>
    <row r="470" spans="1:10" ht="12" customHeight="1" x14ac:dyDescent="0.3">
      <c r="A470" s="1">
        <f t="shared" si="3"/>
        <v>44175</v>
      </c>
      <c r="B470" s="20">
        <v>6975.1381215469619</v>
      </c>
      <c r="C470" s="20">
        <f t="shared" si="4"/>
        <v>43456.116382416512</v>
      </c>
      <c r="D470" s="21" t="str">
        <f t="shared" si="0"/>
        <v>201210</v>
      </c>
      <c r="E470" s="22">
        <f t="shared" si="5"/>
        <v>4.4586120000000005</v>
      </c>
      <c r="F470" s="9">
        <v>0</v>
      </c>
      <c r="G470" s="14">
        <f t="shared" si="1"/>
        <v>99.567562014711953</v>
      </c>
      <c r="H470" s="24">
        <f t="shared" si="6"/>
        <v>-5105.6298528804691</v>
      </c>
      <c r="I470" s="20">
        <f t="shared" si="2"/>
        <v>38350.486529536043</v>
      </c>
      <c r="J470" s="17">
        <f t="shared" si="7"/>
        <v>3.8350486529536045</v>
      </c>
    </row>
    <row r="471" spans="1:10" ht="12" customHeight="1" x14ac:dyDescent="0.3">
      <c r="A471" s="1">
        <f t="shared" si="3"/>
        <v>44176</v>
      </c>
      <c r="B471" s="20">
        <v>7044.1988950276245</v>
      </c>
      <c r="C471" s="20">
        <f t="shared" si="4"/>
        <v>43525.177155897174</v>
      </c>
      <c r="D471" s="21" t="str">
        <f t="shared" si="0"/>
        <v>201211</v>
      </c>
      <c r="E471" s="22">
        <f t="shared" si="5"/>
        <v>4.4586120000000005</v>
      </c>
      <c r="F471" s="9">
        <v>0</v>
      </c>
      <c r="G471" s="14">
        <f t="shared" si="1"/>
        <v>99.572917095833276</v>
      </c>
      <c r="H471" s="24">
        <f t="shared" si="6"/>
        <v>-5052.0790416672417</v>
      </c>
      <c r="I471" s="20">
        <f t="shared" si="2"/>
        <v>38473.098114229935</v>
      </c>
      <c r="J471" s="17">
        <f t="shared" si="7"/>
        <v>3.8473098114229933</v>
      </c>
    </row>
    <row r="472" spans="1:10" ht="12" customHeight="1" x14ac:dyDescent="0.3">
      <c r="A472" s="1">
        <f t="shared" si="3"/>
        <v>44179</v>
      </c>
      <c r="B472" s="20">
        <v>7251.3812154696125</v>
      </c>
      <c r="C472" s="20">
        <f t="shared" si="4"/>
        <v>43732.359476339159</v>
      </c>
      <c r="D472" s="21" t="str">
        <f t="shared" si="0"/>
        <v>201214</v>
      </c>
      <c r="E472" s="22">
        <f t="shared" si="5"/>
        <v>4.4586120000000005</v>
      </c>
      <c r="F472" s="9">
        <v>0</v>
      </c>
      <c r="G472" s="14">
        <f t="shared" si="1"/>
        <v>99.589000450568932</v>
      </c>
      <c r="H472" s="24">
        <f t="shared" si="6"/>
        <v>-4891.2454943106804</v>
      </c>
      <c r="I472" s="20">
        <f t="shared" si="2"/>
        <v>38841.113982028481</v>
      </c>
      <c r="J472" s="17">
        <f t="shared" si="7"/>
        <v>3.8841113982028483</v>
      </c>
    </row>
    <row r="473" spans="1:10" ht="12" customHeight="1" x14ac:dyDescent="0.3">
      <c r="A473" s="1">
        <f t="shared" si="3"/>
        <v>44180</v>
      </c>
      <c r="B473" s="20">
        <v>7320.441988950276</v>
      </c>
      <c r="C473" s="20">
        <f t="shared" si="4"/>
        <v>43801.420249819821</v>
      </c>
      <c r="D473" s="21" t="str">
        <f t="shared" si="0"/>
        <v>201215</v>
      </c>
      <c r="E473" s="22">
        <f t="shared" si="5"/>
        <v>4.4586120000000005</v>
      </c>
      <c r="F473" s="9">
        <v>0</v>
      </c>
      <c r="G473" s="14">
        <f t="shared" si="1"/>
        <v>99.594367609642575</v>
      </c>
      <c r="H473" s="24">
        <f t="shared" si="6"/>
        <v>-4837.5739035742527</v>
      </c>
      <c r="I473" s="20">
        <f t="shared" si="2"/>
        <v>38963.846346245569</v>
      </c>
      <c r="J473" s="17">
        <f t="shared" si="7"/>
        <v>3.8963846346245572</v>
      </c>
    </row>
    <row r="474" spans="1:10" ht="12" customHeight="1" x14ac:dyDescent="0.3">
      <c r="A474" s="1">
        <f t="shared" si="3"/>
        <v>44181</v>
      </c>
      <c r="B474" s="20">
        <v>7389.5027624309405</v>
      </c>
      <c r="C474" s="20">
        <f t="shared" si="4"/>
        <v>43870.481023300483</v>
      </c>
      <c r="D474" s="21" t="str">
        <f t="shared" si="0"/>
        <v>201216</v>
      </c>
      <c r="E474" s="22">
        <f t="shared" si="5"/>
        <v>4.4586120000000005</v>
      </c>
      <c r="F474" s="9">
        <v>0</v>
      </c>
      <c r="G474" s="14">
        <f t="shared" si="1"/>
        <v>99.599737790984065</v>
      </c>
      <c r="H474" s="24">
        <f t="shared" si="6"/>
        <v>-4783.8720901593488</v>
      </c>
      <c r="I474" s="20">
        <f t="shared" si="2"/>
        <v>39086.608933141135</v>
      </c>
      <c r="J474" s="17">
        <f t="shared" si="7"/>
        <v>3.9086608933141136</v>
      </c>
    </row>
    <row r="475" spans="1:10" ht="12" customHeight="1" x14ac:dyDescent="0.3">
      <c r="A475" s="1">
        <f t="shared" si="3"/>
        <v>44182</v>
      </c>
      <c r="B475" s="20">
        <v>7458.5635359116013</v>
      </c>
      <c r="C475" s="20">
        <f t="shared" si="4"/>
        <v>43939.541796781145</v>
      </c>
      <c r="D475" s="21" t="str">
        <f t="shared" si="0"/>
        <v>201217</v>
      </c>
      <c r="E475" s="22">
        <f t="shared" si="5"/>
        <v>4.4586120000000005</v>
      </c>
      <c r="F475" s="9">
        <v>0</v>
      </c>
      <c r="G475" s="14">
        <f t="shared" si="1"/>
        <v>99.605110995706426</v>
      </c>
      <c r="H475" s="24">
        <f t="shared" si="6"/>
        <v>-4730.1400429357445</v>
      </c>
      <c r="I475" s="20">
        <f t="shared" si="2"/>
        <v>39209.401753845399</v>
      </c>
      <c r="J475" s="17">
        <f t="shared" si="7"/>
        <v>3.9209401753845401</v>
      </c>
    </row>
    <row r="476" spans="1:10" ht="12" customHeight="1" x14ac:dyDescent="0.3">
      <c r="A476" s="1">
        <f t="shared" si="3"/>
        <v>44183</v>
      </c>
      <c r="B476" s="20">
        <v>7527.6243093922649</v>
      </c>
      <c r="C476" s="20">
        <f t="shared" si="4"/>
        <v>44008.602570261806</v>
      </c>
      <c r="D476" s="21" t="str">
        <f t="shared" si="0"/>
        <v>201218</v>
      </c>
      <c r="E476" s="22">
        <f t="shared" si="5"/>
        <v>4.4586120000000005</v>
      </c>
      <c r="F476" s="9">
        <v>0</v>
      </c>
      <c r="G476" s="14">
        <f t="shared" si="1"/>
        <v>99.610487224923162</v>
      </c>
      <c r="H476" s="24">
        <f t="shared" si="6"/>
        <v>-4676.3777507683817</v>
      </c>
      <c r="I476" s="20">
        <f t="shared" si="2"/>
        <v>39332.224819493422</v>
      </c>
      <c r="J476" s="17">
        <f t="shared" si="7"/>
        <v>3.9332224819493424</v>
      </c>
    </row>
    <row r="477" spans="1:10" ht="12" customHeight="1" x14ac:dyDescent="0.3">
      <c r="A477" s="1">
        <f t="shared" si="3"/>
        <v>44186</v>
      </c>
      <c r="B477" s="20">
        <v>7734.8066298342546</v>
      </c>
      <c r="C477" s="20">
        <f t="shared" si="4"/>
        <v>44215.784890703799</v>
      </c>
      <c r="D477" s="21" t="str">
        <f t="shared" si="0"/>
        <v>201221</v>
      </c>
      <c r="E477" s="22">
        <f t="shared" si="5"/>
        <v>4.4586120000000005</v>
      </c>
      <c r="F477" s="9">
        <v>0</v>
      </c>
      <c r="G477" s="14">
        <f t="shared" si="1"/>
        <v>99.626634070683536</v>
      </c>
      <c r="H477" s="24">
        <f t="shared" si="6"/>
        <v>-4514.9092931646355</v>
      </c>
      <c r="I477" s="20">
        <f t="shared" si="2"/>
        <v>39700.875597539161</v>
      </c>
      <c r="J477" s="17">
        <f t="shared" si="7"/>
        <v>3.970087559753916</v>
      </c>
    </row>
    <row r="478" spans="1:10" ht="12" customHeight="1" x14ac:dyDescent="0.3">
      <c r="A478" s="1">
        <f t="shared" si="3"/>
        <v>44187</v>
      </c>
      <c r="B478" s="20">
        <v>7803.8674033149173</v>
      </c>
      <c r="C478" s="20">
        <f t="shared" si="4"/>
        <v>44284.84566418446</v>
      </c>
      <c r="D478" s="21" t="str">
        <f t="shared" si="0"/>
        <v>201222</v>
      </c>
      <c r="E478" s="22">
        <f t="shared" si="5"/>
        <v>4.4586120000000005</v>
      </c>
      <c r="F478" s="9">
        <v>0</v>
      </c>
      <c r="G478" s="14">
        <f t="shared" si="1"/>
        <v>99.632022409024287</v>
      </c>
      <c r="H478" s="24">
        <f t="shared" si="6"/>
        <v>-4461.0259097571261</v>
      </c>
      <c r="I478" s="20">
        <f t="shared" si="2"/>
        <v>39823.819754427335</v>
      </c>
      <c r="J478" s="17">
        <f t="shared" si="7"/>
        <v>3.9823819754427339</v>
      </c>
    </row>
    <row r="479" spans="1:10" ht="12" customHeight="1" x14ac:dyDescent="0.3">
      <c r="A479" s="1">
        <f t="shared" si="3"/>
        <v>44188</v>
      </c>
      <c r="B479" s="20">
        <v>7872.9281767955799</v>
      </c>
      <c r="C479" s="20">
        <f t="shared" si="4"/>
        <v>44353.906437665122</v>
      </c>
      <c r="D479" s="21" t="str">
        <f t="shared" si="0"/>
        <v>201223</v>
      </c>
      <c r="E479" s="22">
        <f t="shared" si="5"/>
        <v>4.4586120000000005</v>
      </c>
      <c r="F479" s="9">
        <v>0</v>
      </c>
      <c r="G479" s="14">
        <f t="shared" si="1"/>
        <v>99.637413777435427</v>
      </c>
      <c r="H479" s="24">
        <f t="shared" si="6"/>
        <v>-4407.1122256457329</v>
      </c>
      <c r="I479" s="20">
        <f t="shared" si="2"/>
        <v>39946.794212019391</v>
      </c>
      <c r="J479" s="17">
        <f t="shared" si="7"/>
        <v>3.9946794212019388</v>
      </c>
    </row>
    <row r="480" spans="1:10" ht="12" customHeight="1" x14ac:dyDescent="0.3">
      <c r="A480" s="1">
        <f t="shared" si="3"/>
        <v>44189</v>
      </c>
      <c r="B480" s="20">
        <v>7941.9889502762444</v>
      </c>
      <c r="C480" s="20">
        <f t="shared" si="4"/>
        <v>44422.967211145784</v>
      </c>
      <c r="D480" s="21" t="str">
        <f t="shared" si="0"/>
        <v>201224</v>
      </c>
      <c r="E480" s="22">
        <f t="shared" si="5"/>
        <v>4.4586120000000005</v>
      </c>
      <c r="F480" s="9">
        <v>0</v>
      </c>
      <c r="G480" s="14">
        <f t="shared" si="1"/>
        <v>99.642808177033757</v>
      </c>
      <c r="H480" s="24">
        <f t="shared" si="6"/>
        <v>-4353.1682296624294</v>
      </c>
      <c r="I480" s="20">
        <f t="shared" si="2"/>
        <v>40069.798981483356</v>
      </c>
      <c r="J480" s="17">
        <f t="shared" si="7"/>
        <v>4.0069798981483356</v>
      </c>
    </row>
    <row r="481" spans="1:10" ht="12" customHeight="1" x14ac:dyDescent="0.3">
      <c r="A481" s="1">
        <f t="shared" si="3"/>
        <v>44190</v>
      </c>
      <c r="B481" s="20">
        <v>8011.049723756907</v>
      </c>
      <c r="C481" s="20">
        <f t="shared" si="4"/>
        <v>44492.027984626446</v>
      </c>
      <c r="D481" s="21" t="str">
        <f t="shared" si="0"/>
        <v>201225</v>
      </c>
      <c r="E481" s="22">
        <f t="shared" si="5"/>
        <v>4.4586120000000005</v>
      </c>
      <c r="F481" s="9">
        <v>0</v>
      </c>
      <c r="G481" s="14">
        <f t="shared" si="1"/>
        <v>99.648205608936635</v>
      </c>
      <c r="H481" s="24">
        <f t="shared" si="6"/>
        <v>-4299.1939106336476</v>
      </c>
      <c r="I481" s="20">
        <f t="shared" si="2"/>
        <v>40192.834073992795</v>
      </c>
      <c r="J481" s="17">
        <f t="shared" si="7"/>
        <v>4.0192834073992794</v>
      </c>
    </row>
    <row r="482" spans="1:10" ht="12" customHeight="1" x14ac:dyDescent="0.3">
      <c r="A482" s="1">
        <f t="shared" si="3"/>
        <v>44193</v>
      </c>
      <c r="B482" s="20">
        <v>8218.2320441988941</v>
      </c>
      <c r="C482" s="20">
        <f t="shared" si="4"/>
        <v>44699.210305068431</v>
      </c>
      <c r="D482" s="21" t="str">
        <f t="shared" si="0"/>
        <v>201228</v>
      </c>
      <c r="E482" s="22">
        <f t="shared" si="5"/>
        <v>4.4586120000000005</v>
      </c>
      <c r="F482" s="9">
        <v>0</v>
      </c>
      <c r="G482" s="14">
        <f t="shared" si="1"/>
        <v>99.664416109654837</v>
      </c>
      <c r="H482" s="24">
        <f t="shared" si="6"/>
        <v>-4137.0889034516267</v>
      </c>
      <c r="I482" s="20">
        <f t="shared" si="2"/>
        <v>40562.121401616801</v>
      </c>
      <c r="J482" s="17">
        <f t="shared" si="7"/>
        <v>4.05621214016168</v>
      </c>
    </row>
    <row r="483" spans="1:10" ht="12" customHeight="1" x14ac:dyDescent="0.3">
      <c r="A483" s="1">
        <f t="shared" si="3"/>
        <v>44194</v>
      </c>
      <c r="B483" s="20">
        <v>8287.2928176795576</v>
      </c>
      <c r="C483" s="20">
        <f t="shared" si="4"/>
        <v>44768.271078549093</v>
      </c>
      <c r="D483" s="21" t="str">
        <f t="shared" si="0"/>
        <v>201229</v>
      </c>
      <c r="E483" s="22">
        <f t="shared" si="5"/>
        <v>4.4586120000000005</v>
      </c>
      <c r="F483" s="9">
        <v>0</v>
      </c>
      <c r="G483" s="14">
        <f t="shared" si="1"/>
        <v>99.66982568196083</v>
      </c>
      <c r="H483" s="24">
        <f t="shared" si="6"/>
        <v>-4082.9931803916966</v>
      </c>
      <c r="I483" s="20">
        <f t="shared" si="2"/>
        <v>40685.277898157394</v>
      </c>
      <c r="J483" s="17">
        <f t="shared" si="7"/>
        <v>4.0685277898157395</v>
      </c>
    </row>
    <row r="484" spans="1:10" ht="12" customHeight="1" x14ac:dyDescent="0.3">
      <c r="A484" s="1">
        <f t="shared" si="3"/>
        <v>44195</v>
      </c>
      <c r="B484" s="20">
        <v>8356.3535911602194</v>
      </c>
      <c r="C484" s="20">
        <f t="shared" si="4"/>
        <v>44837.331852029754</v>
      </c>
      <c r="D484" s="21" t="str">
        <f t="shared" si="0"/>
        <v>201230</v>
      </c>
      <c r="E484" s="22">
        <f t="shared" si="5"/>
        <v>4.4586120000000005</v>
      </c>
      <c r="F484" s="9">
        <v>0</v>
      </c>
      <c r="G484" s="14">
        <f t="shared" si="1"/>
        <v>99.675238292166583</v>
      </c>
      <c r="H484" s="24">
        <f t="shared" si="6"/>
        <v>-4028.8670783341727</v>
      </c>
      <c r="I484" s="20">
        <f t="shared" si="2"/>
        <v>40808.464773695581</v>
      </c>
      <c r="J484" s="17">
        <f t="shared" si="7"/>
        <v>4.0808464773695583</v>
      </c>
    </row>
    <row r="485" spans="1:10" ht="12" customHeight="1" x14ac:dyDescent="0.3">
      <c r="A485" s="1">
        <f t="shared" si="3"/>
        <v>44196</v>
      </c>
      <c r="B485" s="20">
        <v>8425.4143646408847</v>
      </c>
      <c r="C485" s="20">
        <f t="shared" si="4"/>
        <v>44906.392625510416</v>
      </c>
      <c r="D485" s="21" t="str">
        <f t="shared" si="0"/>
        <v>201231</v>
      </c>
      <c r="E485" s="22">
        <f t="shared" si="5"/>
        <v>4.4586120000000005</v>
      </c>
      <c r="F485" s="9">
        <v>0</v>
      </c>
      <c r="G485" s="14">
        <f t="shared" si="1"/>
        <v>99.680653941392748</v>
      </c>
      <c r="H485" s="24">
        <f t="shared" si="6"/>
        <v>-3974.7105860725187</v>
      </c>
      <c r="I485" s="20">
        <f t="shared" si="2"/>
        <v>40931.682039437896</v>
      </c>
      <c r="J485" s="17">
        <f t="shared" si="7"/>
        <v>4.0931682039437893</v>
      </c>
    </row>
    <row r="486" spans="1:10" ht="12" customHeight="1" x14ac:dyDescent="0.3">
      <c r="A486" s="1">
        <f t="shared" si="3"/>
        <v>44197</v>
      </c>
      <c r="B486" s="20">
        <v>8494.4751381215483</v>
      </c>
      <c r="C486" s="20">
        <f t="shared" si="4"/>
        <v>44975.453398991078</v>
      </c>
      <c r="D486" s="21" t="str">
        <f t="shared" si="0"/>
        <v>210101</v>
      </c>
      <c r="E486" s="22">
        <f t="shared" si="5"/>
        <v>4.4586120000000005</v>
      </c>
      <c r="F486" s="9">
        <v>0</v>
      </c>
      <c r="G486" s="14">
        <f t="shared" si="1"/>
        <v>99.686072630760549</v>
      </c>
      <c r="H486" s="24">
        <f t="shared" si="6"/>
        <v>-3920.5236923945108</v>
      </c>
      <c r="I486" s="20">
        <f t="shared" si="2"/>
        <v>41054.929706596566</v>
      </c>
      <c r="J486" s="17">
        <f t="shared" si="7"/>
        <v>4.1054929706596566</v>
      </c>
    </row>
    <row r="487" spans="1:10" ht="12" customHeight="1" x14ac:dyDescent="0.3">
      <c r="A487" s="1">
        <f t="shared" si="3"/>
        <v>44200</v>
      </c>
      <c r="B487" s="20">
        <v>8701.6574585635371</v>
      </c>
      <c r="C487" s="20">
        <f t="shared" si="4"/>
        <v>45182.635719433063</v>
      </c>
      <c r="D487" s="21" t="str">
        <f t="shared" si="0"/>
        <v>210104</v>
      </c>
      <c r="E487" s="22">
        <f t="shared" si="5"/>
        <v>4.4586120000000005</v>
      </c>
      <c r="F487" s="9">
        <v>0</v>
      </c>
      <c r="G487" s="14">
        <f t="shared" si="1"/>
        <v>99.702346950934611</v>
      </c>
      <c r="H487" s="24">
        <f t="shared" si="6"/>
        <v>-3757.7804906538859</v>
      </c>
      <c r="I487" s="20">
        <f t="shared" si="2"/>
        <v>41424.855228779175</v>
      </c>
      <c r="J487" s="17">
        <f t="shared" si="7"/>
        <v>4.1424855228779176</v>
      </c>
    </row>
    <row r="488" spans="1:10" ht="12" customHeight="1" x14ac:dyDescent="0.3">
      <c r="A488" s="1">
        <f t="shared" si="3"/>
        <v>44201</v>
      </c>
      <c r="B488" s="20">
        <v>8770.7182320441989</v>
      </c>
      <c r="C488" s="20">
        <f t="shared" si="4"/>
        <v>45251.696492913725</v>
      </c>
      <c r="D488" s="21" t="str">
        <f t="shared" si="0"/>
        <v>210105</v>
      </c>
      <c r="E488" s="22">
        <f t="shared" si="5"/>
        <v>4.4586120000000005</v>
      </c>
      <c r="F488" s="9">
        <v>0</v>
      </c>
      <c r="G488" s="14">
        <f t="shared" si="1"/>
        <v>99.707777812092431</v>
      </c>
      <c r="H488" s="24">
        <f t="shared" si="6"/>
        <v>-3703.4718790756929</v>
      </c>
      <c r="I488" s="20">
        <f t="shared" si="2"/>
        <v>41548.224613838029</v>
      </c>
      <c r="J488" s="17">
        <f t="shared" si="7"/>
        <v>4.1548224613838034</v>
      </c>
    </row>
    <row r="489" spans="1:10" ht="12" customHeight="1" x14ac:dyDescent="0.3">
      <c r="A489" s="1">
        <f t="shared" si="3"/>
        <v>44202</v>
      </c>
      <c r="B489" s="20">
        <v>8839.7790055248624</v>
      </c>
      <c r="C489" s="20">
        <f t="shared" si="4"/>
        <v>45320.757266394387</v>
      </c>
      <c r="D489" s="21" t="str">
        <f t="shared" si="0"/>
        <v>210106</v>
      </c>
      <c r="E489" s="22">
        <f t="shared" si="5"/>
        <v>4.4586120000000005</v>
      </c>
      <c r="F489" s="9">
        <v>0</v>
      </c>
      <c r="G489" s="14">
        <f t="shared" si="1"/>
        <v>99.713211719006409</v>
      </c>
      <c r="H489" s="24">
        <f t="shared" si="6"/>
        <v>-3649.1328099359066</v>
      </c>
      <c r="I489" s="20">
        <f t="shared" si="2"/>
        <v>41671.624456458478</v>
      </c>
      <c r="J489" s="17">
        <f t="shared" si="7"/>
        <v>4.1671624456458476</v>
      </c>
    </row>
    <row r="490" spans="1:10" ht="12" customHeight="1" x14ac:dyDescent="0.3">
      <c r="A490" s="1">
        <f t="shared" si="3"/>
        <v>44203</v>
      </c>
      <c r="B490" s="20">
        <v>8908.8397790055242</v>
      </c>
      <c r="C490" s="20">
        <f t="shared" si="4"/>
        <v>45389.818039875048</v>
      </c>
      <c r="D490" s="21" t="str">
        <f t="shared" si="0"/>
        <v>210107</v>
      </c>
      <c r="E490" s="22">
        <f t="shared" si="5"/>
        <v>4.4586120000000005</v>
      </c>
      <c r="F490" s="9">
        <v>0</v>
      </c>
      <c r="G490" s="14">
        <f t="shared" si="1"/>
        <v>99.718648672801038</v>
      </c>
      <c r="H490" s="24">
        <f t="shared" si="6"/>
        <v>-3594.7632719896205</v>
      </c>
      <c r="I490" s="20">
        <f t="shared" si="2"/>
        <v>41795.054767885427</v>
      </c>
      <c r="J490" s="17">
        <f t="shared" si="7"/>
        <v>4.1795054767885427</v>
      </c>
    </row>
    <row r="491" spans="1:10" ht="12" customHeight="1" x14ac:dyDescent="0.3">
      <c r="A491" s="1">
        <f t="shared" si="3"/>
        <v>44204</v>
      </c>
      <c r="B491" s="20">
        <v>8977.9005524861877</v>
      </c>
      <c r="C491" s="20">
        <f t="shared" si="4"/>
        <v>45458.87881335571</v>
      </c>
      <c r="D491" s="21" t="str">
        <f t="shared" si="0"/>
        <v>210108</v>
      </c>
      <c r="E491" s="22">
        <f t="shared" si="5"/>
        <v>4.4586120000000005</v>
      </c>
      <c r="F491" s="9">
        <v>0</v>
      </c>
      <c r="G491" s="14">
        <f t="shared" si="1"/>
        <v>99.724088674601418</v>
      </c>
      <c r="H491" s="24">
        <f t="shared" si="6"/>
        <v>-3540.3632539858163</v>
      </c>
      <c r="I491" s="20">
        <f t="shared" si="2"/>
        <v>41918.515559369895</v>
      </c>
      <c r="J491" s="17">
        <f t="shared" si="7"/>
        <v>4.1918515559369895</v>
      </c>
    </row>
    <row r="492" spans="1:10" ht="12" customHeight="1" x14ac:dyDescent="0.3">
      <c r="A492" s="1">
        <f t="shared" si="3"/>
        <v>44207</v>
      </c>
      <c r="B492" s="20">
        <v>9185.0828729281766</v>
      </c>
      <c r="C492" s="20">
        <f t="shared" si="4"/>
        <v>45666.061133797702</v>
      </c>
      <c r="D492" s="21" t="str">
        <f t="shared" si="0"/>
        <v>210111</v>
      </c>
      <c r="E492" s="22">
        <f t="shared" si="5"/>
        <v>4.4586120000000005</v>
      </c>
      <c r="F492" s="9">
        <v>0</v>
      </c>
      <c r="G492" s="14">
        <f t="shared" si="1"/>
        <v>99.740426979296601</v>
      </c>
      <c r="H492" s="24">
        <f t="shared" si="6"/>
        <v>-3376.9802070339952</v>
      </c>
      <c r="I492" s="20">
        <f t="shared" si="2"/>
        <v>42289.080926763709</v>
      </c>
      <c r="J492" s="17">
        <f t="shared" si="7"/>
        <v>4.2289080926763711</v>
      </c>
    </row>
    <row r="493" spans="1:10" ht="12" customHeight="1" x14ac:dyDescent="0.3">
      <c r="A493" s="1">
        <f t="shared" si="3"/>
        <v>44208</v>
      </c>
      <c r="B493" s="20">
        <v>9254.1436464088401</v>
      </c>
      <c r="C493" s="20">
        <f t="shared" si="4"/>
        <v>45735.121907278364</v>
      </c>
      <c r="D493" s="21" t="str">
        <f t="shared" si="0"/>
        <v>210112</v>
      </c>
      <c r="E493" s="22">
        <f t="shared" si="5"/>
        <v>4.4586120000000005</v>
      </c>
      <c r="F493" s="9">
        <v>0</v>
      </c>
      <c r="G493" s="14">
        <f t="shared" si="1"/>
        <v>99.745879184382204</v>
      </c>
      <c r="H493" s="24">
        <f t="shared" si="6"/>
        <v>-3322.4581561779587</v>
      </c>
      <c r="I493" s="20">
        <f t="shared" si="2"/>
        <v>42412.663751100408</v>
      </c>
      <c r="J493" s="17">
        <f t="shared" si="7"/>
        <v>4.2412663751100403</v>
      </c>
    </row>
    <row r="494" spans="1:10" ht="12" customHeight="1" x14ac:dyDescent="0.3">
      <c r="A494" s="1">
        <f t="shared" si="3"/>
        <v>44209</v>
      </c>
      <c r="B494" s="20">
        <v>9323.2044198895019</v>
      </c>
      <c r="C494" s="20">
        <f t="shared" si="4"/>
        <v>45804.182680759026</v>
      </c>
      <c r="D494" s="21" t="str">
        <f t="shared" si="0"/>
        <v>210113</v>
      </c>
      <c r="E494" s="22">
        <f t="shared" si="5"/>
        <v>4.4586120000000005</v>
      </c>
      <c r="F494" s="9">
        <v>0</v>
      </c>
      <c r="G494" s="14">
        <f t="shared" si="1"/>
        <v>99.751334443107439</v>
      </c>
      <c r="H494" s="24">
        <f t="shared" si="6"/>
        <v>-3267.9055689256134</v>
      </c>
      <c r="I494" s="20">
        <f t="shared" si="2"/>
        <v>42536.277111833413</v>
      </c>
      <c r="J494" s="17">
        <f t="shared" si="7"/>
        <v>4.2536277111833414</v>
      </c>
    </row>
    <row r="495" spans="1:10" ht="12" customHeight="1" x14ac:dyDescent="0.3">
      <c r="A495" s="1">
        <f t="shared" si="3"/>
        <v>44210</v>
      </c>
      <c r="B495" s="20">
        <v>9392.2651933701654</v>
      </c>
      <c r="C495" s="20">
        <f t="shared" si="4"/>
        <v>45873.243454239688</v>
      </c>
      <c r="D495" s="21" t="str">
        <f t="shared" si="0"/>
        <v>210114</v>
      </c>
      <c r="E495" s="22">
        <f t="shared" si="5"/>
        <v>4.4586120000000005</v>
      </c>
      <c r="F495" s="9">
        <v>0</v>
      </c>
      <c r="G495" s="14">
        <f t="shared" si="1"/>
        <v>99.756792756600703</v>
      </c>
      <c r="H495" s="24">
        <f t="shared" si="6"/>
        <v>-3213.3224339929711</v>
      </c>
      <c r="I495" s="20">
        <f t="shared" si="2"/>
        <v>42659.921020246715</v>
      </c>
      <c r="J495" s="17">
        <f t="shared" si="7"/>
        <v>4.2659921020246721</v>
      </c>
    </row>
    <row r="496" spans="1:10" ht="12" customHeight="1" x14ac:dyDescent="0.3">
      <c r="A496" s="1">
        <f t="shared" si="3"/>
        <v>44211</v>
      </c>
      <c r="B496" s="20">
        <v>9461.325966850829</v>
      </c>
      <c r="C496" s="20">
        <f t="shared" si="4"/>
        <v>45942.304227720349</v>
      </c>
      <c r="D496" s="21" t="str">
        <f t="shared" si="0"/>
        <v>210115</v>
      </c>
      <c r="E496" s="22">
        <f t="shared" si="5"/>
        <v>4.4586120000000005</v>
      </c>
      <c r="F496" s="9">
        <v>0</v>
      </c>
      <c r="G496" s="14">
        <f t="shared" si="1"/>
        <v>99.762254125990992</v>
      </c>
      <c r="H496" s="24">
        <f t="shared" si="6"/>
        <v>-3158.7087400900768</v>
      </c>
      <c r="I496" s="20">
        <f t="shared" si="2"/>
        <v>42783.595487630271</v>
      </c>
      <c r="J496" s="17">
        <f t="shared" si="7"/>
        <v>4.278359548763027</v>
      </c>
    </row>
    <row r="497" spans="1:10" ht="12" customHeight="1" x14ac:dyDescent="0.3">
      <c r="A497" s="1">
        <f t="shared" si="3"/>
        <v>44214</v>
      </c>
      <c r="B497" s="20">
        <v>9668.5082872928197</v>
      </c>
      <c r="C497" s="20">
        <f t="shared" si="4"/>
        <v>46149.486548162342</v>
      </c>
      <c r="D497" s="21" t="str">
        <f t="shared" si="0"/>
        <v>210118</v>
      </c>
      <c r="E497" s="22">
        <f t="shared" si="5"/>
        <v>4.4586120000000005</v>
      </c>
      <c r="F497" s="9">
        <v>0</v>
      </c>
      <c r="G497" s="14">
        <f t="shared" si="1"/>
        <v>99.778656580842352</v>
      </c>
      <c r="H497" s="24">
        <f t="shared" si="6"/>
        <v>-2994.6841915764821</v>
      </c>
      <c r="I497" s="20">
        <f t="shared" si="2"/>
        <v>43154.80235658586</v>
      </c>
      <c r="J497" s="17">
        <f t="shared" si="7"/>
        <v>4.315480235658586</v>
      </c>
    </row>
    <row r="498" spans="1:10" ht="12" customHeight="1" x14ac:dyDescent="0.3">
      <c r="A498" s="1">
        <f t="shared" si="3"/>
        <v>44215</v>
      </c>
      <c r="B498" s="20">
        <v>9737.5690607734814</v>
      </c>
      <c r="C498" s="20">
        <f t="shared" si="4"/>
        <v>46218.547321643004</v>
      </c>
      <c r="D498" s="21" t="str">
        <f t="shared" si="0"/>
        <v>210119</v>
      </c>
      <c r="E498" s="22">
        <f t="shared" si="5"/>
        <v>4.4586120000000005</v>
      </c>
      <c r="F498" s="9">
        <v>0</v>
      </c>
      <c r="G498" s="14">
        <f t="shared" si="1"/>
        <v>99.784130185121796</v>
      </c>
      <c r="H498" s="24">
        <f t="shared" si="6"/>
        <v>-2939.9481487820367</v>
      </c>
      <c r="I498" s="20">
        <f t="shared" si="2"/>
        <v>43278.599172860966</v>
      </c>
      <c r="J498" s="17">
        <f t="shared" si="7"/>
        <v>4.327859917286097</v>
      </c>
    </row>
    <row r="499" spans="1:10" ht="12" customHeight="1" x14ac:dyDescent="0.3">
      <c r="A499" s="1">
        <f t="shared" si="3"/>
        <v>44216</v>
      </c>
      <c r="B499" s="20">
        <v>9806.6298342541431</v>
      </c>
      <c r="C499" s="20">
        <f t="shared" si="4"/>
        <v>46287.608095123665</v>
      </c>
      <c r="D499" s="21" t="str">
        <f t="shared" si="0"/>
        <v>210120</v>
      </c>
      <c r="E499" s="22">
        <f t="shared" si="5"/>
        <v>4.4586120000000005</v>
      </c>
      <c r="F499" s="9">
        <v>0</v>
      </c>
      <c r="G499" s="14">
        <f t="shared" si="1"/>
        <v>99.7896068509516</v>
      </c>
      <c r="H499" s="24">
        <f t="shared" si="6"/>
        <v>-2885.1814904840012</v>
      </c>
      <c r="I499" s="20">
        <f t="shared" si="2"/>
        <v>43402.426604639666</v>
      </c>
      <c r="J499" s="17">
        <f t="shared" si="7"/>
        <v>4.3402426604639661</v>
      </c>
    </row>
    <row r="500" spans="1:10" ht="12" customHeight="1" x14ac:dyDescent="0.3">
      <c r="A500" s="1">
        <f t="shared" si="3"/>
        <v>44217</v>
      </c>
      <c r="B500" s="20">
        <v>9875.6906077348049</v>
      </c>
      <c r="C500" s="20">
        <f t="shared" si="4"/>
        <v>46356.668868604327</v>
      </c>
      <c r="D500" s="21" t="str">
        <f t="shared" si="0"/>
        <v>210121</v>
      </c>
      <c r="E500" s="22">
        <f t="shared" si="5"/>
        <v>4.4586120000000005</v>
      </c>
      <c r="F500" s="9">
        <v>0</v>
      </c>
      <c r="G500" s="14">
        <f t="shared" si="1"/>
        <v>99.795086579464083</v>
      </c>
      <c r="H500" s="24">
        <f t="shared" si="6"/>
        <v>-2830.3842053591666</v>
      </c>
      <c r="I500" s="20">
        <f t="shared" si="2"/>
        <v>43526.284663245162</v>
      </c>
      <c r="J500" s="17">
        <f t="shared" si="7"/>
        <v>4.3526284663245161</v>
      </c>
    </row>
    <row r="501" spans="1:10" ht="12" customHeight="1" x14ac:dyDescent="0.3">
      <c r="A501" s="1">
        <f t="shared" si="3"/>
        <v>44218</v>
      </c>
      <c r="B501" s="20">
        <v>9944.7513812154684</v>
      </c>
      <c r="C501" s="20">
        <f t="shared" si="4"/>
        <v>46425.729642084989</v>
      </c>
      <c r="D501" s="21" t="str">
        <f t="shared" si="0"/>
        <v>210122</v>
      </c>
      <c r="E501" s="22">
        <f t="shared" si="5"/>
        <v>4.4586120000000005</v>
      </c>
      <c r="F501" s="9">
        <v>0</v>
      </c>
      <c r="G501" s="14">
        <f t="shared" si="1"/>
        <v>99.800569371792093</v>
      </c>
      <c r="H501" s="24">
        <f t="shared" si="6"/>
        <v>-2775.5562820790656</v>
      </c>
      <c r="I501" s="20">
        <f t="shared" si="2"/>
        <v>43650.173360005923</v>
      </c>
      <c r="J501" s="17">
        <f t="shared" si="7"/>
        <v>4.3650173360005917</v>
      </c>
    </row>
    <row r="502" spans="1:10" ht="12" customHeight="1" x14ac:dyDescent="0.3">
      <c r="A502" s="1">
        <f t="shared" si="3"/>
        <v>44221</v>
      </c>
      <c r="B502" s="20">
        <v>10151.933701657459</v>
      </c>
      <c r="C502" s="20">
        <f t="shared" si="4"/>
        <v>46632.911962526981</v>
      </c>
      <c r="D502" s="21" t="str">
        <f t="shared" si="0"/>
        <v>210125</v>
      </c>
      <c r="E502" s="22">
        <f t="shared" si="5"/>
        <v>4.4586120000000005</v>
      </c>
      <c r="F502" s="9">
        <v>0</v>
      </c>
      <c r="G502" s="14">
        <f t="shared" si="1"/>
        <v>99.817036143006845</v>
      </c>
      <c r="H502" s="24">
        <f t="shared" si="6"/>
        <v>-2610.8885699315465</v>
      </c>
      <c r="I502" s="20">
        <f t="shared" si="2"/>
        <v>44022.023392595438</v>
      </c>
      <c r="J502" s="17">
        <f t="shared" si="7"/>
        <v>4.402202339259544</v>
      </c>
    </row>
    <row r="503" spans="1:10" ht="12" customHeight="1" x14ac:dyDescent="0.3">
      <c r="A503" s="1">
        <f t="shared" si="3"/>
        <v>44222</v>
      </c>
      <c r="B503" s="20">
        <v>10220.994475138121</v>
      </c>
      <c r="C503" s="20">
        <f t="shared" si="4"/>
        <v>46701.972736007643</v>
      </c>
      <c r="D503" s="21" t="str">
        <f t="shared" si="0"/>
        <v>210126</v>
      </c>
      <c r="E503" s="22">
        <f t="shared" si="5"/>
        <v>4.4586120000000005</v>
      </c>
      <c r="F503" s="9">
        <v>0</v>
      </c>
      <c r="G503" s="14">
        <f t="shared" si="1"/>
        <v>99.822531201937181</v>
      </c>
      <c r="H503" s="24">
        <f t="shared" si="6"/>
        <v>-2555.9379806281868</v>
      </c>
      <c r="I503" s="20">
        <f t="shared" si="2"/>
        <v>44146.034755379456</v>
      </c>
      <c r="J503" s="17">
        <f t="shared" si="7"/>
        <v>4.4146034755379455</v>
      </c>
    </row>
    <row r="504" spans="1:10" ht="12" customHeight="1" x14ac:dyDescent="0.3">
      <c r="A504" s="1">
        <f t="shared" si="3"/>
        <v>44223</v>
      </c>
      <c r="B504" s="20">
        <v>10290.055248618786</v>
      </c>
      <c r="C504" s="20">
        <f t="shared" si="4"/>
        <v>46771.033509488305</v>
      </c>
      <c r="D504" s="21" t="str">
        <f t="shared" si="0"/>
        <v>210127</v>
      </c>
      <c r="E504" s="22">
        <f t="shared" si="5"/>
        <v>4.4586120000000005</v>
      </c>
      <c r="F504" s="9">
        <v>0</v>
      </c>
      <c r="G504" s="14">
        <f t="shared" si="1"/>
        <v>99.828029330355946</v>
      </c>
      <c r="H504" s="24">
        <f t="shared" si="6"/>
        <v>-2500.9566964405394</v>
      </c>
      <c r="I504" s="20">
        <f t="shared" si="2"/>
        <v>44270.076813047766</v>
      </c>
      <c r="J504" s="17">
        <f t="shared" si="7"/>
        <v>4.4270076813047767</v>
      </c>
    </row>
    <row r="505" spans="1:10" ht="12" customHeight="1" x14ac:dyDescent="0.3">
      <c r="A505" s="1">
        <f t="shared" si="3"/>
        <v>44224</v>
      </c>
      <c r="B505" s="20">
        <v>10359.116022099448</v>
      </c>
      <c r="C505" s="20">
        <f t="shared" si="4"/>
        <v>46840.094282968967</v>
      </c>
      <c r="D505" s="21" t="str">
        <f t="shared" si="0"/>
        <v>210128</v>
      </c>
      <c r="E505" s="22">
        <f t="shared" si="5"/>
        <v>4.4586120000000005</v>
      </c>
      <c r="F505" s="9">
        <v>0</v>
      </c>
      <c r="G505" s="14">
        <f t="shared" si="1"/>
        <v>99.833530529399383</v>
      </c>
      <c r="H505" s="24">
        <f t="shared" si="6"/>
        <v>-2445.9447060061734</v>
      </c>
      <c r="I505" s="20">
        <f t="shared" si="2"/>
        <v>44394.149576962795</v>
      </c>
      <c r="J505" s="17">
        <f t="shared" si="7"/>
        <v>4.4394149576962798</v>
      </c>
    </row>
    <row r="506" spans="1:10" ht="12" customHeight="1" x14ac:dyDescent="0.3">
      <c r="A506" s="1">
        <f t="shared" si="3"/>
        <v>44225</v>
      </c>
      <c r="B506" s="20">
        <v>10428.176795580112</v>
      </c>
      <c r="C506" s="20">
        <f t="shared" si="4"/>
        <v>46909.155056449628</v>
      </c>
      <c r="D506" s="21" t="str">
        <f t="shared" si="0"/>
        <v>210129</v>
      </c>
      <c r="E506" s="22">
        <f t="shared" si="5"/>
        <v>4.4586120000000005</v>
      </c>
      <c r="F506" s="9">
        <v>0</v>
      </c>
      <c r="G506" s="14">
        <f t="shared" si="1"/>
        <v>99.83903480020426</v>
      </c>
      <c r="H506" s="24">
        <f t="shared" si="6"/>
        <v>-2390.9019979574</v>
      </c>
      <c r="I506" s="20">
        <f t="shared" si="2"/>
        <v>44518.253058492228</v>
      </c>
      <c r="J506" s="17">
        <f t="shared" si="7"/>
        <v>4.4518253058492228</v>
      </c>
    </row>
    <row r="507" spans="1:10" ht="12" customHeight="1" x14ac:dyDescent="0.3">
      <c r="A507" s="1">
        <f t="shared" si="3"/>
        <v>44228</v>
      </c>
      <c r="B507" s="20">
        <v>10635.3591160221</v>
      </c>
      <c r="C507" s="20">
        <f t="shared" si="4"/>
        <v>47116.337376891621</v>
      </c>
      <c r="D507" s="21" t="str">
        <f t="shared" si="0"/>
        <v>210201</v>
      </c>
      <c r="E507" s="22">
        <f t="shared" si="5"/>
        <v>4.4586120000000005</v>
      </c>
      <c r="F507" s="9">
        <v>0</v>
      </c>
      <c r="G507" s="14">
        <f t="shared" si="1"/>
        <v>99.855566054564264</v>
      </c>
      <c r="H507" s="24">
        <f t="shared" si="6"/>
        <v>-2225.5894543573618</v>
      </c>
      <c r="I507" s="20">
        <f t="shared" si="2"/>
        <v>44890.747922534261</v>
      </c>
      <c r="J507" s="17">
        <f t="shared" si="7"/>
        <v>4.489074792253426</v>
      </c>
    </row>
    <row r="508" spans="1:10" ht="12" customHeight="1" x14ac:dyDescent="0.3">
      <c r="A508" s="1">
        <f t="shared" si="3"/>
        <v>44229</v>
      </c>
      <c r="B508" s="20">
        <v>10704.419889502762</v>
      </c>
      <c r="C508" s="20">
        <f t="shared" si="4"/>
        <v>47185.398150372283</v>
      </c>
      <c r="D508" s="21" t="str">
        <f t="shared" si="0"/>
        <v>210202</v>
      </c>
      <c r="E508" s="22">
        <f t="shared" si="5"/>
        <v>4.4586120000000005</v>
      </c>
      <c r="F508" s="9">
        <v>0</v>
      </c>
      <c r="G508" s="14">
        <f t="shared" si="1"/>
        <v>99.861082623794374</v>
      </c>
      <c r="H508" s="24">
        <f t="shared" si="6"/>
        <v>-2170.4237620562594</v>
      </c>
      <c r="I508" s="20">
        <f t="shared" si="2"/>
        <v>45014.974388316026</v>
      </c>
      <c r="J508" s="17">
        <f t="shared" si="7"/>
        <v>4.5014974388316027</v>
      </c>
    </row>
    <row r="509" spans="1:10" ht="12" customHeight="1" x14ac:dyDescent="0.3">
      <c r="A509" s="1">
        <f t="shared" si="3"/>
        <v>44230</v>
      </c>
      <c r="B509" s="20">
        <v>10773.480662983426</v>
      </c>
      <c r="C509" s="20">
        <f t="shared" si="4"/>
        <v>47254.458923852944</v>
      </c>
      <c r="D509" s="21" t="str">
        <f t="shared" si="0"/>
        <v>210203</v>
      </c>
      <c r="E509" s="22">
        <f t="shared" si="5"/>
        <v>4.4586120000000005</v>
      </c>
      <c r="F509" s="9">
        <v>0</v>
      </c>
      <c r="G509" s="14">
        <f t="shared" si="1"/>
        <v>99.866602270478424</v>
      </c>
      <c r="H509" s="24">
        <f t="shared" si="6"/>
        <v>-2115.22729521576</v>
      </c>
      <c r="I509" s="20">
        <f t="shared" si="2"/>
        <v>45139.231628637186</v>
      </c>
      <c r="J509" s="17">
        <f t="shared" si="7"/>
        <v>4.5139231628637182</v>
      </c>
    </row>
    <row r="510" spans="1:10" ht="12" customHeight="1" x14ac:dyDescent="0.3">
      <c r="A510" s="1">
        <f t="shared" si="3"/>
        <v>44231</v>
      </c>
      <c r="B510" s="20">
        <v>10842.541436464087</v>
      </c>
      <c r="C510" s="20">
        <f t="shared" si="4"/>
        <v>47323.519697333606</v>
      </c>
      <c r="D510" s="21" t="str">
        <f t="shared" si="0"/>
        <v>210204</v>
      </c>
      <c r="E510" s="22">
        <f t="shared" si="5"/>
        <v>4.4586120000000005</v>
      </c>
      <c r="F510" s="9">
        <v>0</v>
      </c>
      <c r="G510" s="14">
        <f t="shared" si="1"/>
        <v>99.872124995756593</v>
      </c>
      <c r="H510" s="24">
        <f t="shared" si="6"/>
        <v>-2060.0000424340692</v>
      </c>
      <c r="I510" s="20">
        <f t="shared" si="2"/>
        <v>45263.519654899537</v>
      </c>
      <c r="J510" s="17">
        <f t="shared" si="7"/>
        <v>4.5263519654899538</v>
      </c>
    </row>
    <row r="511" spans="1:10" ht="12" customHeight="1" x14ac:dyDescent="0.3">
      <c r="A511" s="1">
        <f t="shared" si="3"/>
        <v>44232</v>
      </c>
      <c r="B511" s="20">
        <v>10911.602209944751</v>
      </c>
      <c r="C511" s="20">
        <f t="shared" si="4"/>
        <v>47392.580470814268</v>
      </c>
      <c r="D511" s="21" t="str">
        <f t="shared" si="0"/>
        <v>210205</v>
      </c>
      <c r="E511" s="22">
        <f t="shared" si="5"/>
        <v>4.4586120000000005</v>
      </c>
      <c r="F511" s="9">
        <v>0</v>
      </c>
      <c r="G511" s="14">
        <f t="shared" si="1"/>
        <v>99.877650800769615</v>
      </c>
      <c r="H511" s="24">
        <f t="shared" si="6"/>
        <v>-2004.741992303849</v>
      </c>
      <c r="I511" s="20">
        <f t="shared" si="2"/>
        <v>45387.838478510421</v>
      </c>
      <c r="J511" s="17">
        <f t="shared" si="7"/>
        <v>4.5387838478510423</v>
      </c>
    </row>
    <row r="512" spans="1:10" ht="12" customHeight="1" x14ac:dyDescent="0.3">
      <c r="A512" s="1">
        <f t="shared" si="3"/>
        <v>44235</v>
      </c>
      <c r="B512" s="20">
        <v>11118.784530386742</v>
      </c>
      <c r="C512" s="20">
        <f t="shared" si="4"/>
        <v>47599.76279125626</v>
      </c>
      <c r="D512" s="21" t="str">
        <f t="shared" si="0"/>
        <v>210208</v>
      </c>
      <c r="E512" s="22">
        <f t="shared" si="5"/>
        <v>4.4586120000000005</v>
      </c>
      <c r="F512" s="9">
        <v>0</v>
      </c>
      <c r="G512" s="14">
        <f t="shared" si="1"/>
        <v>99.894246705633932</v>
      </c>
      <c r="H512" s="24">
        <f t="shared" si="6"/>
        <v>-1838.7829436606751</v>
      </c>
      <c r="I512" s="20">
        <f t="shared" si="2"/>
        <v>45760.979847595583</v>
      </c>
      <c r="J512" s="17">
        <f t="shared" si="7"/>
        <v>4.5760979847595582</v>
      </c>
    </row>
    <row r="513" spans="1:11" ht="12" customHeight="1" x14ac:dyDescent="0.3">
      <c r="A513" s="1">
        <f t="shared" si="3"/>
        <v>44236</v>
      </c>
      <c r="B513" s="20">
        <v>11187.845303867403</v>
      </c>
      <c r="C513" s="20">
        <f t="shared" si="4"/>
        <v>47668.823564736922</v>
      </c>
      <c r="D513" s="21" t="str">
        <f t="shared" si="0"/>
        <v>210209</v>
      </c>
      <c r="E513" s="22">
        <f t="shared" si="5"/>
        <v>4.4586120000000005</v>
      </c>
      <c r="F513" s="9">
        <v>0</v>
      </c>
      <c r="G513" s="14">
        <f t="shared" si="1"/>
        <v>99.899784841005228</v>
      </c>
      <c r="H513" s="24">
        <f t="shared" si="6"/>
        <v>-1783.4015899477151</v>
      </c>
      <c r="I513" s="20">
        <f t="shared" si="2"/>
        <v>45885.421974789206</v>
      </c>
      <c r="J513" s="17">
        <f t="shared" si="7"/>
        <v>4.5885421974789207</v>
      </c>
    </row>
    <row r="514" spans="1:11" ht="12" customHeight="1" x14ac:dyDescent="0.3">
      <c r="A514" s="1">
        <f t="shared" si="3"/>
        <v>44237</v>
      </c>
      <c r="B514" s="20">
        <v>11256.906077348067</v>
      </c>
      <c r="C514" s="20">
        <f t="shared" si="4"/>
        <v>47737.884338217584</v>
      </c>
      <c r="D514" s="21" t="str">
        <f t="shared" si="0"/>
        <v>210210</v>
      </c>
      <c r="E514" s="22">
        <f t="shared" si="5"/>
        <v>4.4586120000000005</v>
      </c>
      <c r="F514" s="9">
        <v>0</v>
      </c>
      <c r="G514" s="14">
        <f t="shared" si="1"/>
        <v>99.905326061823601</v>
      </c>
      <c r="H514" s="24">
        <f t="shared" si="6"/>
        <v>-1727.9893817639902</v>
      </c>
      <c r="I514" s="20">
        <f t="shared" si="2"/>
        <v>46009.894956453594</v>
      </c>
      <c r="J514" s="17">
        <f t="shared" si="7"/>
        <v>4.6009894956453596</v>
      </c>
    </row>
    <row r="515" spans="1:11" ht="12" customHeight="1" x14ac:dyDescent="0.3">
      <c r="A515" s="1">
        <f t="shared" si="3"/>
        <v>44238</v>
      </c>
      <c r="B515" s="20">
        <v>11325.96685082873</v>
      </c>
      <c r="C515" s="20">
        <f t="shared" si="4"/>
        <v>47806.945111698245</v>
      </c>
      <c r="D515" s="21" t="str">
        <f t="shared" si="0"/>
        <v>210211</v>
      </c>
      <c r="E515" s="22">
        <f t="shared" si="5"/>
        <v>4.4586120000000005</v>
      </c>
      <c r="F515" s="9">
        <v>0</v>
      </c>
      <c r="G515" s="14">
        <f t="shared" si="1"/>
        <v>99.91087036923318</v>
      </c>
      <c r="H515" s="24">
        <f t="shared" si="6"/>
        <v>-1672.546307668199</v>
      </c>
      <c r="I515" s="20">
        <f t="shared" si="2"/>
        <v>46134.398804030046</v>
      </c>
      <c r="J515" s="17">
        <f t="shared" si="7"/>
        <v>4.6134398804030043</v>
      </c>
    </row>
    <row r="516" spans="1:11" ht="12" customHeight="1" x14ac:dyDescent="0.3">
      <c r="A516" s="1">
        <f t="shared" si="3"/>
        <v>44239</v>
      </c>
      <c r="B516" s="20">
        <v>11395.027624309394</v>
      </c>
      <c r="C516" s="20">
        <f t="shared" si="4"/>
        <v>47876.005885178907</v>
      </c>
      <c r="D516" s="21" t="str">
        <f t="shared" si="0"/>
        <v>210212</v>
      </c>
      <c r="E516" s="22">
        <f t="shared" si="5"/>
        <v>4.4586120000000005</v>
      </c>
      <c r="F516" s="9">
        <v>0</v>
      </c>
      <c r="G516" s="14">
        <f t="shared" si="1"/>
        <v>99.916417764378636</v>
      </c>
      <c r="H516" s="24">
        <f t="shared" si="6"/>
        <v>-1617.0723562136402</v>
      </c>
      <c r="I516" s="20">
        <f t="shared" si="2"/>
        <v>46258.933528965266</v>
      </c>
      <c r="J516" s="17">
        <f t="shared" si="7"/>
        <v>4.6258933528965267</v>
      </c>
    </row>
    <row r="517" spans="1:11" ht="12" customHeight="1" x14ac:dyDescent="0.3">
      <c r="A517" s="1">
        <f t="shared" si="3"/>
        <v>44242</v>
      </c>
      <c r="B517" s="20">
        <v>11602.209944751381</v>
      </c>
      <c r="C517" s="20">
        <f t="shared" si="4"/>
        <v>48083.188205620892</v>
      </c>
      <c r="D517" s="21" t="str">
        <f t="shared" si="0"/>
        <v>210215</v>
      </c>
      <c r="E517" s="22">
        <f t="shared" si="5"/>
        <v>4.4586120000000005</v>
      </c>
      <c r="F517" s="9">
        <v>0</v>
      </c>
      <c r="G517" s="14">
        <f t="shared" si="1"/>
        <v>99.933078487685933</v>
      </c>
      <c r="H517" s="24">
        <f t="shared" si="6"/>
        <v>-1450.465123140674</v>
      </c>
      <c r="I517" s="20">
        <f t="shared" si="2"/>
        <v>46632.723082480217</v>
      </c>
      <c r="J517" s="17">
        <f t="shared" si="7"/>
        <v>4.6632723082480219</v>
      </c>
    </row>
    <row r="518" spans="1:11" ht="12" customHeight="1" x14ac:dyDescent="0.3">
      <c r="A518" s="1">
        <f t="shared" si="3"/>
        <v>44243</v>
      </c>
      <c r="B518" s="20">
        <v>11671.270718232045</v>
      </c>
      <c r="C518" s="20">
        <f t="shared" si="4"/>
        <v>48152.248979101554</v>
      </c>
      <c r="D518" s="21" t="str">
        <f t="shared" si="0"/>
        <v>210216</v>
      </c>
      <c r="E518" s="22">
        <f t="shared" si="5"/>
        <v>4.4586120000000005</v>
      </c>
      <c r="F518" s="9">
        <v>0</v>
      </c>
      <c r="G518" s="14">
        <f t="shared" si="1"/>
        <v>99.938638245233349</v>
      </c>
      <c r="H518" s="24">
        <f t="shared" si="6"/>
        <v>-1394.8675476665073</v>
      </c>
      <c r="I518" s="20">
        <f t="shared" si="2"/>
        <v>46757.381431435046</v>
      </c>
      <c r="J518" s="17">
        <f t="shared" si="7"/>
        <v>4.675738143143505</v>
      </c>
    </row>
    <row r="519" spans="1:11" ht="12" customHeight="1" x14ac:dyDescent="0.3">
      <c r="A519" s="1">
        <f t="shared" si="3"/>
        <v>44244</v>
      </c>
      <c r="B519" s="20">
        <v>11740.331491712706</v>
      </c>
      <c r="C519" s="20">
        <f t="shared" si="4"/>
        <v>48221.309752582216</v>
      </c>
      <c r="D519" s="21" t="str">
        <f t="shared" si="0"/>
        <v>210217</v>
      </c>
      <c r="E519" s="22">
        <f t="shared" si="5"/>
        <v>4.4586120000000005</v>
      </c>
      <c r="F519" s="9">
        <v>0</v>
      </c>
      <c r="G519" s="14">
        <f t="shared" si="1"/>
        <v>99.944201096248662</v>
      </c>
      <c r="H519" s="24">
        <f t="shared" si="6"/>
        <v>-1339.2390375133803</v>
      </c>
      <c r="I519" s="20">
        <f t="shared" si="2"/>
        <v>46882.070715068832</v>
      </c>
      <c r="J519" s="17">
        <f t="shared" si="7"/>
        <v>4.6882070715068833</v>
      </c>
    </row>
    <row r="520" spans="1:11" ht="12" customHeight="1" x14ac:dyDescent="0.3">
      <c r="A520" s="1">
        <f t="shared" si="3"/>
        <v>44245</v>
      </c>
      <c r="B520" s="20">
        <v>11809.39226519337</v>
      </c>
      <c r="C520" s="20">
        <f t="shared" si="4"/>
        <v>48290.370526062878</v>
      </c>
      <c r="D520" s="21" t="str">
        <f t="shared" si="0"/>
        <v>210218</v>
      </c>
      <c r="E520" s="22">
        <f t="shared" si="5"/>
        <v>4.4586120000000005</v>
      </c>
      <c r="F520" s="9">
        <v>0</v>
      </c>
      <c r="G520" s="14">
        <f t="shared" si="1"/>
        <v>99.94976704187998</v>
      </c>
      <c r="H520" s="24">
        <f t="shared" si="6"/>
        <v>-1283.5795812002004</v>
      </c>
      <c r="I520" s="20">
        <f t="shared" si="2"/>
        <v>47006.790944862674</v>
      </c>
      <c r="J520" s="17">
        <f t="shared" si="7"/>
        <v>4.7006790944862678</v>
      </c>
    </row>
    <row r="521" spans="1:11" ht="12" customHeight="1" x14ac:dyDescent="0.3">
      <c r="A521" s="1">
        <f t="shared" si="3"/>
        <v>44246</v>
      </c>
      <c r="B521" s="20">
        <v>11878.453038674032</v>
      </c>
      <c r="C521" s="20">
        <f t="shared" si="4"/>
        <v>48359.431299543539</v>
      </c>
      <c r="D521" s="21" t="str">
        <f t="shared" si="0"/>
        <v>210219</v>
      </c>
      <c r="E521" s="22">
        <f t="shared" si="5"/>
        <v>4.4586120000000005</v>
      </c>
      <c r="F521" s="9">
        <v>0</v>
      </c>
      <c r="G521" s="14">
        <f t="shared" si="1"/>
        <v>99.955336083275938</v>
      </c>
      <c r="H521" s="24">
        <f t="shared" si="6"/>
        <v>-1227.8891672406189</v>
      </c>
      <c r="I521" s="20">
        <f t="shared" si="2"/>
        <v>47131.542132302922</v>
      </c>
      <c r="J521" s="17">
        <f t="shared" si="7"/>
        <v>4.7131542132302924</v>
      </c>
    </row>
    <row r="522" spans="1:11" ht="12" customHeight="1" x14ac:dyDescent="0.3">
      <c r="A522" s="1">
        <f t="shared" si="3"/>
        <v>44249</v>
      </c>
      <c r="B522" s="20">
        <v>12085.635359116022</v>
      </c>
      <c r="C522" s="20">
        <f t="shared" si="4"/>
        <v>48566.613619985532</v>
      </c>
      <c r="D522" s="21" t="str">
        <f t="shared" si="0"/>
        <v>210222</v>
      </c>
      <c r="E522" s="22">
        <f t="shared" si="5"/>
        <v>4.4586120000000005</v>
      </c>
      <c r="F522" s="9">
        <v>0</v>
      </c>
      <c r="G522" s="14">
        <f t="shared" si="1"/>
        <v>99.972061793547113</v>
      </c>
      <c r="H522" s="24">
        <f t="shared" si="6"/>
        <v>-1060.6320645288747</v>
      </c>
      <c r="I522" s="20">
        <f t="shared" si="2"/>
        <v>47505.981555456659</v>
      </c>
      <c r="J522" s="17">
        <f t="shared" si="7"/>
        <v>4.7505981555456662</v>
      </c>
    </row>
    <row r="523" spans="1:11" ht="12" customHeight="1" x14ac:dyDescent="0.3">
      <c r="A523" s="1">
        <f t="shared" si="3"/>
        <v>44250</v>
      </c>
      <c r="B523" s="20">
        <v>12154.696132596684</v>
      </c>
      <c r="C523" s="20">
        <f t="shared" si="4"/>
        <v>48635.674393466194</v>
      </c>
      <c r="D523" s="21" t="str">
        <f t="shared" si="0"/>
        <v>210223</v>
      </c>
      <c r="E523" s="22">
        <f t="shared" si="5"/>
        <v>4.4586120000000005</v>
      </c>
      <c r="F523" s="9">
        <v>0</v>
      </c>
      <c r="G523" s="14">
        <f t="shared" si="1"/>
        <v>99.977643229499833</v>
      </c>
      <c r="H523" s="24">
        <f t="shared" si="6"/>
        <v>-1004.8177050016704</v>
      </c>
      <c r="I523" s="20">
        <f t="shared" si="2"/>
        <v>47630.856688464526</v>
      </c>
      <c r="J523" s="17">
        <f t="shared" si="7"/>
        <v>4.7630856688464531</v>
      </c>
    </row>
    <row r="524" spans="1:11" ht="12" customHeight="1" x14ac:dyDescent="0.3">
      <c r="A524" s="1">
        <f t="shared" si="3"/>
        <v>44251</v>
      </c>
      <c r="B524" s="20">
        <v>12223.756906077348</v>
      </c>
      <c r="C524" s="20">
        <f t="shared" si="4"/>
        <v>48704.735166946855</v>
      </c>
      <c r="D524" s="21" t="str">
        <f t="shared" si="0"/>
        <v>210224</v>
      </c>
      <c r="E524" s="22">
        <f t="shared" si="5"/>
        <v>4.4586120000000005</v>
      </c>
      <c r="F524" s="9">
        <v>0</v>
      </c>
      <c r="G524" s="14">
        <f t="shared" si="1"/>
        <v>99.983227766969122</v>
      </c>
      <c r="H524" s="24">
        <f t="shared" si="6"/>
        <v>-948.97233030877715</v>
      </c>
      <c r="I524" s="20">
        <f t="shared" si="2"/>
        <v>47755.762836638081</v>
      </c>
      <c r="J524" s="17">
        <f t="shared" si="7"/>
        <v>4.775576283663808</v>
      </c>
    </row>
    <row r="525" spans="1:11" ht="12" customHeight="1" x14ac:dyDescent="0.3">
      <c r="A525" s="1">
        <f t="shared" si="3"/>
        <v>44252</v>
      </c>
      <c r="B525" s="20">
        <v>12292.817679558013</v>
      </c>
      <c r="C525" s="20">
        <f t="shared" si="4"/>
        <v>48773.795940427517</v>
      </c>
      <c r="D525" s="21" t="str">
        <f t="shared" si="0"/>
        <v>210225</v>
      </c>
      <c r="E525" s="22">
        <f t="shared" si="5"/>
        <v>4.4586120000000005</v>
      </c>
      <c r="F525" s="9">
        <v>0</v>
      </c>
      <c r="G525" s="14">
        <f t="shared" si="1"/>
        <v>99.988815407107055</v>
      </c>
      <c r="H525" s="24">
        <f t="shared" si="6"/>
        <v>-893.09592892945477</v>
      </c>
      <c r="I525" s="20">
        <f t="shared" si="2"/>
        <v>47880.700011498062</v>
      </c>
      <c r="J525" s="17">
        <f t="shared" si="7"/>
        <v>4.7880700011498067</v>
      </c>
    </row>
    <row r="526" spans="1:11" ht="12" customHeight="1" x14ac:dyDescent="0.3">
      <c r="A526" s="1">
        <f t="shared" si="3"/>
        <v>44253</v>
      </c>
      <c r="B526" s="20">
        <v>12361.878453038675</v>
      </c>
      <c r="C526" s="20">
        <f t="shared" si="4"/>
        <v>48842.856713908179</v>
      </c>
      <c r="D526" s="21" t="str">
        <f t="shared" si="0"/>
        <v>210226</v>
      </c>
      <c r="E526" s="22">
        <f t="shared" si="5"/>
        <v>4.4586120000000005</v>
      </c>
      <c r="F526" s="9">
        <v>0</v>
      </c>
      <c r="G526" s="14">
        <f t="shared" si="1"/>
        <v>99.994406151066244</v>
      </c>
      <c r="H526" s="24">
        <f t="shared" si="6"/>
        <v>-837.18848933756362</v>
      </c>
      <c r="I526" s="20">
        <f t="shared" si="2"/>
        <v>48005.668224570618</v>
      </c>
      <c r="J526" s="17">
        <f t="shared" si="7"/>
        <v>4.8005668224570623</v>
      </c>
      <c r="K526" s="9">
        <f>WEEKDAY(A526)</f>
        <v>6</v>
      </c>
    </row>
    <row r="527" spans="1:11" ht="12" customHeight="1" x14ac:dyDescent="0.3">
      <c r="A527" s="1">
        <f t="shared" si="3"/>
        <v>44256</v>
      </c>
      <c r="B527" s="20">
        <v>0</v>
      </c>
      <c r="C527" s="20">
        <f t="shared" si="4"/>
        <v>48980.978260869502</v>
      </c>
      <c r="D527" s="21" t="str">
        <f t="shared" si="0"/>
        <v>210301</v>
      </c>
      <c r="E527" s="22">
        <f t="shared" si="5"/>
        <v>4.4586120000000005</v>
      </c>
      <c r="F527" s="9">
        <v>0</v>
      </c>
      <c r="G527" s="25">
        <v>100</v>
      </c>
      <c r="H527" s="24">
        <f t="shared" si="6"/>
        <v>-781.25</v>
      </c>
      <c r="I527" s="20">
        <f t="shared" si="2"/>
        <v>48199.728260869502</v>
      </c>
      <c r="J527" s="17">
        <f t="shared" si="7"/>
        <v>4.8199728260869508</v>
      </c>
    </row>
    <row r="528" spans="1:11" ht="12" customHeight="1" x14ac:dyDescent="0.25">
      <c r="A528" s="1"/>
      <c r="B528" s="3"/>
      <c r="C528" s="21"/>
      <c r="D528" s="3"/>
      <c r="E528" s="3"/>
      <c r="F528" s="3"/>
      <c r="G528" s="24"/>
      <c r="H528" s="20"/>
      <c r="I528" s="17"/>
    </row>
    <row r="529" spans="1:10" ht="12" customHeight="1" x14ac:dyDescent="0.25">
      <c r="A529" s="1"/>
      <c r="B529" s="3"/>
      <c r="C529" s="21"/>
      <c r="D529" s="3"/>
      <c r="E529" s="3"/>
      <c r="F529" s="3"/>
      <c r="G529" s="24"/>
      <c r="H529" s="20"/>
      <c r="I529" s="17"/>
    </row>
    <row r="530" spans="1:10" ht="12" customHeight="1" x14ac:dyDescent="0.25">
      <c r="A530" s="1"/>
      <c r="B530" s="14"/>
      <c r="C530" s="3"/>
      <c r="D530" s="21"/>
      <c r="E530" s="3"/>
      <c r="F530" s="3"/>
      <c r="G530" s="3"/>
      <c r="H530" s="24"/>
      <c r="I530" s="20"/>
      <c r="J530" s="17"/>
    </row>
    <row r="531" spans="1:10" ht="12" customHeight="1" x14ac:dyDescent="0.25">
      <c r="A531" s="1"/>
      <c r="B531" s="14"/>
      <c r="C531" s="3"/>
      <c r="D531" s="21"/>
      <c r="E531" s="3"/>
      <c r="F531" s="3"/>
      <c r="G531" s="3"/>
      <c r="H531" s="24"/>
      <c r="I531" s="20"/>
      <c r="J531" s="17"/>
    </row>
    <row r="532" spans="1:10" ht="12" customHeight="1" x14ac:dyDescent="0.25">
      <c r="A532" s="1"/>
      <c r="B532" s="14"/>
      <c r="C532" s="3"/>
      <c r="D532" s="21"/>
      <c r="E532" s="3"/>
      <c r="F532" s="3"/>
      <c r="G532" s="3"/>
      <c r="H532" s="24"/>
      <c r="I532" s="20"/>
      <c r="J532" s="17"/>
    </row>
    <row r="533" spans="1:10" ht="12" customHeight="1" x14ac:dyDescent="0.25">
      <c r="A533" s="1"/>
      <c r="B533" s="14"/>
      <c r="C533" s="3"/>
      <c r="D533" s="21"/>
      <c r="E533" s="3"/>
      <c r="F533" s="3"/>
      <c r="G533" s="3"/>
      <c r="H533" s="24"/>
      <c r="I533" s="20"/>
      <c r="J533" s="17"/>
    </row>
    <row r="534" spans="1:10" ht="12" customHeight="1" x14ac:dyDescent="0.25">
      <c r="A534" s="1"/>
      <c r="B534" s="14"/>
      <c r="C534" s="3"/>
      <c r="D534" s="21"/>
      <c r="E534" s="3"/>
      <c r="F534" s="3"/>
      <c r="G534" s="3"/>
      <c r="H534" s="24"/>
      <c r="I534" s="20"/>
      <c r="J534" s="17"/>
    </row>
    <row r="535" spans="1:10" ht="12" customHeight="1" x14ac:dyDescent="0.25">
      <c r="A535" s="1"/>
      <c r="B535" s="14"/>
      <c r="C535" s="3"/>
      <c r="D535" s="21"/>
      <c r="E535" s="3"/>
      <c r="F535" s="3"/>
      <c r="G535" s="3"/>
      <c r="H535" s="24"/>
      <c r="I535" s="20"/>
      <c r="J535" s="17"/>
    </row>
    <row r="536" spans="1:10" ht="12" customHeight="1" x14ac:dyDescent="0.25">
      <c r="A536" s="1"/>
      <c r="B536" s="14"/>
      <c r="C536" s="3"/>
      <c r="D536" s="21"/>
      <c r="E536" s="3"/>
      <c r="F536" s="3"/>
      <c r="G536" s="3"/>
      <c r="H536" s="24"/>
      <c r="I536" s="20"/>
      <c r="J536" s="17"/>
    </row>
    <row r="537" spans="1:10" ht="12" customHeight="1" x14ac:dyDescent="0.25">
      <c r="A537" s="1"/>
      <c r="B537" s="14"/>
      <c r="C537" s="3"/>
      <c r="D537" s="21"/>
      <c r="E537" s="3"/>
      <c r="F537" s="3"/>
      <c r="G537" s="3"/>
      <c r="H537" s="24"/>
      <c r="I537" s="20"/>
      <c r="J537" s="17"/>
    </row>
    <row r="538" spans="1:10" ht="12" customHeight="1" x14ac:dyDescent="0.25">
      <c r="A538" s="1"/>
      <c r="B538" s="14"/>
      <c r="C538" s="3"/>
      <c r="D538" s="21"/>
      <c r="E538" s="3"/>
      <c r="F538" s="3"/>
      <c r="G538" s="3"/>
      <c r="H538" s="24"/>
      <c r="I538" s="20"/>
      <c r="J538" s="17"/>
    </row>
    <row r="539" spans="1:10" ht="12" customHeight="1" x14ac:dyDescent="0.25">
      <c r="A539" s="1"/>
      <c r="B539" s="14"/>
      <c r="C539" s="3"/>
      <c r="D539" s="21"/>
      <c r="E539" s="3"/>
      <c r="F539" s="3"/>
      <c r="G539" s="3"/>
      <c r="H539" s="24"/>
      <c r="I539" s="20"/>
      <c r="J539" s="17"/>
    </row>
    <row r="540" spans="1:10" ht="12" customHeight="1" x14ac:dyDescent="0.25">
      <c r="A540" s="1"/>
      <c r="B540" s="14"/>
      <c r="C540" s="3"/>
      <c r="D540" s="21"/>
      <c r="E540" s="3"/>
      <c r="F540" s="3"/>
      <c r="G540" s="3"/>
      <c r="H540" s="24"/>
      <c r="I540" s="20"/>
      <c r="J540" s="17"/>
    </row>
    <row r="541" spans="1:10" ht="12" customHeight="1" x14ac:dyDescent="0.25">
      <c r="A541" s="1"/>
      <c r="B541" s="14"/>
      <c r="C541" s="3"/>
      <c r="D541" s="21"/>
      <c r="E541" s="3"/>
      <c r="F541" s="3"/>
      <c r="G541" s="3"/>
      <c r="H541" s="24"/>
      <c r="I541" s="20"/>
      <c r="J541" s="17"/>
    </row>
    <row r="542" spans="1:10" ht="12" customHeight="1" x14ac:dyDescent="0.25">
      <c r="A542" s="1"/>
      <c r="B542" s="14"/>
      <c r="C542" s="3"/>
      <c r="D542" s="21"/>
      <c r="E542" s="3"/>
      <c r="F542" s="3"/>
      <c r="G542" s="3"/>
      <c r="H542" s="24"/>
      <c r="I542" s="20"/>
      <c r="J542" s="17"/>
    </row>
    <row r="543" spans="1:10" ht="12" customHeight="1" x14ac:dyDescent="0.25">
      <c r="A543" s="1"/>
      <c r="B543" s="14"/>
      <c r="C543" s="3"/>
      <c r="D543" s="21"/>
      <c r="E543" s="3"/>
      <c r="F543" s="3"/>
      <c r="G543" s="3"/>
      <c r="H543" s="24"/>
      <c r="I543" s="20"/>
      <c r="J543" s="17"/>
    </row>
    <row r="544" spans="1:10" ht="12" customHeight="1" x14ac:dyDescent="0.25">
      <c r="A544" s="1"/>
      <c r="B544" s="14"/>
      <c r="C544" s="3"/>
      <c r="D544" s="21"/>
      <c r="E544" s="3"/>
      <c r="F544" s="3"/>
      <c r="G544" s="3"/>
      <c r="H544" s="24"/>
      <c r="I544" s="20"/>
      <c r="J544" s="17"/>
    </row>
    <row r="545" spans="1:10" ht="12" customHeight="1" x14ac:dyDescent="0.25">
      <c r="A545" s="1"/>
      <c r="B545" s="14"/>
      <c r="C545" s="3"/>
      <c r="D545" s="21"/>
      <c r="E545" s="3"/>
      <c r="F545" s="3"/>
      <c r="G545" s="3"/>
      <c r="H545" s="24"/>
      <c r="I545" s="20"/>
      <c r="J545" s="17"/>
    </row>
    <row r="546" spans="1:10" ht="12" customHeight="1" x14ac:dyDescent="0.25">
      <c r="A546" s="1"/>
      <c r="B546" s="14"/>
      <c r="C546" s="3"/>
      <c r="D546" s="21"/>
      <c r="E546" s="3"/>
      <c r="F546" s="3"/>
      <c r="G546" s="3"/>
      <c r="H546" s="24"/>
      <c r="I546" s="20"/>
      <c r="J546" s="17"/>
    </row>
    <row r="547" spans="1:10" ht="12" customHeight="1" x14ac:dyDescent="0.25">
      <c r="A547" s="1"/>
      <c r="B547" s="14"/>
      <c r="C547" s="3"/>
      <c r="D547" s="21"/>
      <c r="E547" s="3"/>
      <c r="F547" s="3"/>
      <c r="G547" s="3"/>
      <c r="H547" s="24"/>
      <c r="I547" s="20"/>
      <c r="J547" s="17"/>
    </row>
    <row r="548" spans="1:10" ht="12" customHeight="1" x14ac:dyDescent="0.25">
      <c r="A548" s="1"/>
      <c r="B548" s="14"/>
      <c r="C548" s="3"/>
      <c r="D548" s="21"/>
      <c r="E548" s="3"/>
      <c r="F548" s="3"/>
      <c r="G548" s="3"/>
      <c r="H548" s="24"/>
      <c r="I548" s="20"/>
      <c r="J548" s="17"/>
    </row>
    <row r="549" spans="1:10" ht="12" customHeight="1" x14ac:dyDescent="0.25">
      <c r="A549" s="1"/>
      <c r="B549" s="14"/>
      <c r="C549" s="3"/>
      <c r="D549" s="21"/>
      <c r="E549" s="3"/>
      <c r="F549" s="3"/>
      <c r="G549" s="3"/>
      <c r="H549" s="24"/>
      <c r="I549" s="20"/>
      <c r="J549" s="17"/>
    </row>
    <row r="550" spans="1:10" ht="12" customHeight="1" x14ac:dyDescent="0.25">
      <c r="A550" s="1"/>
      <c r="B550" s="14"/>
      <c r="C550" s="3"/>
      <c r="D550" s="21"/>
      <c r="E550" s="3"/>
      <c r="F550" s="3"/>
      <c r="G550" s="3"/>
      <c r="H550" s="24"/>
      <c r="I550" s="20"/>
      <c r="J550" s="17"/>
    </row>
    <row r="551" spans="1:10" ht="12" customHeight="1" x14ac:dyDescent="0.25">
      <c r="A551" s="1"/>
      <c r="B551" s="14"/>
      <c r="C551" s="3"/>
      <c r="D551" s="21"/>
      <c r="E551" s="3"/>
      <c r="F551" s="3"/>
      <c r="G551" s="3"/>
      <c r="H551" s="24"/>
      <c r="I551" s="20"/>
      <c r="J551" s="17"/>
    </row>
    <row r="552" spans="1:10" ht="12" customHeight="1" x14ac:dyDescent="0.25">
      <c r="A552" s="1"/>
      <c r="B552" s="14"/>
      <c r="C552" s="3"/>
      <c r="D552" s="21"/>
      <c r="E552" s="3"/>
      <c r="F552" s="3"/>
      <c r="G552" s="3"/>
      <c r="H552" s="24"/>
      <c r="I552" s="20"/>
      <c r="J552" s="17"/>
    </row>
    <row r="553" spans="1:10" ht="12" customHeight="1" x14ac:dyDescent="0.25">
      <c r="A553" s="1"/>
      <c r="B553" s="14"/>
      <c r="C553" s="3"/>
      <c r="D553" s="21"/>
      <c r="E553" s="3"/>
      <c r="F553" s="3"/>
      <c r="G553" s="3"/>
      <c r="H553" s="24"/>
      <c r="I553" s="20"/>
      <c r="J553" s="17"/>
    </row>
    <row r="554" spans="1:10" ht="12" customHeight="1" x14ac:dyDescent="0.25">
      <c r="A554" s="1"/>
      <c r="B554" s="14"/>
      <c r="C554" s="3"/>
      <c r="D554" s="21"/>
      <c r="E554" s="3"/>
      <c r="F554" s="3"/>
      <c r="G554" s="3"/>
      <c r="H554" s="24"/>
      <c r="I554" s="20"/>
      <c r="J554" s="17"/>
    </row>
    <row r="555" spans="1:10" ht="12" customHeight="1" x14ac:dyDescent="0.25">
      <c r="A555" s="1"/>
      <c r="B555" s="14"/>
      <c r="C555" s="3"/>
      <c r="D555" s="21"/>
      <c r="E555" s="3"/>
      <c r="F555" s="3"/>
      <c r="G555" s="3"/>
      <c r="H555" s="24"/>
      <c r="I555" s="20"/>
      <c r="J555" s="17"/>
    </row>
    <row r="556" spans="1:10" ht="12" customHeight="1" x14ac:dyDescent="0.25">
      <c r="A556" s="1"/>
      <c r="B556" s="14"/>
      <c r="C556" s="3"/>
      <c r="D556" s="21"/>
      <c r="E556" s="3"/>
      <c r="F556" s="3"/>
      <c r="G556" s="3"/>
      <c r="H556" s="24"/>
      <c r="I556" s="20"/>
      <c r="J556" s="17"/>
    </row>
    <row r="557" spans="1:10" ht="12" customHeight="1" x14ac:dyDescent="0.25">
      <c r="A557" s="1"/>
      <c r="B557" s="14"/>
      <c r="C557" s="3"/>
      <c r="D557" s="21"/>
      <c r="E557" s="3"/>
      <c r="F557" s="3"/>
      <c r="G557" s="3"/>
      <c r="H557" s="24"/>
      <c r="I557" s="20"/>
      <c r="J557" s="17"/>
    </row>
    <row r="558" spans="1:10" ht="12" customHeight="1" x14ac:dyDescent="0.25">
      <c r="A558" s="1"/>
      <c r="B558" s="14"/>
      <c r="C558" s="3"/>
      <c r="D558" s="21"/>
      <c r="E558" s="3"/>
      <c r="F558" s="3"/>
      <c r="G558" s="3"/>
      <c r="H558" s="24"/>
      <c r="I558" s="20"/>
      <c r="J558" s="17"/>
    </row>
    <row r="559" spans="1:10" ht="12" customHeight="1" x14ac:dyDescent="0.25">
      <c r="A559" s="1"/>
      <c r="B559" s="14"/>
      <c r="C559" s="3"/>
      <c r="D559" s="21"/>
      <c r="E559" s="3"/>
      <c r="F559" s="3"/>
      <c r="G559" s="3"/>
      <c r="H559" s="24"/>
      <c r="I559" s="20"/>
      <c r="J559" s="17"/>
    </row>
    <row r="560" spans="1:10" ht="12" customHeight="1" x14ac:dyDescent="0.25">
      <c r="A560" s="1"/>
      <c r="B560" s="14"/>
      <c r="C560" s="3"/>
      <c r="D560" s="21"/>
      <c r="E560" s="3"/>
      <c r="F560" s="3"/>
      <c r="G560" s="3"/>
      <c r="H560" s="24"/>
      <c r="I560" s="20"/>
      <c r="J560" s="17"/>
    </row>
    <row r="561" spans="1:10" ht="12" customHeight="1" x14ac:dyDescent="0.25">
      <c r="A561" s="1"/>
      <c r="B561" s="14"/>
      <c r="C561" s="3"/>
      <c r="D561" s="21"/>
      <c r="E561" s="3"/>
      <c r="F561" s="3"/>
      <c r="G561" s="3"/>
      <c r="H561" s="24"/>
      <c r="I561" s="20"/>
      <c r="J561" s="17"/>
    </row>
    <row r="562" spans="1:10" ht="12" customHeight="1" x14ac:dyDescent="0.25">
      <c r="A562" s="1"/>
      <c r="B562" s="14"/>
      <c r="C562" s="3"/>
      <c r="D562" s="21"/>
      <c r="E562" s="3"/>
      <c r="F562" s="3"/>
      <c r="G562" s="3"/>
      <c r="H562" s="24"/>
      <c r="I562" s="20"/>
      <c r="J562" s="17"/>
    </row>
    <row r="563" spans="1:10" ht="12" customHeight="1" x14ac:dyDescent="0.25">
      <c r="A563" s="1"/>
      <c r="B563" s="14"/>
      <c r="C563" s="3"/>
      <c r="D563" s="21"/>
      <c r="E563" s="3"/>
      <c r="F563" s="3"/>
      <c r="G563" s="3"/>
      <c r="H563" s="24"/>
      <c r="I563" s="20"/>
      <c r="J563" s="17"/>
    </row>
    <row r="564" spans="1:10" ht="12" customHeight="1" x14ac:dyDescent="0.25">
      <c r="A564" s="1"/>
      <c r="B564" s="14"/>
      <c r="C564" s="3"/>
      <c r="D564" s="21"/>
      <c r="E564" s="3"/>
      <c r="F564" s="3"/>
      <c r="G564" s="3"/>
      <c r="H564" s="24"/>
      <c r="I564" s="20"/>
      <c r="J564" s="17"/>
    </row>
    <row r="565" spans="1:10" ht="12" customHeight="1" x14ac:dyDescent="0.25">
      <c r="A565" s="1"/>
      <c r="B565" s="14"/>
      <c r="C565" s="3"/>
      <c r="D565" s="21"/>
      <c r="E565" s="3"/>
      <c r="F565" s="3"/>
      <c r="G565" s="3"/>
      <c r="H565" s="24"/>
      <c r="I565" s="20"/>
      <c r="J565" s="17"/>
    </row>
    <row r="566" spans="1:10" ht="12" customHeight="1" x14ac:dyDescent="0.25">
      <c r="A566" s="1"/>
      <c r="B566" s="14"/>
      <c r="C566" s="3"/>
      <c r="D566" s="21"/>
      <c r="E566" s="3"/>
      <c r="F566" s="3"/>
      <c r="G566" s="3"/>
      <c r="H566" s="24"/>
      <c r="I566" s="20"/>
      <c r="J566" s="17"/>
    </row>
    <row r="567" spans="1:10" ht="12" customHeight="1" x14ac:dyDescent="0.25">
      <c r="A567" s="1"/>
      <c r="B567" s="14"/>
      <c r="C567" s="3"/>
      <c r="D567" s="21"/>
      <c r="E567" s="3"/>
      <c r="F567" s="3"/>
      <c r="G567" s="3"/>
      <c r="H567" s="24"/>
      <c r="I567" s="20"/>
      <c r="J567" s="17"/>
    </row>
    <row r="568" spans="1:10" ht="12" customHeight="1" x14ac:dyDescent="0.25">
      <c r="A568" s="1"/>
      <c r="B568" s="14"/>
      <c r="C568" s="3"/>
      <c r="D568" s="21"/>
      <c r="E568" s="3"/>
      <c r="F568" s="3"/>
      <c r="G568" s="3"/>
      <c r="H568" s="24"/>
      <c r="I568" s="20"/>
      <c r="J568" s="17"/>
    </row>
    <row r="569" spans="1:10" ht="12" customHeight="1" x14ac:dyDescent="0.25">
      <c r="A569" s="1"/>
      <c r="B569" s="14"/>
      <c r="C569" s="3"/>
      <c r="D569" s="21"/>
      <c r="E569" s="3"/>
      <c r="F569" s="3"/>
      <c r="G569" s="3"/>
      <c r="H569" s="24"/>
      <c r="I569" s="20"/>
      <c r="J569" s="17"/>
    </row>
    <row r="570" spans="1:10" ht="12" customHeight="1" x14ac:dyDescent="0.25">
      <c r="A570" s="1"/>
      <c r="B570" s="14"/>
      <c r="C570" s="3"/>
      <c r="D570" s="21"/>
      <c r="E570" s="3"/>
      <c r="F570" s="3"/>
      <c r="G570" s="3"/>
      <c r="H570" s="24"/>
      <c r="I570" s="20"/>
      <c r="J570" s="17"/>
    </row>
    <row r="571" spans="1:10" ht="12" customHeight="1" x14ac:dyDescent="0.25">
      <c r="A571" s="1"/>
      <c r="B571" s="14"/>
      <c r="C571" s="3"/>
      <c r="D571" s="21"/>
      <c r="E571" s="3"/>
      <c r="F571" s="3"/>
      <c r="G571" s="3"/>
      <c r="H571" s="24"/>
      <c r="I571" s="20"/>
      <c r="J571" s="17"/>
    </row>
    <row r="572" spans="1:10" ht="12" customHeight="1" x14ac:dyDescent="0.25">
      <c r="A572" s="1"/>
      <c r="B572" s="14"/>
      <c r="C572" s="3"/>
      <c r="D572" s="21"/>
      <c r="E572" s="3"/>
      <c r="F572" s="3"/>
      <c r="G572" s="3"/>
      <c r="H572" s="24"/>
      <c r="I572" s="20"/>
      <c r="J572" s="17"/>
    </row>
    <row r="573" spans="1:10" ht="12" customHeight="1" x14ac:dyDescent="0.25">
      <c r="A573" s="1"/>
      <c r="B573" s="14"/>
      <c r="C573" s="3"/>
      <c r="D573" s="21"/>
      <c r="E573" s="3"/>
      <c r="F573" s="3"/>
      <c r="G573" s="3"/>
      <c r="H573" s="24"/>
      <c r="I573" s="20"/>
      <c r="J573" s="17"/>
    </row>
    <row r="574" spans="1:10" ht="12" customHeight="1" x14ac:dyDescent="0.25">
      <c r="A574" s="1"/>
      <c r="B574" s="14"/>
      <c r="C574" s="3"/>
      <c r="D574" s="21"/>
      <c r="E574" s="3"/>
      <c r="F574" s="3"/>
      <c r="G574" s="3"/>
      <c r="H574" s="24"/>
      <c r="I574" s="20"/>
      <c r="J574" s="17"/>
    </row>
    <row r="575" spans="1:10" ht="12" customHeight="1" x14ac:dyDescent="0.25">
      <c r="A575" s="1"/>
      <c r="B575" s="14"/>
      <c r="C575" s="3"/>
      <c r="D575" s="21"/>
      <c r="E575" s="3"/>
      <c r="F575" s="3"/>
      <c r="G575" s="3"/>
      <c r="H575" s="24"/>
      <c r="I575" s="20"/>
      <c r="J575" s="17"/>
    </row>
    <row r="576" spans="1:10" ht="12" customHeight="1" x14ac:dyDescent="0.25">
      <c r="A576" s="1"/>
      <c r="B576" s="14"/>
      <c r="C576" s="3"/>
      <c r="D576" s="21"/>
      <c r="E576" s="3"/>
      <c r="F576" s="3"/>
      <c r="G576" s="3"/>
      <c r="H576" s="24"/>
      <c r="I576" s="20"/>
      <c r="J576" s="17"/>
    </row>
    <row r="577" spans="1:10" ht="12" customHeight="1" x14ac:dyDescent="0.25">
      <c r="A577" s="1"/>
      <c r="B577" s="14"/>
      <c r="C577" s="3"/>
      <c r="D577" s="21"/>
      <c r="E577" s="3"/>
      <c r="F577" s="3"/>
      <c r="G577" s="3"/>
      <c r="H577" s="24"/>
      <c r="I577" s="20"/>
      <c r="J577" s="17"/>
    </row>
    <row r="578" spans="1:10" ht="12" customHeight="1" x14ac:dyDescent="0.25">
      <c r="A578" s="1"/>
      <c r="B578" s="14"/>
      <c r="C578" s="3"/>
      <c r="D578" s="21"/>
      <c r="E578" s="3"/>
      <c r="F578" s="3"/>
      <c r="G578" s="3"/>
      <c r="H578" s="24"/>
      <c r="I578" s="20"/>
      <c r="J578" s="17"/>
    </row>
    <row r="579" spans="1:10" ht="12" customHeight="1" x14ac:dyDescent="0.25">
      <c r="A579" s="1"/>
      <c r="B579" s="14"/>
      <c r="C579" s="3"/>
      <c r="D579" s="21"/>
      <c r="E579" s="3"/>
      <c r="F579" s="3"/>
      <c r="G579" s="3"/>
      <c r="H579" s="24"/>
      <c r="I579" s="20"/>
      <c r="J579" s="17"/>
    </row>
    <row r="580" spans="1:10" ht="12" customHeight="1" x14ac:dyDescent="0.25">
      <c r="A580" s="1"/>
      <c r="B580" s="14"/>
      <c r="C580" s="3"/>
      <c r="D580" s="21"/>
      <c r="E580" s="3"/>
      <c r="F580" s="3"/>
      <c r="G580" s="3"/>
      <c r="H580" s="24"/>
      <c r="I580" s="20"/>
      <c r="J580" s="17"/>
    </row>
    <row r="581" spans="1:10" ht="12" customHeight="1" x14ac:dyDescent="0.25">
      <c r="A581" s="1"/>
      <c r="B581" s="14"/>
      <c r="C581" s="3"/>
      <c r="D581" s="21"/>
      <c r="E581" s="3"/>
      <c r="F581" s="3"/>
      <c r="G581" s="3"/>
      <c r="H581" s="24"/>
      <c r="I581" s="20"/>
      <c r="J581" s="17"/>
    </row>
    <row r="582" spans="1:10" ht="12" customHeight="1" x14ac:dyDescent="0.25">
      <c r="A582" s="1"/>
      <c r="B582" s="14"/>
      <c r="C582" s="3"/>
      <c r="D582" s="21"/>
      <c r="E582" s="3"/>
      <c r="F582" s="3"/>
      <c r="G582" s="3"/>
      <c r="H582" s="24"/>
      <c r="I582" s="20"/>
      <c r="J582" s="17"/>
    </row>
    <row r="583" spans="1:10" ht="12" customHeight="1" x14ac:dyDescent="0.25">
      <c r="A583" s="1"/>
      <c r="B583" s="14"/>
      <c r="C583" s="3"/>
      <c r="D583" s="21"/>
      <c r="E583" s="3"/>
      <c r="F583" s="3"/>
      <c r="G583" s="3"/>
      <c r="H583" s="24"/>
      <c r="I583" s="20"/>
      <c r="J583" s="17"/>
    </row>
    <row r="584" spans="1:10" ht="12" customHeight="1" x14ac:dyDescent="0.25">
      <c r="A584" s="1"/>
      <c r="B584" s="14"/>
      <c r="C584" s="3"/>
      <c r="D584" s="21"/>
      <c r="E584" s="3"/>
      <c r="F584" s="3"/>
      <c r="G584" s="3"/>
      <c r="H584" s="24"/>
      <c r="I584" s="20"/>
      <c r="J584" s="17"/>
    </row>
    <row r="585" spans="1:10" ht="12" customHeight="1" x14ac:dyDescent="0.25">
      <c r="A585" s="1"/>
      <c r="B585" s="14"/>
      <c r="C585" s="3"/>
      <c r="D585" s="21"/>
      <c r="E585" s="3"/>
      <c r="F585" s="3"/>
      <c r="G585" s="3"/>
      <c r="H585" s="24"/>
      <c r="I585" s="20"/>
      <c r="J585" s="17"/>
    </row>
    <row r="586" spans="1:10" ht="12" customHeight="1" x14ac:dyDescent="0.25">
      <c r="A586" s="1"/>
      <c r="B586" s="14"/>
      <c r="C586" s="3"/>
      <c r="D586" s="21"/>
      <c r="E586" s="3"/>
      <c r="F586" s="3"/>
      <c r="G586" s="3"/>
      <c r="H586" s="24"/>
      <c r="I586" s="20"/>
      <c r="J586" s="17"/>
    </row>
    <row r="587" spans="1:10" ht="12" customHeight="1" x14ac:dyDescent="0.25">
      <c r="A587" s="1"/>
      <c r="B587" s="14"/>
      <c r="C587" s="3"/>
      <c r="D587" s="21"/>
      <c r="E587" s="3"/>
      <c r="F587" s="3"/>
      <c r="G587" s="3"/>
      <c r="H587" s="24"/>
      <c r="I587" s="20"/>
      <c r="J587" s="17"/>
    </row>
    <row r="588" spans="1:10" ht="12" customHeight="1" x14ac:dyDescent="0.25">
      <c r="A588" s="1"/>
      <c r="B588" s="14"/>
      <c r="C588" s="3"/>
      <c r="D588" s="21"/>
      <c r="E588" s="3"/>
      <c r="F588" s="3"/>
      <c r="G588" s="3"/>
      <c r="H588" s="24"/>
      <c r="I588" s="20"/>
      <c r="J588" s="17"/>
    </row>
    <row r="589" spans="1:10" ht="12" customHeight="1" x14ac:dyDescent="0.25">
      <c r="A589" s="1"/>
      <c r="B589" s="14"/>
      <c r="C589" s="3"/>
      <c r="D589" s="21"/>
      <c r="E589" s="3"/>
      <c r="F589" s="3"/>
      <c r="G589" s="3"/>
      <c r="H589" s="24"/>
      <c r="I589" s="20"/>
      <c r="J589" s="17"/>
    </row>
    <row r="590" spans="1:10" ht="12" customHeight="1" x14ac:dyDescent="0.25">
      <c r="A590" s="1"/>
      <c r="B590" s="14"/>
      <c r="C590" s="3"/>
      <c r="D590" s="21"/>
      <c r="E590" s="3"/>
      <c r="F590" s="3"/>
      <c r="G590" s="3"/>
      <c r="H590" s="24"/>
      <c r="I590" s="20"/>
      <c r="J590" s="17"/>
    </row>
    <row r="591" spans="1:10" ht="12" customHeight="1" x14ac:dyDescent="0.25">
      <c r="A591" s="1"/>
      <c r="B591" s="14"/>
      <c r="C591" s="3"/>
      <c r="D591" s="21"/>
      <c r="E591" s="3"/>
      <c r="F591" s="3"/>
      <c r="G591" s="3"/>
      <c r="H591" s="24"/>
      <c r="I591" s="20"/>
      <c r="J591" s="17"/>
    </row>
    <row r="592" spans="1:10" ht="12" customHeight="1" x14ac:dyDescent="0.25">
      <c r="A592" s="1"/>
      <c r="B592" s="14"/>
      <c r="C592" s="3"/>
      <c r="D592" s="21"/>
      <c r="E592" s="3"/>
      <c r="F592" s="3"/>
      <c r="G592" s="3"/>
      <c r="H592" s="24"/>
      <c r="I592" s="20"/>
      <c r="J592" s="17"/>
    </row>
    <row r="593" spans="1:10" ht="12" customHeight="1" x14ac:dyDescent="0.25">
      <c r="A593" s="1"/>
      <c r="B593" s="14"/>
      <c r="C593" s="3"/>
      <c r="D593" s="21"/>
      <c r="E593" s="3"/>
      <c r="F593" s="3"/>
      <c r="G593" s="3"/>
      <c r="H593" s="24"/>
      <c r="I593" s="20"/>
      <c r="J593" s="17"/>
    </row>
    <row r="594" spans="1:10" ht="12" customHeight="1" x14ac:dyDescent="0.25">
      <c r="A594" s="1"/>
      <c r="B594" s="14"/>
      <c r="C594" s="3"/>
      <c r="D594" s="21"/>
      <c r="E594" s="3"/>
      <c r="F594" s="3"/>
      <c r="G594" s="3"/>
      <c r="H594" s="24"/>
      <c r="I594" s="20"/>
      <c r="J594" s="17"/>
    </row>
    <row r="595" spans="1:10" ht="12" customHeight="1" x14ac:dyDescent="0.25">
      <c r="A595" s="1"/>
      <c r="B595" s="14"/>
      <c r="C595" s="3"/>
      <c r="D595" s="21"/>
      <c r="E595" s="3"/>
      <c r="F595" s="3"/>
      <c r="G595" s="3"/>
      <c r="H595" s="24"/>
      <c r="I595" s="20"/>
      <c r="J595" s="17"/>
    </row>
    <row r="596" spans="1:10" ht="12" customHeight="1" x14ac:dyDescent="0.25">
      <c r="A596" s="1"/>
      <c r="B596" s="14"/>
      <c r="C596" s="3"/>
      <c r="D596" s="21"/>
      <c r="E596" s="3"/>
      <c r="F596" s="3"/>
      <c r="G596" s="3"/>
      <c r="H596" s="24"/>
      <c r="I596" s="20"/>
      <c r="J596" s="17"/>
    </row>
    <row r="597" spans="1:10" ht="12" customHeight="1" x14ac:dyDescent="0.25">
      <c r="A597" s="1"/>
      <c r="B597" s="14"/>
      <c r="C597" s="3"/>
      <c r="D597" s="21"/>
      <c r="E597" s="3"/>
      <c r="F597" s="3"/>
      <c r="G597" s="3"/>
      <c r="H597" s="24"/>
      <c r="I597" s="20"/>
      <c r="J597" s="17"/>
    </row>
    <row r="598" spans="1:10" ht="12" customHeight="1" x14ac:dyDescent="0.25">
      <c r="A598" s="1"/>
      <c r="B598" s="14"/>
      <c r="C598" s="3"/>
      <c r="D598" s="21"/>
      <c r="E598" s="3"/>
      <c r="F598" s="3"/>
      <c r="G598" s="3"/>
      <c r="H598" s="24"/>
      <c r="I598" s="20"/>
      <c r="J598" s="17"/>
    </row>
    <row r="599" spans="1:10" ht="12" customHeight="1" x14ac:dyDescent="0.25">
      <c r="A599" s="1"/>
      <c r="B599" s="14"/>
      <c r="C599" s="3"/>
      <c r="D599" s="21"/>
      <c r="E599" s="3"/>
      <c r="F599" s="3"/>
      <c r="G599" s="3"/>
      <c r="H599" s="24"/>
      <c r="I599" s="20"/>
      <c r="J599" s="17"/>
    </row>
    <row r="600" spans="1:10" ht="12" customHeight="1" x14ac:dyDescent="0.25">
      <c r="A600" s="1"/>
      <c r="B600" s="14"/>
      <c r="C600" s="3"/>
      <c r="D600" s="21"/>
      <c r="E600" s="3"/>
      <c r="F600" s="3"/>
      <c r="G600" s="3"/>
      <c r="H600" s="24"/>
      <c r="I600" s="20"/>
      <c r="J600" s="17"/>
    </row>
    <row r="601" spans="1:10" ht="12" customHeight="1" x14ac:dyDescent="0.25">
      <c r="A601" s="1"/>
      <c r="B601" s="14"/>
      <c r="C601" s="3"/>
      <c r="D601" s="21"/>
      <c r="E601" s="3"/>
      <c r="F601" s="3"/>
      <c r="G601" s="3"/>
      <c r="H601" s="24"/>
      <c r="I601" s="20"/>
      <c r="J601" s="17"/>
    </row>
    <row r="602" spans="1:10" ht="12" customHeight="1" x14ac:dyDescent="0.25">
      <c r="A602" s="1"/>
      <c r="B602" s="14"/>
      <c r="C602" s="3"/>
      <c r="D602" s="21"/>
      <c r="E602" s="3"/>
      <c r="F602" s="3"/>
      <c r="G602" s="3"/>
      <c r="H602" s="24"/>
      <c r="I602" s="20"/>
      <c r="J602" s="17"/>
    </row>
    <row r="603" spans="1:10" ht="12" customHeight="1" x14ac:dyDescent="0.25">
      <c r="A603" s="1"/>
      <c r="B603" s="14"/>
      <c r="C603" s="3"/>
      <c r="D603" s="21"/>
      <c r="E603" s="3"/>
      <c r="F603" s="3"/>
      <c r="G603" s="3"/>
      <c r="H603" s="24"/>
      <c r="I603" s="20"/>
      <c r="J603" s="17"/>
    </row>
    <row r="604" spans="1:10" ht="12" customHeight="1" x14ac:dyDescent="0.25">
      <c r="A604" s="1"/>
      <c r="B604" s="14"/>
      <c r="C604" s="3"/>
      <c r="D604" s="21"/>
      <c r="E604" s="3"/>
      <c r="F604" s="3"/>
      <c r="G604" s="3"/>
      <c r="H604" s="24"/>
      <c r="I604" s="20"/>
      <c r="J604" s="17"/>
    </row>
    <row r="605" spans="1:10" ht="12" customHeight="1" x14ac:dyDescent="0.25">
      <c r="A605" s="1"/>
      <c r="B605" s="14"/>
      <c r="C605" s="3"/>
      <c r="D605" s="21"/>
      <c r="E605" s="3"/>
      <c r="F605" s="3"/>
      <c r="G605" s="3"/>
      <c r="H605" s="24"/>
      <c r="I605" s="20"/>
      <c r="J605" s="17"/>
    </row>
    <row r="606" spans="1:10" ht="12" customHeight="1" x14ac:dyDescent="0.25">
      <c r="A606" s="1"/>
      <c r="B606" s="14"/>
      <c r="C606" s="3"/>
      <c r="D606" s="21"/>
      <c r="E606" s="3"/>
      <c r="F606" s="3"/>
      <c r="G606" s="3"/>
      <c r="H606" s="24"/>
      <c r="I606" s="20"/>
      <c r="J606" s="17"/>
    </row>
    <row r="607" spans="1:10" ht="12" customHeight="1" x14ac:dyDescent="0.25">
      <c r="A607" s="1"/>
      <c r="B607" s="14"/>
      <c r="C607" s="3"/>
      <c r="D607" s="21"/>
      <c r="E607" s="3"/>
      <c r="F607" s="3"/>
      <c r="G607" s="3"/>
      <c r="H607" s="24"/>
      <c r="I607" s="20"/>
      <c r="J607" s="17"/>
    </row>
    <row r="608" spans="1:10" ht="12" customHeight="1" x14ac:dyDescent="0.25">
      <c r="A608" s="1"/>
      <c r="B608" s="14"/>
      <c r="C608" s="3"/>
      <c r="D608" s="21"/>
      <c r="E608" s="3"/>
      <c r="F608" s="3"/>
      <c r="G608" s="3"/>
      <c r="H608" s="24"/>
      <c r="I608" s="20"/>
      <c r="J608" s="17"/>
    </row>
    <row r="609" spans="1:10" ht="12" customHeight="1" x14ac:dyDescent="0.25">
      <c r="A609" s="1"/>
      <c r="B609" s="14"/>
      <c r="C609" s="3"/>
      <c r="D609" s="21"/>
      <c r="E609" s="3"/>
      <c r="F609" s="3"/>
      <c r="G609" s="3"/>
      <c r="H609" s="24"/>
      <c r="I609" s="20"/>
      <c r="J609" s="17"/>
    </row>
    <row r="610" spans="1:10" ht="12" customHeight="1" x14ac:dyDescent="0.25">
      <c r="A610" s="1"/>
      <c r="B610" s="14"/>
      <c r="C610" s="3"/>
      <c r="D610" s="21"/>
      <c r="E610" s="3"/>
      <c r="F610" s="3"/>
      <c r="G610" s="3"/>
      <c r="H610" s="24"/>
      <c r="I610" s="20"/>
      <c r="J610" s="17"/>
    </row>
    <row r="611" spans="1:10" ht="12" customHeight="1" x14ac:dyDescent="0.25">
      <c r="A611" s="1"/>
      <c r="B611" s="14"/>
      <c r="C611" s="3"/>
      <c r="D611" s="21"/>
      <c r="E611" s="3"/>
      <c r="F611" s="3"/>
      <c r="G611" s="3"/>
      <c r="H611" s="24"/>
      <c r="I611" s="20"/>
      <c r="J611" s="17"/>
    </row>
    <row r="612" spans="1:10" ht="12" customHeight="1" x14ac:dyDescent="0.25">
      <c r="A612" s="1"/>
      <c r="B612" s="14"/>
      <c r="C612" s="3"/>
      <c r="D612" s="21"/>
      <c r="E612" s="3"/>
      <c r="F612" s="3"/>
      <c r="G612" s="3"/>
      <c r="H612" s="24"/>
      <c r="I612" s="20"/>
      <c r="J612" s="17"/>
    </row>
    <row r="613" spans="1:10" ht="12" customHeight="1" x14ac:dyDescent="0.25">
      <c r="A613" s="1"/>
      <c r="B613" s="14"/>
      <c r="C613" s="3"/>
      <c r="D613" s="21"/>
      <c r="E613" s="3"/>
      <c r="F613" s="3"/>
      <c r="G613" s="3"/>
      <c r="H613" s="24"/>
      <c r="I613" s="20"/>
      <c r="J613" s="17"/>
    </row>
    <row r="614" spans="1:10" ht="12" customHeight="1" x14ac:dyDescent="0.25">
      <c r="A614" s="1"/>
      <c r="B614" s="14"/>
      <c r="C614" s="3"/>
      <c r="D614" s="21"/>
      <c r="E614" s="3"/>
      <c r="F614" s="3"/>
      <c r="G614" s="3"/>
      <c r="H614" s="24"/>
      <c r="I614" s="20"/>
      <c r="J614" s="17"/>
    </row>
    <row r="615" spans="1:10" ht="12" customHeight="1" x14ac:dyDescent="0.25">
      <c r="A615" s="1"/>
      <c r="B615" s="14"/>
      <c r="C615" s="3"/>
      <c r="D615" s="21"/>
      <c r="E615" s="3"/>
      <c r="F615" s="3"/>
      <c r="G615" s="3"/>
      <c r="H615" s="24"/>
      <c r="I615" s="20"/>
      <c r="J615" s="17"/>
    </row>
    <row r="616" spans="1:10" ht="12" customHeight="1" x14ac:dyDescent="0.25">
      <c r="A616" s="1"/>
      <c r="B616" s="14"/>
      <c r="C616" s="3"/>
      <c r="D616" s="21"/>
      <c r="E616" s="3"/>
      <c r="F616" s="3"/>
      <c r="G616" s="3"/>
      <c r="H616" s="24"/>
      <c r="I616" s="20"/>
      <c r="J616" s="17"/>
    </row>
    <row r="617" spans="1:10" ht="12" customHeight="1" x14ac:dyDescent="0.25">
      <c r="A617" s="1"/>
      <c r="B617" s="14"/>
      <c r="C617" s="3"/>
      <c r="D617" s="21"/>
      <c r="E617" s="3"/>
      <c r="F617" s="3"/>
      <c r="G617" s="3"/>
      <c r="H617" s="24"/>
      <c r="I617" s="20"/>
      <c r="J617" s="17"/>
    </row>
    <row r="618" spans="1:10" ht="12" customHeight="1" x14ac:dyDescent="0.25">
      <c r="A618" s="1"/>
      <c r="B618" s="14"/>
      <c r="C618" s="3"/>
      <c r="D618" s="21"/>
      <c r="E618" s="3"/>
      <c r="F618" s="3"/>
      <c r="G618" s="3"/>
      <c r="H618" s="24"/>
      <c r="I618" s="20"/>
      <c r="J618" s="17"/>
    </row>
    <row r="619" spans="1:10" ht="12" customHeight="1" x14ac:dyDescent="0.25">
      <c r="A619" s="1"/>
      <c r="B619" s="14"/>
      <c r="C619" s="3"/>
      <c r="D619" s="21"/>
      <c r="E619" s="3"/>
      <c r="F619" s="3"/>
      <c r="G619" s="3"/>
      <c r="H619" s="24"/>
      <c r="I619" s="20"/>
      <c r="J619" s="17"/>
    </row>
    <row r="620" spans="1:10" ht="12" customHeight="1" x14ac:dyDescent="0.25">
      <c r="A620" s="1"/>
      <c r="B620" s="14"/>
      <c r="C620" s="3"/>
      <c r="D620" s="21"/>
      <c r="E620" s="3"/>
      <c r="F620" s="3"/>
      <c r="G620" s="3"/>
      <c r="H620" s="24"/>
      <c r="I620" s="20"/>
      <c r="J620" s="17"/>
    </row>
    <row r="621" spans="1:10" ht="12" customHeight="1" x14ac:dyDescent="0.25">
      <c r="A621" s="1"/>
      <c r="B621" s="14"/>
      <c r="C621" s="3"/>
      <c r="D621" s="21"/>
      <c r="E621" s="3"/>
      <c r="F621" s="3"/>
      <c r="G621" s="3"/>
      <c r="H621" s="24"/>
      <c r="I621" s="20"/>
      <c r="J621" s="17"/>
    </row>
    <row r="622" spans="1:10" ht="12" customHeight="1" x14ac:dyDescent="0.25">
      <c r="A622" s="1"/>
      <c r="B622" s="14"/>
      <c r="C622" s="3"/>
      <c r="D622" s="21"/>
      <c r="E622" s="3"/>
      <c r="F622" s="3"/>
      <c r="G622" s="3"/>
      <c r="H622" s="24"/>
      <c r="I622" s="20"/>
      <c r="J622" s="17"/>
    </row>
    <row r="623" spans="1:10" ht="12" customHeight="1" x14ac:dyDescent="0.25">
      <c r="A623" s="1"/>
      <c r="B623" s="14"/>
      <c r="C623" s="3"/>
      <c r="D623" s="21"/>
      <c r="E623" s="3"/>
      <c r="F623" s="3"/>
      <c r="G623" s="3"/>
      <c r="H623" s="24"/>
      <c r="I623" s="20"/>
      <c r="J623" s="17"/>
    </row>
    <row r="624" spans="1:10" ht="12" customHeight="1" x14ac:dyDescent="0.25">
      <c r="A624" s="1"/>
      <c r="B624" s="14"/>
      <c r="C624" s="3"/>
      <c r="D624" s="21"/>
      <c r="E624" s="3"/>
      <c r="F624" s="3"/>
      <c r="G624" s="3"/>
      <c r="H624" s="24"/>
      <c r="I624" s="20"/>
      <c r="J624" s="17"/>
    </row>
    <row r="625" spans="1:10" ht="12" customHeight="1" x14ac:dyDescent="0.25">
      <c r="A625" s="1"/>
      <c r="B625" s="14"/>
      <c r="C625" s="3"/>
      <c r="D625" s="21"/>
      <c r="E625" s="3"/>
      <c r="F625" s="3"/>
      <c r="G625" s="3"/>
      <c r="H625" s="24"/>
      <c r="I625" s="20"/>
      <c r="J625" s="17"/>
    </row>
    <row r="626" spans="1:10" ht="12" customHeight="1" x14ac:dyDescent="0.25">
      <c r="A626" s="1"/>
      <c r="B626" s="14"/>
      <c r="C626" s="3"/>
      <c r="D626" s="21"/>
      <c r="E626" s="3"/>
      <c r="F626" s="3"/>
      <c r="G626" s="3"/>
      <c r="H626" s="24"/>
      <c r="I626" s="20"/>
      <c r="J626" s="17"/>
    </row>
    <row r="627" spans="1:10" ht="12" customHeight="1" x14ac:dyDescent="0.25">
      <c r="A627" s="1"/>
      <c r="B627" s="14"/>
      <c r="C627" s="3"/>
      <c r="D627" s="21"/>
      <c r="E627" s="3"/>
      <c r="F627" s="3"/>
      <c r="G627" s="3"/>
      <c r="H627" s="24"/>
      <c r="I627" s="20"/>
      <c r="J627" s="17"/>
    </row>
    <row r="628" spans="1:10" ht="12" customHeight="1" x14ac:dyDescent="0.25">
      <c r="A628" s="1"/>
      <c r="B628" s="14"/>
      <c r="C628" s="3"/>
      <c r="D628" s="21"/>
      <c r="E628" s="3"/>
      <c r="F628" s="3"/>
      <c r="G628" s="3"/>
      <c r="H628" s="24"/>
      <c r="I628" s="20"/>
      <c r="J628" s="17"/>
    </row>
    <row r="629" spans="1:10" ht="12" customHeight="1" x14ac:dyDescent="0.25">
      <c r="A629" s="1"/>
      <c r="B629" s="14"/>
      <c r="C629" s="3"/>
      <c r="D629" s="21"/>
      <c r="E629" s="3"/>
      <c r="F629" s="3"/>
      <c r="G629" s="3"/>
      <c r="H629" s="24"/>
      <c r="I629" s="20"/>
      <c r="J629" s="17"/>
    </row>
    <row r="630" spans="1:10" ht="12" customHeight="1" x14ac:dyDescent="0.25">
      <c r="A630" s="1"/>
      <c r="B630" s="14"/>
      <c r="C630" s="3"/>
      <c r="D630" s="21"/>
      <c r="E630" s="3"/>
      <c r="F630" s="3"/>
      <c r="G630" s="3"/>
      <c r="H630" s="24"/>
      <c r="I630" s="20"/>
      <c r="J630" s="17"/>
    </row>
    <row r="631" spans="1:10" ht="12" customHeight="1" x14ac:dyDescent="0.25">
      <c r="A631" s="1"/>
      <c r="B631" s="14"/>
      <c r="C631" s="3"/>
      <c r="D631" s="21"/>
      <c r="E631" s="3"/>
      <c r="F631" s="3"/>
      <c r="G631" s="3"/>
      <c r="H631" s="24"/>
      <c r="I631" s="20"/>
      <c r="J631" s="17"/>
    </row>
    <row r="632" spans="1:10" ht="12" customHeight="1" x14ac:dyDescent="0.25">
      <c r="A632" s="1"/>
      <c r="B632" s="14"/>
      <c r="C632" s="3"/>
      <c r="D632" s="21"/>
      <c r="E632" s="3"/>
      <c r="F632" s="3"/>
      <c r="G632" s="3"/>
      <c r="H632" s="24"/>
      <c r="I632" s="20"/>
      <c r="J632" s="17"/>
    </row>
    <row r="633" spans="1:10" ht="12" customHeight="1" x14ac:dyDescent="0.25">
      <c r="A633" s="1"/>
      <c r="B633" s="14"/>
      <c r="C633" s="3"/>
      <c r="D633" s="21"/>
      <c r="E633" s="3"/>
      <c r="F633" s="3"/>
      <c r="G633" s="3"/>
      <c r="H633" s="24"/>
      <c r="I633" s="20"/>
      <c r="J633" s="17"/>
    </row>
    <row r="634" spans="1:10" ht="12" customHeight="1" x14ac:dyDescent="0.25">
      <c r="A634" s="1"/>
      <c r="B634" s="14"/>
      <c r="C634" s="3"/>
      <c r="D634" s="21"/>
      <c r="E634" s="3"/>
      <c r="F634" s="3"/>
      <c r="G634" s="3"/>
      <c r="H634" s="24"/>
      <c r="I634" s="20"/>
      <c r="J634" s="17"/>
    </row>
    <row r="635" spans="1:10" ht="12" customHeight="1" x14ac:dyDescent="0.25">
      <c r="A635" s="1"/>
      <c r="B635" s="14"/>
      <c r="C635" s="3"/>
      <c r="D635" s="21"/>
      <c r="E635" s="3"/>
      <c r="F635" s="3"/>
      <c r="G635" s="3"/>
      <c r="H635" s="24"/>
      <c r="I635" s="20"/>
      <c r="J635" s="17"/>
    </row>
    <row r="636" spans="1:10" ht="12" customHeight="1" x14ac:dyDescent="0.25">
      <c r="A636" s="1"/>
      <c r="B636" s="14"/>
      <c r="C636" s="3"/>
      <c r="D636" s="21"/>
      <c r="E636" s="3"/>
      <c r="F636" s="3"/>
      <c r="G636" s="3"/>
      <c r="H636" s="24"/>
      <c r="I636" s="20"/>
      <c r="J636" s="17"/>
    </row>
    <row r="637" spans="1:10" ht="12" customHeight="1" x14ac:dyDescent="0.25">
      <c r="A637" s="1"/>
      <c r="B637" s="14"/>
      <c r="C637" s="3"/>
      <c r="D637" s="21"/>
      <c r="E637" s="3"/>
      <c r="F637" s="3"/>
      <c r="G637" s="3"/>
      <c r="H637" s="24"/>
      <c r="I637" s="20"/>
      <c r="J637" s="17"/>
    </row>
    <row r="638" spans="1:10" ht="12" customHeight="1" x14ac:dyDescent="0.25">
      <c r="A638" s="1"/>
      <c r="B638" s="14"/>
      <c r="C638" s="3"/>
      <c r="D638" s="21"/>
      <c r="E638" s="3"/>
      <c r="F638" s="3"/>
      <c r="G638" s="3"/>
      <c r="H638" s="24"/>
      <c r="I638" s="20"/>
      <c r="J638" s="17"/>
    </row>
    <row r="639" spans="1:10" ht="12" customHeight="1" x14ac:dyDescent="0.25">
      <c r="A639" s="1"/>
      <c r="B639" s="14"/>
      <c r="C639" s="3"/>
      <c r="D639" s="21"/>
      <c r="E639" s="3"/>
      <c r="F639" s="3"/>
      <c r="G639" s="3"/>
      <c r="H639" s="24"/>
      <c r="I639" s="20"/>
      <c r="J639" s="17"/>
    </row>
    <row r="640" spans="1:10" ht="12" customHeight="1" x14ac:dyDescent="0.25">
      <c r="A640" s="1"/>
      <c r="B640" s="14"/>
      <c r="C640" s="3"/>
      <c r="D640" s="21"/>
      <c r="E640" s="3"/>
      <c r="F640" s="3"/>
      <c r="G640" s="3"/>
      <c r="H640" s="24"/>
      <c r="I640" s="20"/>
      <c r="J640" s="17"/>
    </row>
    <row r="641" spans="1:10" ht="12" customHeight="1" x14ac:dyDescent="0.25">
      <c r="A641" s="1"/>
      <c r="B641" s="14"/>
      <c r="C641" s="3"/>
      <c r="D641" s="21"/>
      <c r="E641" s="3"/>
      <c r="F641" s="3"/>
      <c r="G641" s="3"/>
      <c r="H641" s="24"/>
      <c r="I641" s="20"/>
      <c r="J641" s="17"/>
    </row>
    <row r="642" spans="1:10" ht="12" customHeight="1" x14ac:dyDescent="0.25">
      <c r="A642" s="1"/>
      <c r="B642" s="14"/>
      <c r="C642" s="3"/>
      <c r="D642" s="21"/>
      <c r="E642" s="3"/>
      <c r="F642" s="3"/>
      <c r="G642" s="3"/>
      <c r="H642" s="24"/>
      <c r="I642" s="20"/>
      <c r="J642" s="17"/>
    </row>
    <row r="643" spans="1:10" ht="12" customHeight="1" x14ac:dyDescent="0.25">
      <c r="A643" s="1"/>
      <c r="B643" s="14"/>
      <c r="C643" s="3"/>
      <c r="D643" s="21"/>
      <c r="E643" s="3"/>
      <c r="F643" s="3"/>
      <c r="G643" s="3"/>
      <c r="H643" s="24"/>
      <c r="I643" s="20"/>
      <c r="J643" s="17"/>
    </row>
    <row r="644" spans="1:10" ht="12" customHeight="1" x14ac:dyDescent="0.25">
      <c r="A644" s="1"/>
      <c r="B644" s="14"/>
      <c r="C644" s="3"/>
      <c r="D644" s="21"/>
      <c r="E644" s="3"/>
      <c r="F644" s="3"/>
      <c r="G644" s="3"/>
      <c r="H644" s="24"/>
      <c r="I644" s="20"/>
      <c r="J644" s="17"/>
    </row>
    <row r="645" spans="1:10" ht="12" customHeight="1" x14ac:dyDescent="0.25">
      <c r="A645" s="1"/>
      <c r="B645" s="14"/>
      <c r="C645" s="3"/>
      <c r="D645" s="21"/>
      <c r="E645" s="3"/>
      <c r="F645" s="3"/>
      <c r="G645" s="3"/>
      <c r="H645" s="24"/>
      <c r="I645" s="20"/>
      <c r="J645" s="17"/>
    </row>
    <row r="646" spans="1:10" ht="12" customHeight="1" x14ac:dyDescent="0.25">
      <c r="A646" s="1"/>
      <c r="B646" s="14"/>
      <c r="C646" s="3"/>
      <c r="D646" s="21"/>
      <c r="E646" s="3"/>
      <c r="F646" s="3"/>
      <c r="G646" s="3"/>
      <c r="H646" s="24"/>
      <c r="I646" s="20"/>
      <c r="J646" s="17"/>
    </row>
    <row r="647" spans="1:10" ht="12" customHeight="1" x14ac:dyDescent="0.25">
      <c r="A647" s="1"/>
      <c r="B647" s="14"/>
      <c r="C647" s="3"/>
      <c r="D647" s="21"/>
      <c r="E647" s="3"/>
      <c r="F647" s="3"/>
      <c r="G647" s="3"/>
      <c r="H647" s="24"/>
      <c r="I647" s="20"/>
      <c r="J647" s="17"/>
    </row>
    <row r="648" spans="1:10" ht="12" customHeight="1" x14ac:dyDescent="0.25">
      <c r="A648" s="1"/>
      <c r="B648" s="14"/>
      <c r="C648" s="3"/>
      <c r="D648" s="21"/>
      <c r="E648" s="3"/>
      <c r="F648" s="3"/>
      <c r="G648" s="3"/>
      <c r="H648" s="24"/>
      <c r="I648" s="20"/>
      <c r="J648" s="17"/>
    </row>
    <row r="649" spans="1:10" ht="12" customHeight="1" x14ac:dyDescent="0.25">
      <c r="A649" s="1"/>
      <c r="B649" s="14"/>
      <c r="C649" s="3"/>
      <c r="D649" s="21"/>
      <c r="E649" s="3"/>
      <c r="F649" s="3"/>
      <c r="G649" s="3"/>
      <c r="H649" s="24"/>
      <c r="I649" s="20"/>
      <c r="J649" s="17"/>
    </row>
    <row r="650" spans="1:10" ht="12" customHeight="1" x14ac:dyDescent="0.25">
      <c r="A650" s="1"/>
      <c r="B650" s="14"/>
      <c r="C650" s="3"/>
      <c r="D650" s="21"/>
      <c r="E650" s="3"/>
      <c r="F650" s="3"/>
      <c r="G650" s="3"/>
      <c r="H650" s="24"/>
      <c r="I650" s="20"/>
      <c r="J650" s="17"/>
    </row>
    <row r="651" spans="1:10" ht="12" customHeight="1" x14ac:dyDescent="0.25">
      <c r="A651" s="1"/>
      <c r="B651" s="14"/>
      <c r="C651" s="3"/>
      <c r="D651" s="21"/>
      <c r="E651" s="3"/>
      <c r="F651" s="3"/>
      <c r="G651" s="3"/>
      <c r="H651" s="24"/>
      <c r="I651" s="20"/>
      <c r="J651" s="17"/>
    </row>
    <row r="652" spans="1:10" ht="12" customHeight="1" x14ac:dyDescent="0.25">
      <c r="A652" s="1"/>
      <c r="B652" s="14"/>
      <c r="C652" s="3"/>
      <c r="D652" s="21"/>
      <c r="E652" s="3"/>
      <c r="F652" s="3"/>
      <c r="G652" s="3"/>
      <c r="H652" s="24"/>
      <c r="I652" s="20"/>
      <c r="J652" s="17"/>
    </row>
    <row r="653" spans="1:10" ht="12" customHeight="1" x14ac:dyDescent="0.25">
      <c r="A653" s="1"/>
      <c r="B653" s="14"/>
      <c r="C653" s="3"/>
      <c r="D653" s="21"/>
      <c r="E653" s="3"/>
      <c r="F653" s="3"/>
      <c r="G653" s="3"/>
      <c r="H653" s="24"/>
      <c r="I653" s="20"/>
      <c r="J653" s="17"/>
    </row>
    <row r="654" spans="1:10" ht="12" customHeight="1" x14ac:dyDescent="0.25">
      <c r="A654" s="1"/>
      <c r="B654" s="14"/>
      <c r="C654" s="3"/>
      <c r="D654" s="21"/>
      <c r="E654" s="3"/>
      <c r="F654" s="3"/>
      <c r="G654" s="3"/>
      <c r="H654" s="24"/>
      <c r="I654" s="20"/>
      <c r="J654" s="17"/>
    </row>
    <row r="655" spans="1:10" ht="12" customHeight="1" x14ac:dyDescent="0.25">
      <c r="A655" s="1"/>
      <c r="B655" s="14"/>
      <c r="C655" s="3"/>
      <c r="D655" s="21"/>
      <c r="E655" s="3"/>
      <c r="F655" s="3"/>
      <c r="G655" s="3"/>
      <c r="H655" s="24"/>
      <c r="I655" s="20"/>
      <c r="J655" s="17"/>
    </row>
    <row r="656" spans="1:10" ht="12" customHeight="1" x14ac:dyDescent="0.25">
      <c r="A656" s="1"/>
      <c r="B656" s="14"/>
      <c r="C656" s="3"/>
      <c r="D656" s="21"/>
      <c r="E656" s="3"/>
      <c r="F656" s="3"/>
      <c r="G656" s="3"/>
      <c r="H656" s="24"/>
      <c r="I656" s="20"/>
      <c r="J656" s="17"/>
    </row>
    <row r="657" spans="1:10" ht="12" customHeight="1" x14ac:dyDescent="0.25">
      <c r="A657" s="1"/>
      <c r="B657" s="14"/>
      <c r="C657" s="3"/>
      <c r="D657" s="21"/>
      <c r="E657" s="3"/>
      <c r="F657" s="3"/>
      <c r="G657" s="3"/>
      <c r="H657" s="24"/>
      <c r="I657" s="20"/>
      <c r="J657" s="17"/>
    </row>
    <row r="658" spans="1:10" ht="12" customHeight="1" x14ac:dyDescent="0.25">
      <c r="A658" s="1"/>
      <c r="B658" s="14"/>
      <c r="C658" s="3"/>
      <c r="D658" s="21"/>
      <c r="E658" s="3"/>
      <c r="F658" s="3"/>
      <c r="G658" s="3"/>
      <c r="H658" s="24"/>
      <c r="I658" s="20"/>
      <c r="J658" s="17"/>
    </row>
    <row r="659" spans="1:10" ht="12" customHeight="1" x14ac:dyDescent="0.25">
      <c r="A659" s="1"/>
      <c r="B659" s="14"/>
      <c r="C659" s="3"/>
      <c r="D659" s="21"/>
      <c r="E659" s="3"/>
      <c r="F659" s="3"/>
      <c r="G659" s="3"/>
      <c r="H659" s="24"/>
      <c r="I659" s="20"/>
      <c r="J659" s="17"/>
    </row>
    <row r="660" spans="1:10" ht="12" customHeight="1" x14ac:dyDescent="0.25">
      <c r="A660" s="1"/>
      <c r="B660" s="14"/>
      <c r="C660" s="3"/>
      <c r="D660" s="21"/>
      <c r="E660" s="3"/>
      <c r="F660" s="3"/>
      <c r="G660" s="3"/>
      <c r="H660" s="24"/>
      <c r="I660" s="20"/>
      <c r="J660" s="17"/>
    </row>
    <row r="661" spans="1:10" ht="12" customHeight="1" x14ac:dyDescent="0.25">
      <c r="A661" s="1"/>
      <c r="B661" s="14"/>
      <c r="C661" s="3"/>
      <c r="D661" s="21"/>
      <c r="E661" s="3"/>
      <c r="F661" s="3"/>
      <c r="G661" s="3"/>
      <c r="H661" s="24"/>
      <c r="I661" s="20"/>
      <c r="J661" s="17"/>
    </row>
    <row r="662" spans="1:10" ht="12" customHeight="1" x14ac:dyDescent="0.25">
      <c r="A662" s="1"/>
      <c r="B662" s="14"/>
      <c r="C662" s="3"/>
      <c r="D662" s="21"/>
      <c r="E662" s="3"/>
      <c r="F662" s="3"/>
      <c r="G662" s="3"/>
      <c r="H662" s="24"/>
      <c r="I662" s="20"/>
      <c r="J662" s="17"/>
    </row>
    <row r="663" spans="1:10" ht="12" customHeight="1" x14ac:dyDescent="0.25">
      <c r="A663" s="1"/>
      <c r="B663" s="14"/>
      <c r="C663" s="3"/>
      <c r="D663" s="21"/>
      <c r="E663" s="3"/>
      <c r="F663" s="3"/>
      <c r="G663" s="3"/>
      <c r="H663" s="24"/>
      <c r="I663" s="20"/>
      <c r="J663" s="17"/>
    </row>
    <row r="664" spans="1:10" ht="12" customHeight="1" x14ac:dyDescent="0.25">
      <c r="A664" s="1"/>
      <c r="B664" s="14"/>
      <c r="C664" s="3"/>
      <c r="D664" s="21"/>
      <c r="E664" s="3"/>
      <c r="F664" s="3"/>
      <c r="G664" s="3"/>
      <c r="H664" s="24"/>
      <c r="I664" s="20"/>
      <c r="J664" s="17"/>
    </row>
    <row r="665" spans="1:10" ht="12" customHeight="1" x14ac:dyDescent="0.25">
      <c r="A665" s="1"/>
      <c r="B665" s="14"/>
      <c r="C665" s="3"/>
      <c r="D665" s="21"/>
      <c r="E665" s="3"/>
      <c r="F665" s="3"/>
      <c r="G665" s="3"/>
      <c r="H665" s="24"/>
      <c r="I665" s="20"/>
      <c r="J665" s="17"/>
    </row>
    <row r="666" spans="1:10" ht="12" customHeight="1" x14ac:dyDescent="0.25">
      <c r="A666" s="1"/>
      <c r="B666" s="14"/>
      <c r="C666" s="3"/>
      <c r="D666" s="21"/>
      <c r="E666" s="3"/>
      <c r="F666" s="3"/>
      <c r="G666" s="3"/>
      <c r="H666" s="24"/>
      <c r="I666" s="20"/>
      <c r="J666" s="17"/>
    </row>
    <row r="667" spans="1:10" ht="12" customHeight="1" x14ac:dyDescent="0.25">
      <c r="A667" s="1"/>
      <c r="B667" s="14"/>
      <c r="C667" s="3"/>
      <c r="D667" s="21"/>
      <c r="E667" s="3"/>
      <c r="F667" s="3"/>
      <c r="G667" s="3"/>
      <c r="H667" s="24"/>
      <c r="I667" s="20"/>
      <c r="J667" s="17"/>
    </row>
    <row r="668" spans="1:10" ht="12" customHeight="1" x14ac:dyDescent="0.25">
      <c r="A668" s="1"/>
      <c r="B668" s="14"/>
      <c r="C668" s="3"/>
      <c r="D668" s="21"/>
      <c r="E668" s="3"/>
      <c r="F668" s="3"/>
      <c r="G668" s="3"/>
      <c r="H668" s="24"/>
      <c r="I668" s="20"/>
      <c r="J668" s="17"/>
    </row>
    <row r="669" spans="1:10" ht="12" customHeight="1" x14ac:dyDescent="0.25">
      <c r="A669" s="1"/>
      <c r="B669" s="14"/>
      <c r="C669" s="3"/>
      <c r="D669" s="21"/>
      <c r="E669" s="3"/>
      <c r="F669" s="3"/>
      <c r="G669" s="3"/>
      <c r="H669" s="24"/>
      <c r="I669" s="20"/>
      <c r="J669" s="17"/>
    </row>
    <row r="670" spans="1:10" ht="12" customHeight="1" x14ac:dyDescent="0.25">
      <c r="A670" s="1"/>
      <c r="B670" s="14"/>
      <c r="C670" s="3"/>
      <c r="D670" s="21"/>
      <c r="E670" s="3"/>
      <c r="F670" s="3"/>
      <c r="G670" s="3"/>
      <c r="H670" s="24"/>
      <c r="I670" s="20"/>
      <c r="J670" s="17"/>
    </row>
    <row r="671" spans="1:10" ht="12" customHeight="1" x14ac:dyDescent="0.25">
      <c r="A671" s="1"/>
      <c r="B671" s="14"/>
      <c r="C671" s="3"/>
      <c r="D671" s="21"/>
      <c r="E671" s="3"/>
      <c r="F671" s="3"/>
      <c r="G671" s="3"/>
      <c r="H671" s="24"/>
      <c r="I671" s="20"/>
      <c r="J671" s="17"/>
    </row>
    <row r="672" spans="1:10" ht="12" customHeight="1" x14ac:dyDescent="0.25">
      <c r="A672" s="1"/>
      <c r="B672" s="14"/>
      <c r="C672" s="3"/>
      <c r="D672" s="21"/>
      <c r="E672" s="3"/>
      <c r="F672" s="3"/>
      <c r="G672" s="3"/>
      <c r="H672" s="24"/>
      <c r="I672" s="20"/>
      <c r="J672" s="17"/>
    </row>
    <row r="673" spans="1:10" ht="12" customHeight="1" x14ac:dyDescent="0.25">
      <c r="A673" s="1"/>
      <c r="B673" s="14"/>
      <c r="C673" s="3"/>
      <c r="D673" s="21"/>
      <c r="E673" s="3"/>
      <c r="F673" s="3"/>
      <c r="G673" s="3"/>
      <c r="H673" s="24"/>
      <c r="I673" s="20"/>
      <c r="J673" s="17"/>
    </row>
    <row r="674" spans="1:10" ht="12" customHeight="1" x14ac:dyDescent="0.25">
      <c r="A674" s="1"/>
      <c r="B674" s="14"/>
      <c r="C674" s="3"/>
      <c r="D674" s="21"/>
      <c r="E674" s="3"/>
      <c r="F674" s="3"/>
      <c r="G674" s="3"/>
      <c r="H674" s="24"/>
      <c r="I674" s="20"/>
      <c r="J674" s="17"/>
    </row>
    <row r="675" spans="1:10" ht="12" customHeight="1" x14ac:dyDescent="0.25">
      <c r="A675" s="1"/>
      <c r="B675" s="14"/>
      <c r="C675" s="3"/>
      <c r="D675" s="21"/>
      <c r="E675" s="3"/>
      <c r="F675" s="3"/>
      <c r="G675" s="3"/>
      <c r="H675" s="24"/>
      <c r="I675" s="20"/>
      <c r="J675" s="17"/>
    </row>
    <row r="676" spans="1:10" ht="12" customHeight="1" x14ac:dyDescent="0.25">
      <c r="A676" s="1"/>
      <c r="B676" s="14"/>
      <c r="C676" s="3"/>
      <c r="D676" s="21"/>
      <c r="E676" s="3"/>
      <c r="F676" s="3"/>
      <c r="G676" s="3"/>
      <c r="H676" s="24"/>
      <c r="I676" s="20"/>
      <c r="J676" s="17"/>
    </row>
    <row r="677" spans="1:10" ht="12" customHeight="1" x14ac:dyDescent="0.25">
      <c r="A677" s="1"/>
      <c r="B677" s="14"/>
      <c r="C677" s="3"/>
      <c r="D677" s="21"/>
      <c r="E677" s="3"/>
      <c r="F677" s="3"/>
      <c r="G677" s="3"/>
      <c r="H677" s="24"/>
      <c r="I677" s="20"/>
      <c r="J677" s="17"/>
    </row>
    <row r="678" spans="1:10" ht="12" customHeight="1" x14ac:dyDescent="0.25">
      <c r="A678" s="1"/>
      <c r="B678" s="14"/>
      <c r="C678" s="3"/>
      <c r="D678" s="21"/>
      <c r="E678" s="3"/>
      <c r="F678" s="3"/>
      <c r="G678" s="3"/>
      <c r="H678" s="24"/>
      <c r="I678" s="20"/>
      <c r="J678" s="17"/>
    </row>
    <row r="679" spans="1:10" ht="12" customHeight="1" x14ac:dyDescent="0.25">
      <c r="A679" s="1"/>
      <c r="B679" s="14"/>
      <c r="C679" s="3"/>
      <c r="D679" s="21"/>
      <c r="E679" s="3"/>
      <c r="F679" s="3"/>
      <c r="G679" s="3"/>
      <c r="H679" s="24"/>
      <c r="I679" s="20"/>
      <c r="J679" s="17"/>
    </row>
    <row r="680" spans="1:10" ht="12" customHeight="1" x14ac:dyDescent="0.25">
      <c r="A680" s="1"/>
      <c r="B680" s="14"/>
      <c r="C680" s="3"/>
      <c r="D680" s="21"/>
      <c r="E680" s="3"/>
      <c r="F680" s="3"/>
      <c r="G680" s="3"/>
      <c r="H680" s="24"/>
      <c r="I680" s="20"/>
      <c r="J680" s="17"/>
    </row>
    <row r="681" spans="1:10" ht="12" customHeight="1" x14ac:dyDescent="0.25">
      <c r="A681" s="1"/>
      <c r="B681" s="14"/>
      <c r="C681" s="3"/>
      <c r="D681" s="21"/>
      <c r="E681" s="3"/>
      <c r="F681" s="3"/>
      <c r="G681" s="3"/>
      <c r="H681" s="24"/>
      <c r="I681" s="20"/>
      <c r="J681" s="17"/>
    </row>
    <row r="682" spans="1:10" ht="12" customHeight="1" x14ac:dyDescent="0.25">
      <c r="A682" s="1"/>
      <c r="B682" s="14"/>
      <c r="C682" s="3"/>
      <c r="D682" s="21"/>
      <c r="E682" s="3"/>
      <c r="F682" s="3"/>
      <c r="G682" s="3"/>
      <c r="H682" s="24"/>
      <c r="I682" s="20"/>
      <c r="J682" s="17"/>
    </row>
    <row r="683" spans="1:10" ht="12" customHeight="1" x14ac:dyDescent="0.25">
      <c r="A683" s="1"/>
      <c r="B683" s="14"/>
      <c r="C683" s="3"/>
      <c r="D683" s="21"/>
      <c r="E683" s="3"/>
      <c r="F683" s="3"/>
      <c r="G683" s="3"/>
      <c r="H683" s="24"/>
      <c r="I683" s="20"/>
      <c r="J683" s="17"/>
    </row>
    <row r="684" spans="1:10" ht="12" customHeight="1" x14ac:dyDescent="0.25">
      <c r="A684" s="1"/>
      <c r="B684" s="14"/>
      <c r="C684" s="3"/>
      <c r="D684" s="21"/>
      <c r="E684" s="3"/>
      <c r="F684" s="3"/>
      <c r="G684" s="3"/>
      <c r="H684" s="24"/>
      <c r="I684" s="20"/>
      <c r="J684" s="17"/>
    </row>
    <row r="685" spans="1:10" ht="12" customHeight="1" x14ac:dyDescent="0.25">
      <c r="A685" s="1"/>
      <c r="B685" s="14"/>
      <c r="C685" s="3"/>
      <c r="D685" s="21"/>
      <c r="E685" s="3"/>
      <c r="F685" s="3"/>
      <c r="G685" s="3"/>
      <c r="H685" s="24"/>
      <c r="I685" s="20"/>
      <c r="J685" s="17"/>
    </row>
    <row r="686" spans="1:10" ht="12" customHeight="1" x14ac:dyDescent="0.25">
      <c r="A686" s="1"/>
      <c r="B686" s="14"/>
      <c r="C686" s="3"/>
      <c r="D686" s="21"/>
      <c r="E686" s="3"/>
      <c r="F686" s="3"/>
      <c r="G686" s="3"/>
      <c r="H686" s="24"/>
      <c r="I686" s="20"/>
      <c r="J686" s="17"/>
    </row>
    <row r="687" spans="1:10" ht="12" customHeight="1" x14ac:dyDescent="0.25">
      <c r="A687" s="1"/>
      <c r="B687" s="14"/>
      <c r="C687" s="3"/>
      <c r="D687" s="21"/>
      <c r="E687" s="3"/>
      <c r="F687" s="3"/>
      <c r="G687" s="3"/>
      <c r="H687" s="24"/>
      <c r="I687" s="20"/>
      <c r="J687" s="17"/>
    </row>
    <row r="688" spans="1:10" ht="12" customHeight="1" x14ac:dyDescent="0.25">
      <c r="A688" s="1"/>
      <c r="B688" s="14"/>
      <c r="C688" s="3"/>
      <c r="D688" s="21"/>
      <c r="E688" s="3"/>
      <c r="F688" s="3"/>
      <c r="G688" s="3"/>
      <c r="H688" s="24"/>
      <c r="I688" s="20"/>
      <c r="J688" s="17"/>
    </row>
    <row r="689" spans="1:10" ht="12" customHeight="1" x14ac:dyDescent="0.25">
      <c r="A689" s="1"/>
      <c r="B689" s="14"/>
      <c r="C689" s="3"/>
      <c r="D689" s="21"/>
      <c r="E689" s="3"/>
      <c r="F689" s="3"/>
      <c r="G689" s="3"/>
      <c r="H689" s="24"/>
      <c r="I689" s="20"/>
      <c r="J689" s="17"/>
    </row>
    <row r="690" spans="1:10" ht="12" customHeight="1" x14ac:dyDescent="0.25">
      <c r="A690" s="1"/>
      <c r="B690" s="14"/>
      <c r="C690" s="3"/>
      <c r="D690" s="21"/>
      <c r="E690" s="3"/>
      <c r="F690" s="3"/>
      <c r="G690" s="3"/>
      <c r="H690" s="24"/>
      <c r="I690" s="20"/>
      <c r="J690" s="17"/>
    </row>
    <row r="691" spans="1:10" ht="12" customHeight="1" x14ac:dyDescent="0.25">
      <c r="A691" s="1"/>
      <c r="B691" s="14"/>
      <c r="C691" s="3"/>
      <c r="D691" s="21"/>
      <c r="E691" s="3"/>
      <c r="F691" s="3"/>
      <c r="G691" s="3"/>
      <c r="H691" s="24"/>
      <c r="I691" s="20"/>
      <c r="J691" s="17"/>
    </row>
    <row r="692" spans="1:10" ht="12" customHeight="1" x14ac:dyDescent="0.25">
      <c r="A692" s="1"/>
      <c r="B692" s="14"/>
      <c r="C692" s="3"/>
      <c r="D692" s="21"/>
      <c r="E692" s="3"/>
      <c r="F692" s="3"/>
      <c r="G692" s="3"/>
      <c r="H692" s="24"/>
      <c r="I692" s="20"/>
      <c r="J692" s="17"/>
    </row>
    <row r="693" spans="1:10" ht="12" customHeight="1" x14ac:dyDescent="0.25">
      <c r="A693" s="1"/>
      <c r="B693" s="14"/>
      <c r="C693" s="3"/>
      <c r="D693" s="21"/>
      <c r="E693" s="3"/>
      <c r="F693" s="3"/>
      <c r="G693" s="3"/>
      <c r="H693" s="24"/>
      <c r="I693" s="20"/>
      <c r="J693" s="17"/>
    </row>
    <row r="694" spans="1:10" ht="12" customHeight="1" x14ac:dyDescent="0.25">
      <c r="A694" s="1"/>
      <c r="B694" s="14"/>
      <c r="C694" s="3"/>
      <c r="D694" s="21"/>
      <c r="E694" s="3"/>
      <c r="F694" s="3"/>
      <c r="G694" s="3"/>
      <c r="H694" s="24"/>
      <c r="I694" s="20"/>
      <c r="J694" s="17"/>
    </row>
    <row r="695" spans="1:10" ht="12" customHeight="1" x14ac:dyDescent="0.25">
      <c r="A695" s="1"/>
      <c r="B695" s="14"/>
      <c r="C695" s="3"/>
      <c r="D695" s="21"/>
      <c r="E695" s="3"/>
      <c r="F695" s="3"/>
      <c r="G695" s="3"/>
      <c r="H695" s="24"/>
      <c r="I695" s="20"/>
      <c r="J695" s="17"/>
    </row>
    <row r="696" spans="1:10" ht="12" customHeight="1" x14ac:dyDescent="0.25">
      <c r="A696" s="1"/>
      <c r="B696" s="14"/>
      <c r="C696" s="3"/>
      <c r="D696" s="21"/>
      <c r="E696" s="3"/>
      <c r="F696" s="3"/>
      <c r="G696" s="3"/>
      <c r="H696" s="24"/>
      <c r="I696" s="20"/>
      <c r="J696" s="17"/>
    </row>
    <row r="697" spans="1:10" ht="12" customHeight="1" x14ac:dyDescent="0.25">
      <c r="A697" s="1"/>
      <c r="B697" s="14"/>
      <c r="C697" s="3"/>
      <c r="D697" s="21"/>
      <c r="E697" s="3"/>
      <c r="F697" s="3"/>
      <c r="G697" s="3"/>
      <c r="H697" s="24"/>
      <c r="I697" s="20"/>
      <c r="J697" s="17"/>
    </row>
    <row r="698" spans="1:10" ht="12" customHeight="1" x14ac:dyDescent="0.25">
      <c r="A698" s="1"/>
      <c r="B698" s="14"/>
      <c r="C698" s="3"/>
      <c r="D698" s="21"/>
      <c r="E698" s="3"/>
      <c r="F698" s="3"/>
      <c r="G698" s="3"/>
      <c r="H698" s="24"/>
      <c r="I698" s="20"/>
      <c r="J698" s="17"/>
    </row>
    <row r="699" spans="1:10" ht="12" customHeight="1" x14ac:dyDescent="0.25">
      <c r="A699" s="1"/>
      <c r="B699" s="14"/>
      <c r="C699" s="3"/>
      <c r="D699" s="21"/>
      <c r="E699" s="3"/>
      <c r="F699" s="3"/>
      <c r="G699" s="3"/>
      <c r="H699" s="24"/>
      <c r="I699" s="20"/>
      <c r="J699" s="17"/>
    </row>
    <row r="700" spans="1:10" ht="12" customHeight="1" x14ac:dyDescent="0.25">
      <c r="A700" s="1"/>
      <c r="B700" s="14"/>
      <c r="C700" s="3"/>
      <c r="D700" s="21"/>
      <c r="E700" s="3"/>
      <c r="F700" s="3"/>
      <c r="G700" s="3"/>
      <c r="H700" s="24"/>
      <c r="I700" s="20"/>
      <c r="J700" s="17"/>
    </row>
    <row r="701" spans="1:10" ht="12" customHeight="1" x14ac:dyDescent="0.25">
      <c r="A701" s="1"/>
      <c r="B701" s="14"/>
      <c r="C701" s="3"/>
      <c r="D701" s="21"/>
      <c r="E701" s="3"/>
      <c r="F701" s="3"/>
      <c r="G701" s="3"/>
      <c r="H701" s="24"/>
      <c r="I701" s="20"/>
      <c r="J701" s="17"/>
    </row>
    <row r="702" spans="1:10" ht="12" customHeight="1" x14ac:dyDescent="0.25">
      <c r="A702" s="1"/>
      <c r="B702" s="14"/>
      <c r="C702" s="3"/>
      <c r="D702" s="21"/>
      <c r="E702" s="3"/>
      <c r="F702" s="3"/>
      <c r="G702" s="3"/>
      <c r="H702" s="24"/>
      <c r="I702" s="20"/>
      <c r="J702" s="17"/>
    </row>
    <row r="703" spans="1:10" ht="12" customHeight="1" x14ac:dyDescent="0.25">
      <c r="A703" s="1"/>
      <c r="B703" s="14"/>
      <c r="C703" s="3"/>
      <c r="D703" s="21"/>
      <c r="E703" s="3"/>
      <c r="F703" s="3"/>
      <c r="G703" s="3"/>
      <c r="H703" s="24"/>
      <c r="I703" s="20"/>
      <c r="J703" s="17"/>
    </row>
    <row r="704" spans="1:10" ht="12" customHeight="1" x14ac:dyDescent="0.25">
      <c r="A704" s="1"/>
      <c r="B704" s="14"/>
      <c r="C704" s="3"/>
      <c r="D704" s="21"/>
      <c r="E704" s="3"/>
      <c r="F704" s="3"/>
      <c r="G704" s="3"/>
      <c r="H704" s="24"/>
      <c r="I704" s="20"/>
      <c r="J704" s="17"/>
    </row>
    <row r="705" spans="1:10" ht="12" customHeight="1" x14ac:dyDescent="0.25">
      <c r="A705" s="1"/>
      <c r="B705" s="14"/>
      <c r="C705" s="3"/>
      <c r="D705" s="21"/>
      <c r="E705" s="3"/>
      <c r="F705" s="3"/>
      <c r="G705" s="3"/>
      <c r="H705" s="24"/>
      <c r="I705" s="20"/>
      <c r="J705" s="17"/>
    </row>
    <row r="706" spans="1:10" ht="12" customHeight="1" x14ac:dyDescent="0.25">
      <c r="A706" s="1"/>
      <c r="B706" s="14"/>
      <c r="C706" s="3"/>
      <c r="D706" s="21"/>
      <c r="E706" s="3"/>
      <c r="F706" s="3"/>
      <c r="G706" s="3"/>
      <c r="H706" s="24"/>
      <c r="I706" s="20"/>
      <c r="J706" s="17"/>
    </row>
    <row r="707" spans="1:10" ht="12" customHeight="1" x14ac:dyDescent="0.25">
      <c r="A707" s="1"/>
      <c r="B707" s="14"/>
      <c r="C707" s="3"/>
      <c r="D707" s="21"/>
      <c r="E707" s="3"/>
      <c r="F707" s="3"/>
      <c r="G707" s="3"/>
      <c r="H707" s="24"/>
      <c r="I707" s="20"/>
      <c r="J707" s="17"/>
    </row>
    <row r="708" spans="1:10" ht="12" customHeight="1" x14ac:dyDescent="0.25">
      <c r="A708" s="1"/>
      <c r="B708" s="14"/>
      <c r="C708" s="3"/>
      <c r="D708" s="21"/>
      <c r="E708" s="3"/>
      <c r="F708" s="3"/>
      <c r="G708" s="3"/>
      <c r="H708" s="24"/>
      <c r="I708" s="20"/>
      <c r="J708" s="17"/>
    </row>
    <row r="709" spans="1:10" ht="12" customHeight="1" x14ac:dyDescent="0.25">
      <c r="A709" s="1"/>
      <c r="B709" s="14"/>
      <c r="C709" s="3"/>
      <c r="D709" s="21"/>
      <c r="E709" s="3"/>
      <c r="F709" s="3"/>
      <c r="G709" s="3"/>
      <c r="H709" s="24"/>
      <c r="I709" s="20"/>
      <c r="J709" s="17"/>
    </row>
    <row r="710" spans="1:10" ht="12" customHeight="1" x14ac:dyDescent="0.25">
      <c r="A710" s="1"/>
      <c r="B710" s="14"/>
      <c r="C710" s="3"/>
      <c r="D710" s="21"/>
      <c r="E710" s="3"/>
      <c r="F710" s="3"/>
      <c r="G710" s="3"/>
      <c r="H710" s="24"/>
      <c r="I710" s="20"/>
      <c r="J710" s="17"/>
    </row>
    <row r="711" spans="1:10" ht="12" customHeight="1" x14ac:dyDescent="0.25">
      <c r="A711" s="1"/>
      <c r="B711" s="14"/>
      <c r="C711" s="3"/>
      <c r="D711" s="21"/>
      <c r="E711" s="3"/>
      <c r="F711" s="3"/>
      <c r="G711" s="3"/>
      <c r="H711" s="24"/>
      <c r="I711" s="20"/>
      <c r="J711" s="17"/>
    </row>
    <row r="712" spans="1:10" ht="12" customHeight="1" x14ac:dyDescent="0.25">
      <c r="A712" s="1"/>
      <c r="B712" s="14"/>
      <c r="C712" s="3"/>
      <c r="D712" s="21"/>
      <c r="E712" s="3"/>
      <c r="F712" s="3"/>
      <c r="G712" s="3"/>
      <c r="H712" s="24"/>
      <c r="I712" s="20"/>
      <c r="J712" s="17"/>
    </row>
    <row r="713" spans="1:10" ht="12" customHeight="1" x14ac:dyDescent="0.25">
      <c r="A713" s="1"/>
      <c r="B713" s="14"/>
      <c r="C713" s="3"/>
      <c r="D713" s="21"/>
      <c r="E713" s="3"/>
      <c r="F713" s="3"/>
      <c r="G713" s="3"/>
      <c r="H713" s="24"/>
      <c r="I713" s="20"/>
      <c r="J713" s="17"/>
    </row>
    <row r="714" spans="1:10" ht="12" customHeight="1" x14ac:dyDescent="0.25">
      <c r="A714" s="1"/>
      <c r="B714" s="14"/>
      <c r="C714" s="3"/>
      <c r="D714" s="21"/>
      <c r="E714" s="3"/>
      <c r="F714" s="3"/>
      <c r="G714" s="3"/>
      <c r="H714" s="24"/>
      <c r="I714" s="20"/>
      <c r="J714" s="17"/>
    </row>
    <row r="715" spans="1:10" ht="12" customHeight="1" x14ac:dyDescent="0.25">
      <c r="A715" s="1"/>
      <c r="B715" s="14"/>
      <c r="C715" s="3"/>
      <c r="D715" s="21"/>
      <c r="E715" s="3"/>
      <c r="F715" s="3"/>
      <c r="G715" s="3"/>
      <c r="H715" s="24"/>
      <c r="I715" s="20"/>
      <c r="J715" s="17"/>
    </row>
    <row r="716" spans="1:10" ht="12" customHeight="1" x14ac:dyDescent="0.25">
      <c r="A716" s="1"/>
      <c r="B716" s="14"/>
      <c r="C716" s="3"/>
      <c r="D716" s="21"/>
      <c r="E716" s="3"/>
      <c r="F716" s="3"/>
      <c r="G716" s="3"/>
      <c r="H716" s="24"/>
      <c r="I716" s="20"/>
      <c r="J716" s="17"/>
    </row>
    <row r="717" spans="1:10" ht="12" customHeight="1" x14ac:dyDescent="0.25">
      <c r="A717" s="1"/>
      <c r="B717" s="14"/>
      <c r="C717" s="3"/>
      <c r="D717" s="21"/>
      <c r="E717" s="3"/>
      <c r="F717" s="3"/>
      <c r="G717" s="3"/>
      <c r="H717" s="24"/>
      <c r="I717" s="20"/>
      <c r="J717" s="17"/>
    </row>
    <row r="718" spans="1:10" ht="12" customHeight="1" x14ac:dyDescent="0.25">
      <c r="A718" s="1"/>
      <c r="B718" s="14"/>
      <c r="C718" s="3"/>
      <c r="D718" s="21"/>
      <c r="E718" s="3"/>
      <c r="F718" s="3"/>
      <c r="G718" s="3"/>
      <c r="H718" s="24"/>
      <c r="I718" s="20"/>
      <c r="J718" s="17"/>
    </row>
    <row r="719" spans="1:10" ht="12" customHeight="1" x14ac:dyDescent="0.25">
      <c r="A719" s="1"/>
      <c r="B719" s="14"/>
      <c r="C719" s="3"/>
      <c r="D719" s="21"/>
      <c r="E719" s="3"/>
      <c r="F719" s="3"/>
      <c r="G719" s="3"/>
      <c r="H719" s="24"/>
      <c r="I719" s="20"/>
      <c r="J719" s="17"/>
    </row>
    <row r="720" spans="1:10" ht="12" customHeight="1" x14ac:dyDescent="0.25">
      <c r="A720" s="1"/>
      <c r="B720" s="14"/>
      <c r="C720" s="3"/>
      <c r="D720" s="21"/>
      <c r="E720" s="3"/>
      <c r="F720" s="3"/>
      <c r="G720" s="3"/>
      <c r="H720" s="24"/>
      <c r="I720" s="20"/>
      <c r="J720" s="17"/>
    </row>
    <row r="721" spans="1:10" ht="12" customHeight="1" x14ac:dyDescent="0.25">
      <c r="A721" s="1"/>
      <c r="B721" s="14"/>
      <c r="C721" s="3"/>
      <c r="D721" s="21"/>
      <c r="E721" s="3"/>
      <c r="F721" s="3"/>
      <c r="G721" s="3"/>
      <c r="H721" s="24"/>
      <c r="I721" s="20"/>
      <c r="J721" s="17"/>
    </row>
    <row r="722" spans="1:10" ht="12" customHeight="1" x14ac:dyDescent="0.25">
      <c r="A722" s="1"/>
      <c r="B722" s="14"/>
      <c r="C722" s="3"/>
      <c r="D722" s="21"/>
      <c r="E722" s="3"/>
      <c r="F722" s="3"/>
      <c r="G722" s="3"/>
      <c r="H722" s="24"/>
      <c r="I722" s="20"/>
      <c r="J722" s="17"/>
    </row>
    <row r="723" spans="1:10" ht="12" customHeight="1" x14ac:dyDescent="0.25">
      <c r="A723" s="1"/>
      <c r="B723" s="14"/>
      <c r="C723" s="3"/>
      <c r="D723" s="21"/>
      <c r="E723" s="3"/>
      <c r="F723" s="3"/>
      <c r="G723" s="3"/>
      <c r="H723" s="24"/>
      <c r="I723" s="20"/>
      <c r="J723" s="17"/>
    </row>
    <row r="724" spans="1:10" ht="12" customHeight="1" x14ac:dyDescent="0.25">
      <c r="A724" s="1"/>
      <c r="B724" s="14"/>
      <c r="C724" s="3"/>
      <c r="D724" s="21"/>
      <c r="E724" s="3"/>
      <c r="F724" s="3"/>
      <c r="G724" s="3"/>
      <c r="H724" s="24"/>
      <c r="I724" s="20"/>
      <c r="J724" s="17"/>
    </row>
    <row r="725" spans="1:10" ht="12" customHeight="1" x14ac:dyDescent="0.25">
      <c r="A725" s="1"/>
      <c r="B725" s="14"/>
      <c r="C725" s="3"/>
      <c r="D725" s="21"/>
      <c r="E725" s="3"/>
      <c r="F725" s="3"/>
      <c r="G725" s="3"/>
      <c r="H725" s="24"/>
      <c r="I725" s="20"/>
      <c r="J725" s="17"/>
    </row>
    <row r="726" spans="1:10" ht="12" customHeight="1" x14ac:dyDescent="0.25">
      <c r="A726" s="1"/>
      <c r="B726" s="14"/>
      <c r="C726" s="3"/>
      <c r="D726" s="21"/>
      <c r="E726" s="3"/>
      <c r="F726" s="3"/>
      <c r="G726" s="3"/>
      <c r="H726" s="24"/>
      <c r="I726" s="20"/>
      <c r="J726" s="17"/>
    </row>
    <row r="727" spans="1:10" ht="12" customHeight="1" x14ac:dyDescent="0.25">
      <c r="A727" s="1"/>
      <c r="B727" s="14"/>
      <c r="C727" s="3"/>
      <c r="D727" s="21"/>
      <c r="E727" s="3"/>
      <c r="F727" s="3"/>
      <c r="G727" s="3"/>
      <c r="H727" s="24"/>
      <c r="I727" s="20"/>
      <c r="J727" s="17"/>
    </row>
    <row r="728" spans="1:10" ht="12" customHeight="1" x14ac:dyDescent="0.25">
      <c r="A728" s="1"/>
      <c r="B728" s="3"/>
      <c r="C728" s="3"/>
      <c r="D728" s="12"/>
    </row>
    <row r="729" spans="1:10" ht="12" customHeight="1" x14ac:dyDescent="0.25">
      <c r="A729" s="1"/>
      <c r="B729" s="3"/>
      <c r="C729" s="3"/>
      <c r="D729" s="12"/>
    </row>
    <row r="730" spans="1:10" ht="12" customHeight="1" x14ac:dyDescent="0.25">
      <c r="A730" s="1"/>
      <c r="B730" s="3"/>
      <c r="C730" s="3"/>
      <c r="D730" s="12"/>
    </row>
    <row r="731" spans="1:10" ht="12" customHeight="1" x14ac:dyDescent="0.25">
      <c r="A731" s="1"/>
      <c r="B731" s="3"/>
      <c r="C731" s="3"/>
      <c r="D731" s="12"/>
    </row>
    <row r="732" spans="1:10" ht="12" customHeight="1" x14ac:dyDescent="0.25">
      <c r="A732" s="1"/>
      <c r="B732" s="3"/>
      <c r="C732" s="3"/>
      <c r="D732" s="12"/>
    </row>
    <row r="733" spans="1:10" ht="12" customHeight="1" x14ac:dyDescent="0.25">
      <c r="A733" s="1"/>
      <c r="B733" s="3"/>
      <c r="C733" s="3"/>
      <c r="D733" s="12"/>
    </row>
    <row r="734" spans="1:10" ht="12" customHeight="1" x14ac:dyDescent="0.25">
      <c r="A734" s="1"/>
      <c r="B734" s="3"/>
      <c r="C734" s="3"/>
      <c r="D734" s="12"/>
    </row>
    <row r="735" spans="1:10" ht="12" customHeight="1" x14ac:dyDescent="0.25">
      <c r="A735" s="1"/>
      <c r="B735" s="3"/>
      <c r="C735" s="3"/>
      <c r="D735" s="12"/>
    </row>
    <row r="736" spans="1:10" ht="12" customHeight="1" x14ac:dyDescent="0.25">
      <c r="A736" s="1"/>
      <c r="B736" s="3"/>
      <c r="C736" s="3"/>
      <c r="D736" s="12"/>
    </row>
    <row r="737" spans="1:4" ht="12" customHeight="1" x14ac:dyDescent="0.25">
      <c r="A737" s="1"/>
      <c r="B737" s="3"/>
      <c r="C737" s="3"/>
      <c r="D737" s="12"/>
    </row>
    <row r="738" spans="1:4" ht="12" customHeight="1" x14ac:dyDescent="0.25">
      <c r="A738" s="1"/>
      <c r="B738" s="3"/>
      <c r="C738" s="3"/>
      <c r="D738" s="12"/>
    </row>
    <row r="739" spans="1:4" ht="12" customHeight="1" x14ac:dyDescent="0.25">
      <c r="A739" s="1"/>
      <c r="B739" s="3"/>
      <c r="C739" s="3"/>
      <c r="D739" s="12"/>
    </row>
    <row r="740" spans="1:4" ht="12" customHeight="1" x14ac:dyDescent="0.25">
      <c r="A740" s="1"/>
      <c r="B740" s="3"/>
      <c r="C740" s="3"/>
      <c r="D740" s="12"/>
    </row>
    <row r="741" spans="1:4" ht="12" customHeight="1" x14ac:dyDescent="0.25">
      <c r="A741" s="1"/>
      <c r="B741" s="3"/>
      <c r="C741" s="3"/>
      <c r="D741" s="12"/>
    </row>
    <row r="742" spans="1:4" ht="12" customHeight="1" x14ac:dyDescent="0.25">
      <c r="A742" s="1"/>
      <c r="B742" s="3"/>
      <c r="C742" s="3"/>
      <c r="D742" s="12"/>
    </row>
    <row r="743" spans="1:4" ht="12" customHeight="1" x14ac:dyDescent="0.25">
      <c r="A743" s="1"/>
      <c r="B743" s="3"/>
      <c r="C743" s="3"/>
      <c r="D743" s="12"/>
    </row>
    <row r="744" spans="1:4" ht="12" customHeight="1" x14ac:dyDescent="0.25">
      <c r="A744" s="1"/>
      <c r="B744" s="3"/>
      <c r="C744" s="3"/>
      <c r="D744" s="12"/>
    </row>
    <row r="745" spans="1:4" ht="12" customHeight="1" x14ac:dyDescent="0.25">
      <c r="A745" s="1"/>
      <c r="B745" s="3"/>
      <c r="C745" s="3"/>
      <c r="D745" s="12"/>
    </row>
    <row r="746" spans="1:4" ht="12" customHeight="1" x14ac:dyDescent="0.25">
      <c r="A746" s="1"/>
      <c r="B746" s="3"/>
      <c r="C746" s="3"/>
      <c r="D746" s="12"/>
    </row>
    <row r="747" spans="1:4" ht="12" customHeight="1" x14ac:dyDescent="0.25">
      <c r="A747" s="1"/>
      <c r="B747" s="3"/>
      <c r="C747" s="3"/>
      <c r="D747" s="12"/>
    </row>
    <row r="748" spans="1:4" ht="12" customHeight="1" x14ac:dyDescent="0.25">
      <c r="A748" s="1"/>
      <c r="B748" s="3"/>
      <c r="C748" s="3"/>
      <c r="D748" s="12"/>
    </row>
    <row r="749" spans="1:4" ht="12" customHeight="1" x14ac:dyDescent="0.25">
      <c r="A749" s="1"/>
      <c r="B749" s="3"/>
      <c r="C749" s="3"/>
      <c r="D749" s="12"/>
    </row>
    <row r="750" spans="1:4" ht="12" customHeight="1" x14ac:dyDescent="0.25">
      <c r="A750" s="1"/>
      <c r="B750" s="3"/>
      <c r="C750" s="3"/>
      <c r="D750" s="12"/>
    </row>
    <row r="751" spans="1:4" ht="12" customHeight="1" x14ac:dyDescent="0.25">
      <c r="A751" s="1"/>
      <c r="B751" s="3"/>
      <c r="C751" s="3"/>
      <c r="D751" s="12"/>
    </row>
    <row r="752" spans="1:4" ht="12" customHeight="1" x14ac:dyDescent="0.25">
      <c r="A752" s="1"/>
      <c r="B752" s="3"/>
      <c r="C752" s="3"/>
      <c r="D752" s="12"/>
    </row>
    <row r="753" spans="1:4" ht="12" customHeight="1" x14ac:dyDescent="0.25">
      <c r="A753" s="1"/>
      <c r="B753" s="3"/>
      <c r="C753" s="3"/>
      <c r="D753" s="12"/>
    </row>
    <row r="754" spans="1:4" ht="12" customHeight="1" x14ac:dyDescent="0.25">
      <c r="A754" s="1"/>
      <c r="B754" s="3"/>
      <c r="C754" s="3"/>
      <c r="D754" s="12"/>
    </row>
    <row r="755" spans="1:4" ht="12" customHeight="1" x14ac:dyDescent="0.25">
      <c r="A755" s="1"/>
      <c r="B755" s="3"/>
      <c r="C755" s="3"/>
      <c r="D755" s="12"/>
    </row>
    <row r="756" spans="1:4" ht="12" customHeight="1" x14ac:dyDescent="0.25">
      <c r="A756" s="1"/>
      <c r="B756" s="3"/>
      <c r="C756" s="3"/>
      <c r="D756" s="12"/>
    </row>
    <row r="757" spans="1:4" ht="12" customHeight="1" x14ac:dyDescent="0.25">
      <c r="A757" s="1"/>
      <c r="B757" s="3"/>
      <c r="C757" s="3"/>
      <c r="D757" s="12"/>
    </row>
    <row r="758" spans="1:4" ht="12" customHeight="1" x14ac:dyDescent="0.25">
      <c r="A758" s="1"/>
      <c r="B758" s="3"/>
      <c r="C758" s="3"/>
      <c r="D758" s="12"/>
    </row>
    <row r="759" spans="1:4" ht="12" customHeight="1" x14ac:dyDescent="0.25">
      <c r="A759" s="1"/>
      <c r="B759" s="3"/>
      <c r="C759" s="3"/>
      <c r="D759" s="12"/>
    </row>
    <row r="760" spans="1:4" ht="12" customHeight="1" x14ac:dyDescent="0.25">
      <c r="A760" s="1"/>
      <c r="B760" s="3"/>
      <c r="C760" s="3"/>
      <c r="D760" s="12"/>
    </row>
    <row r="761" spans="1:4" ht="12" customHeight="1" x14ac:dyDescent="0.25">
      <c r="A761" s="1"/>
      <c r="B761" s="3"/>
      <c r="C761" s="3"/>
      <c r="D761" s="12"/>
    </row>
    <row r="762" spans="1:4" ht="12" customHeight="1" x14ac:dyDescent="0.25">
      <c r="A762" s="1"/>
      <c r="B762" s="3"/>
      <c r="C762" s="3"/>
      <c r="D762" s="12"/>
    </row>
    <row r="763" spans="1:4" ht="12" customHeight="1" x14ac:dyDescent="0.25">
      <c r="A763" s="1"/>
      <c r="B763" s="3"/>
      <c r="C763" s="3"/>
      <c r="D763" s="12"/>
    </row>
    <row r="764" spans="1:4" ht="12" customHeight="1" x14ac:dyDescent="0.25">
      <c r="A764" s="1"/>
      <c r="B764" s="3"/>
      <c r="C764" s="3"/>
      <c r="D764" s="12"/>
    </row>
    <row r="765" spans="1:4" ht="12" customHeight="1" x14ac:dyDescent="0.25">
      <c r="A765" s="1"/>
      <c r="B765" s="3"/>
      <c r="C765" s="3"/>
      <c r="D765" s="12"/>
    </row>
    <row r="766" spans="1:4" ht="12" customHeight="1" x14ac:dyDescent="0.25">
      <c r="A766" s="1"/>
      <c r="B766" s="3"/>
      <c r="C766" s="3"/>
      <c r="D766" s="12"/>
    </row>
    <row r="767" spans="1:4" ht="12" customHeight="1" x14ac:dyDescent="0.25">
      <c r="A767" s="1"/>
      <c r="B767" s="3"/>
      <c r="C767" s="3"/>
      <c r="D767" s="12"/>
    </row>
    <row r="768" spans="1:4" ht="12" customHeight="1" x14ac:dyDescent="0.25">
      <c r="A768" s="1"/>
      <c r="B768" s="3"/>
      <c r="C768" s="3"/>
      <c r="D768" s="12"/>
    </row>
    <row r="769" spans="1:4" ht="12" customHeight="1" x14ac:dyDescent="0.25">
      <c r="A769" s="1"/>
      <c r="B769" s="3"/>
      <c r="C769" s="3"/>
      <c r="D769" s="12"/>
    </row>
    <row r="770" spans="1:4" ht="12" customHeight="1" x14ac:dyDescent="0.25">
      <c r="A770" s="1"/>
      <c r="B770" s="3"/>
      <c r="C770" s="3"/>
      <c r="D770" s="12"/>
    </row>
    <row r="771" spans="1:4" ht="12" customHeight="1" x14ac:dyDescent="0.25">
      <c r="A771" s="1"/>
      <c r="B771" s="3"/>
      <c r="C771" s="3"/>
      <c r="D771" s="12"/>
    </row>
    <row r="772" spans="1:4" ht="12" customHeight="1" x14ac:dyDescent="0.25">
      <c r="A772" s="1"/>
      <c r="B772" s="3"/>
      <c r="C772" s="3"/>
      <c r="D772" s="12"/>
    </row>
    <row r="773" spans="1:4" ht="12" customHeight="1" x14ac:dyDescent="0.25">
      <c r="A773" s="1"/>
      <c r="B773" s="3"/>
      <c r="C773" s="3"/>
      <c r="D773" s="12"/>
    </row>
    <row r="774" spans="1:4" ht="12" customHeight="1" x14ac:dyDescent="0.25">
      <c r="A774" s="1"/>
      <c r="B774" s="3"/>
      <c r="C774" s="3"/>
      <c r="D774" s="12"/>
    </row>
    <row r="775" spans="1:4" ht="12" customHeight="1" x14ac:dyDescent="0.25">
      <c r="A775" s="1"/>
      <c r="B775" s="3"/>
      <c r="C775" s="3"/>
      <c r="D775" s="12"/>
    </row>
    <row r="776" spans="1:4" ht="12" customHeight="1" x14ac:dyDescent="0.25">
      <c r="A776" s="1"/>
      <c r="B776" s="3"/>
      <c r="C776" s="3"/>
      <c r="D776" s="12"/>
    </row>
    <row r="777" spans="1:4" ht="12" customHeight="1" x14ac:dyDescent="0.25">
      <c r="A777" s="1"/>
      <c r="B777" s="3"/>
      <c r="C777" s="3"/>
      <c r="D777" s="12"/>
    </row>
    <row r="778" spans="1:4" ht="12" customHeight="1" x14ac:dyDescent="0.25">
      <c r="A778" s="1"/>
      <c r="B778" s="3"/>
      <c r="C778" s="3"/>
      <c r="D778" s="12"/>
    </row>
    <row r="779" spans="1:4" ht="12" customHeight="1" x14ac:dyDescent="0.25">
      <c r="A779" s="1"/>
      <c r="B779" s="3"/>
      <c r="C779" s="3"/>
      <c r="D779" s="12"/>
    </row>
    <row r="780" spans="1:4" ht="12" customHeight="1" x14ac:dyDescent="0.25">
      <c r="A780" s="1"/>
      <c r="B780" s="3"/>
      <c r="C780" s="3"/>
      <c r="D780" s="12"/>
    </row>
    <row r="781" spans="1:4" ht="12" customHeight="1" x14ac:dyDescent="0.25">
      <c r="A781" s="1"/>
      <c r="B781" s="3"/>
      <c r="C781" s="3"/>
      <c r="D781" s="12"/>
    </row>
    <row r="782" spans="1:4" ht="12" customHeight="1" x14ac:dyDescent="0.25">
      <c r="A782" s="1"/>
      <c r="B782" s="3"/>
      <c r="C782" s="3"/>
      <c r="D782" s="12"/>
    </row>
    <row r="783" spans="1:4" ht="12" customHeight="1" x14ac:dyDescent="0.25">
      <c r="A783" s="1"/>
      <c r="B783" s="3"/>
      <c r="C783" s="3"/>
      <c r="D783" s="12"/>
    </row>
    <row r="784" spans="1:4" ht="12" customHeight="1" x14ac:dyDescent="0.25">
      <c r="A784" s="1"/>
      <c r="B784" s="3"/>
      <c r="C784" s="3"/>
      <c r="D784" s="12"/>
    </row>
    <row r="785" spans="1:4" ht="12" customHeight="1" x14ac:dyDescent="0.25">
      <c r="A785" s="1"/>
      <c r="B785" s="3"/>
      <c r="C785" s="3"/>
      <c r="D785" s="12"/>
    </row>
    <row r="786" spans="1:4" ht="12" customHeight="1" x14ac:dyDescent="0.25">
      <c r="A786" s="1"/>
      <c r="B786" s="3"/>
      <c r="C786" s="3"/>
      <c r="D786" s="12"/>
    </row>
    <row r="787" spans="1:4" ht="12" customHeight="1" x14ac:dyDescent="0.25">
      <c r="A787" s="1"/>
      <c r="B787" s="3"/>
      <c r="C787" s="3"/>
      <c r="D787" s="12"/>
    </row>
    <row r="788" spans="1:4" ht="12" customHeight="1" x14ac:dyDescent="0.25">
      <c r="A788" s="1"/>
      <c r="B788" s="3"/>
      <c r="C788" s="3"/>
      <c r="D788" s="12"/>
    </row>
    <row r="789" spans="1:4" ht="12" customHeight="1" x14ac:dyDescent="0.25">
      <c r="A789" s="1"/>
      <c r="B789" s="3"/>
      <c r="C789" s="3"/>
      <c r="D789" s="12"/>
    </row>
    <row r="790" spans="1:4" ht="12" customHeight="1" x14ac:dyDescent="0.25">
      <c r="A790" s="1"/>
      <c r="B790" s="3"/>
      <c r="C790" s="3"/>
      <c r="D790" s="12"/>
    </row>
    <row r="791" spans="1:4" ht="12" customHeight="1" x14ac:dyDescent="0.25">
      <c r="A791" s="1"/>
      <c r="B791" s="3"/>
      <c r="C791" s="3"/>
      <c r="D791" s="12"/>
    </row>
    <row r="792" spans="1:4" ht="12" customHeight="1" x14ac:dyDescent="0.25">
      <c r="A792" s="1"/>
      <c r="B792" s="3"/>
      <c r="C792" s="3"/>
      <c r="D792" s="12"/>
    </row>
    <row r="793" spans="1:4" ht="12" customHeight="1" x14ac:dyDescent="0.25">
      <c r="A793" s="1"/>
      <c r="B793" s="3"/>
      <c r="C793" s="3"/>
      <c r="D793" s="12"/>
    </row>
    <row r="794" spans="1:4" ht="12" customHeight="1" x14ac:dyDescent="0.25">
      <c r="A794" s="1"/>
      <c r="B794" s="3"/>
      <c r="C794" s="3"/>
      <c r="D794" s="12"/>
    </row>
    <row r="795" spans="1:4" ht="12" customHeight="1" x14ac:dyDescent="0.25">
      <c r="A795" s="1"/>
      <c r="B795" s="3"/>
      <c r="C795" s="3"/>
      <c r="D795" s="12"/>
    </row>
    <row r="796" spans="1:4" ht="12" customHeight="1" x14ac:dyDescent="0.25">
      <c r="A796" s="1"/>
      <c r="B796" s="3"/>
      <c r="C796" s="3"/>
      <c r="D796" s="12"/>
    </row>
    <row r="797" spans="1:4" ht="12" customHeight="1" x14ac:dyDescent="0.25">
      <c r="A797" s="1"/>
      <c r="B797" s="3"/>
      <c r="C797" s="3"/>
      <c r="D797" s="12"/>
    </row>
    <row r="798" spans="1:4" ht="12" customHeight="1" x14ac:dyDescent="0.25">
      <c r="A798" s="1"/>
      <c r="B798" s="3"/>
      <c r="C798" s="3"/>
      <c r="D798" s="12"/>
    </row>
    <row r="799" spans="1:4" ht="12" customHeight="1" x14ac:dyDescent="0.25">
      <c r="A799" s="1"/>
      <c r="B799" s="3"/>
      <c r="C799" s="3"/>
      <c r="D799" s="12"/>
    </row>
    <row r="800" spans="1:4" ht="12" customHeight="1" x14ac:dyDescent="0.25">
      <c r="A800" s="1"/>
      <c r="B800" s="3"/>
      <c r="C800" s="3"/>
      <c r="D800" s="12"/>
    </row>
    <row r="801" spans="1:4" ht="12" customHeight="1" x14ac:dyDescent="0.25">
      <c r="A801" s="1"/>
      <c r="B801" s="3"/>
      <c r="C801" s="3"/>
      <c r="D801" s="12"/>
    </row>
    <row r="802" spans="1:4" ht="12" customHeight="1" x14ac:dyDescent="0.25">
      <c r="A802" s="1"/>
      <c r="B802" s="3"/>
      <c r="C802" s="3"/>
      <c r="D802" s="12"/>
    </row>
    <row r="803" spans="1:4" ht="12" customHeight="1" x14ac:dyDescent="0.25">
      <c r="A803" s="1"/>
      <c r="B803" s="3"/>
      <c r="C803" s="3"/>
      <c r="D803" s="12"/>
    </row>
    <row r="804" spans="1:4" ht="12" customHeight="1" x14ac:dyDescent="0.25">
      <c r="A804" s="1"/>
      <c r="B804" s="3"/>
      <c r="C804" s="3"/>
      <c r="D804" s="12"/>
    </row>
    <row r="805" spans="1:4" ht="12" customHeight="1" x14ac:dyDescent="0.25">
      <c r="A805" s="1"/>
      <c r="B805" s="3"/>
      <c r="C805" s="3"/>
      <c r="D805" s="12"/>
    </row>
    <row r="806" spans="1:4" ht="12" customHeight="1" x14ac:dyDescent="0.25">
      <c r="A806" s="1"/>
      <c r="B806" s="3"/>
      <c r="C806" s="3"/>
      <c r="D806" s="12"/>
    </row>
    <row r="807" spans="1:4" ht="12" customHeight="1" x14ac:dyDescent="0.25">
      <c r="A807" s="1"/>
      <c r="B807" s="3"/>
      <c r="C807" s="3"/>
      <c r="D807" s="12"/>
    </row>
    <row r="808" spans="1:4" ht="12" customHeight="1" x14ac:dyDescent="0.25">
      <c r="A808" s="1"/>
      <c r="B808" s="3"/>
      <c r="C808" s="3"/>
      <c r="D808" s="12"/>
    </row>
    <row r="809" spans="1:4" ht="12" customHeight="1" x14ac:dyDescent="0.25">
      <c r="A809" s="1"/>
      <c r="B809" s="3"/>
      <c r="C809" s="3"/>
      <c r="D809" s="12"/>
    </row>
    <row r="810" spans="1:4" ht="12" customHeight="1" x14ac:dyDescent="0.25">
      <c r="A810" s="1"/>
      <c r="B810" s="3"/>
      <c r="C810" s="3"/>
      <c r="D810" s="12"/>
    </row>
    <row r="811" spans="1:4" ht="12" customHeight="1" x14ac:dyDescent="0.25">
      <c r="A811" s="1"/>
      <c r="B811" s="3"/>
      <c r="C811" s="3"/>
      <c r="D811" s="12"/>
    </row>
    <row r="812" spans="1:4" ht="12" customHeight="1" x14ac:dyDescent="0.25">
      <c r="A812" s="1"/>
      <c r="B812" s="3"/>
      <c r="C812" s="3"/>
      <c r="D812" s="12"/>
    </row>
    <row r="813" spans="1:4" ht="12" customHeight="1" x14ac:dyDescent="0.25">
      <c r="A813" s="1"/>
      <c r="B813" s="3"/>
      <c r="C813" s="3"/>
      <c r="D813" s="12"/>
    </row>
    <row r="814" spans="1:4" ht="12" customHeight="1" x14ac:dyDescent="0.25">
      <c r="A814" s="1"/>
      <c r="B814" s="3"/>
      <c r="C814" s="3"/>
      <c r="D814" s="12"/>
    </row>
    <row r="815" spans="1:4" ht="12" customHeight="1" x14ac:dyDescent="0.25">
      <c r="A815" s="1"/>
      <c r="B815" s="3"/>
      <c r="C815" s="3"/>
      <c r="D815" s="12"/>
    </row>
    <row r="816" spans="1:4" ht="12" customHeight="1" x14ac:dyDescent="0.25">
      <c r="A816" s="1"/>
      <c r="B816" s="3"/>
      <c r="C816" s="3"/>
      <c r="D816" s="12"/>
    </row>
    <row r="817" spans="1:4" ht="12" customHeight="1" x14ac:dyDescent="0.25">
      <c r="A817" s="1"/>
      <c r="B817" s="3"/>
      <c r="C817" s="3"/>
      <c r="D817" s="12"/>
    </row>
    <row r="818" spans="1:4" ht="12" customHeight="1" x14ac:dyDescent="0.25">
      <c r="A818" s="1"/>
      <c r="B818" s="3"/>
      <c r="C818" s="3"/>
      <c r="D818" s="12"/>
    </row>
    <row r="819" spans="1:4" ht="12" customHeight="1" x14ac:dyDescent="0.25">
      <c r="A819" s="1"/>
      <c r="B819" s="3"/>
      <c r="C819" s="3"/>
      <c r="D819" s="12"/>
    </row>
    <row r="820" spans="1:4" ht="12" customHeight="1" x14ac:dyDescent="0.25">
      <c r="A820" s="1"/>
      <c r="B820" s="3"/>
      <c r="C820" s="3"/>
      <c r="D820" s="12"/>
    </row>
    <row r="821" spans="1:4" ht="12" customHeight="1" x14ac:dyDescent="0.25">
      <c r="A821" s="1"/>
      <c r="B821" s="3"/>
      <c r="C821" s="3"/>
      <c r="D821" s="12"/>
    </row>
    <row r="822" spans="1:4" ht="12" customHeight="1" x14ac:dyDescent="0.25">
      <c r="A822" s="1"/>
      <c r="B822" s="3"/>
      <c r="C822" s="3"/>
      <c r="D822" s="12"/>
    </row>
    <row r="823" spans="1:4" ht="12" customHeight="1" x14ac:dyDescent="0.25">
      <c r="A823" s="1"/>
      <c r="B823" s="3"/>
      <c r="C823" s="3"/>
      <c r="D823" s="12"/>
    </row>
    <row r="824" spans="1:4" ht="12" customHeight="1" x14ac:dyDescent="0.25">
      <c r="A824" s="1"/>
      <c r="B824" s="3"/>
      <c r="C824" s="3"/>
      <c r="D824" s="12"/>
    </row>
    <row r="825" spans="1:4" ht="12" customHeight="1" x14ac:dyDescent="0.25">
      <c r="A825" s="1"/>
      <c r="B825" s="3"/>
      <c r="C825" s="3"/>
      <c r="D825" s="12"/>
    </row>
    <row r="826" spans="1:4" ht="12" customHeight="1" x14ac:dyDescent="0.25">
      <c r="A826" s="1"/>
      <c r="B826" s="3"/>
      <c r="C826" s="3"/>
      <c r="D826" s="12"/>
    </row>
    <row r="827" spans="1:4" ht="12" customHeight="1" x14ac:dyDescent="0.25">
      <c r="A827" s="1"/>
      <c r="B827" s="3"/>
      <c r="C827" s="3"/>
      <c r="D827" s="12"/>
    </row>
    <row r="828" spans="1:4" ht="12" customHeight="1" x14ac:dyDescent="0.25">
      <c r="A828" s="1"/>
      <c r="B828" s="3"/>
      <c r="C828" s="3"/>
      <c r="D828" s="12"/>
    </row>
    <row r="829" spans="1:4" ht="12" customHeight="1" x14ac:dyDescent="0.25">
      <c r="A829" s="1"/>
      <c r="B829" s="3"/>
      <c r="C829" s="3"/>
      <c r="D829" s="12"/>
    </row>
    <row r="830" spans="1:4" ht="12" customHeight="1" x14ac:dyDescent="0.25">
      <c r="A830" s="1"/>
      <c r="B830" s="3"/>
      <c r="C830" s="3"/>
      <c r="D830" s="12"/>
    </row>
    <row r="831" spans="1:4" ht="12" customHeight="1" x14ac:dyDescent="0.25">
      <c r="A831" s="1"/>
      <c r="B831" s="3"/>
      <c r="C831" s="3"/>
      <c r="D831" s="12"/>
    </row>
    <row r="832" spans="1:4" ht="12" customHeight="1" x14ac:dyDescent="0.25">
      <c r="A832" s="1"/>
      <c r="B832" s="3"/>
      <c r="C832" s="3"/>
      <c r="D832" s="12"/>
    </row>
    <row r="833" spans="1:4" ht="12" customHeight="1" x14ac:dyDescent="0.25">
      <c r="A833" s="1"/>
      <c r="B833" s="3"/>
      <c r="C833" s="3"/>
      <c r="D833" s="12"/>
    </row>
    <row r="834" spans="1:4" ht="12" customHeight="1" x14ac:dyDescent="0.25">
      <c r="A834" s="1"/>
      <c r="B834" s="3"/>
      <c r="C834" s="3"/>
      <c r="D834" s="12"/>
    </row>
    <row r="835" spans="1:4" ht="12" customHeight="1" x14ac:dyDescent="0.25">
      <c r="A835" s="1"/>
      <c r="B835" s="3"/>
      <c r="C835" s="3"/>
      <c r="D835" s="12"/>
    </row>
    <row r="836" spans="1:4" ht="12" customHeight="1" x14ac:dyDescent="0.25">
      <c r="A836" s="1"/>
      <c r="B836" s="3"/>
      <c r="C836" s="3"/>
      <c r="D836" s="12"/>
    </row>
    <row r="837" spans="1:4" ht="12" customHeight="1" x14ac:dyDescent="0.25">
      <c r="A837" s="1"/>
      <c r="B837" s="3"/>
      <c r="C837" s="3"/>
      <c r="D837" s="12"/>
    </row>
    <row r="838" spans="1:4" ht="12" customHeight="1" x14ac:dyDescent="0.25">
      <c r="A838" s="1"/>
      <c r="B838" s="3"/>
      <c r="C838" s="3"/>
      <c r="D838" s="12"/>
    </row>
    <row r="839" spans="1:4" ht="12" customHeight="1" x14ac:dyDescent="0.25">
      <c r="A839" s="1"/>
      <c r="B839" s="3"/>
      <c r="C839" s="3"/>
      <c r="D839" s="12"/>
    </row>
    <row r="840" spans="1:4" ht="12" customHeight="1" x14ac:dyDescent="0.25">
      <c r="A840" s="1"/>
      <c r="B840" s="3"/>
      <c r="C840" s="3"/>
      <c r="D840" s="12"/>
    </row>
    <row r="841" spans="1:4" ht="12" customHeight="1" x14ac:dyDescent="0.25">
      <c r="A841" s="1"/>
      <c r="B841" s="3"/>
      <c r="C841" s="3"/>
      <c r="D841" s="12"/>
    </row>
    <row r="842" spans="1:4" ht="12" customHeight="1" x14ac:dyDescent="0.25">
      <c r="A842" s="1"/>
      <c r="B842" s="3"/>
      <c r="C842" s="3"/>
      <c r="D842" s="12"/>
    </row>
    <row r="843" spans="1:4" ht="12" customHeight="1" x14ac:dyDescent="0.25">
      <c r="A843" s="1"/>
      <c r="B843" s="3"/>
      <c r="C843" s="3"/>
      <c r="D843" s="12"/>
    </row>
    <row r="844" spans="1:4" ht="12" customHeight="1" x14ac:dyDescent="0.25">
      <c r="A844" s="1"/>
      <c r="B844" s="3"/>
      <c r="C844" s="3"/>
      <c r="D844" s="12"/>
    </row>
    <row r="845" spans="1:4" ht="12" customHeight="1" x14ac:dyDescent="0.25">
      <c r="A845" s="1"/>
      <c r="B845" s="3"/>
      <c r="C845" s="3"/>
      <c r="D845" s="12"/>
    </row>
    <row r="846" spans="1:4" ht="12" customHeight="1" x14ac:dyDescent="0.25">
      <c r="A846" s="1"/>
      <c r="B846" s="3"/>
      <c r="C846" s="3"/>
      <c r="D846" s="12"/>
    </row>
    <row r="847" spans="1:4" ht="12" customHeight="1" x14ac:dyDescent="0.25">
      <c r="A847" s="1"/>
      <c r="B847" s="3"/>
      <c r="C847" s="3"/>
      <c r="D847" s="12"/>
    </row>
    <row r="848" spans="1:4" ht="12" customHeight="1" x14ac:dyDescent="0.25">
      <c r="A848" s="1"/>
      <c r="B848" s="3"/>
      <c r="C848" s="3"/>
      <c r="D848" s="12"/>
    </row>
    <row r="849" spans="1:4" ht="12" customHeight="1" x14ac:dyDescent="0.25">
      <c r="A849" s="1"/>
      <c r="B849" s="3"/>
      <c r="C849" s="3"/>
      <c r="D849" s="12"/>
    </row>
    <row r="850" spans="1:4" ht="12" customHeight="1" x14ac:dyDescent="0.25">
      <c r="A850" s="1"/>
      <c r="B850" s="3"/>
      <c r="C850" s="3"/>
      <c r="D850" s="12"/>
    </row>
    <row r="851" spans="1:4" ht="12" customHeight="1" x14ac:dyDescent="0.25">
      <c r="A851" s="1"/>
      <c r="B851" s="3"/>
      <c r="C851" s="3"/>
      <c r="D851" s="12"/>
    </row>
    <row r="852" spans="1:4" ht="12" customHeight="1" x14ac:dyDescent="0.25">
      <c r="A852" s="1"/>
      <c r="B852" s="3"/>
      <c r="C852" s="3"/>
      <c r="D852" s="12"/>
    </row>
    <row r="853" spans="1:4" ht="12" customHeight="1" x14ac:dyDescent="0.25">
      <c r="A853" s="1"/>
      <c r="B853" s="3"/>
      <c r="C853" s="3"/>
      <c r="D853" s="12"/>
    </row>
    <row r="854" spans="1:4" ht="12" customHeight="1" x14ac:dyDescent="0.25">
      <c r="A854" s="1"/>
      <c r="B854" s="3"/>
      <c r="C854" s="3"/>
      <c r="D854" s="12"/>
    </row>
    <row r="855" spans="1:4" ht="12" customHeight="1" x14ac:dyDescent="0.25">
      <c r="A855" s="1"/>
      <c r="B855" s="3"/>
      <c r="C855" s="3"/>
      <c r="D855" s="12"/>
    </row>
    <row r="856" spans="1:4" ht="12" customHeight="1" x14ac:dyDescent="0.25">
      <c r="A856" s="1"/>
      <c r="B856" s="3"/>
      <c r="C856" s="3"/>
      <c r="D856" s="12"/>
    </row>
    <row r="857" spans="1:4" ht="12" customHeight="1" x14ac:dyDescent="0.25">
      <c r="A857" s="1"/>
      <c r="B857" s="3"/>
      <c r="C857" s="3"/>
      <c r="D857" s="12"/>
    </row>
    <row r="858" spans="1:4" ht="12" customHeight="1" x14ac:dyDescent="0.25">
      <c r="A858" s="1"/>
      <c r="B858" s="3"/>
      <c r="C858" s="3"/>
      <c r="D858" s="12"/>
    </row>
    <row r="859" spans="1:4" ht="12" customHeight="1" x14ac:dyDescent="0.25">
      <c r="A859" s="1"/>
      <c r="B859" s="3"/>
      <c r="C859" s="3"/>
      <c r="D859" s="12"/>
    </row>
    <row r="860" spans="1:4" ht="12" customHeight="1" x14ac:dyDescent="0.25">
      <c r="A860" s="1"/>
      <c r="B860" s="3"/>
      <c r="C860" s="3"/>
      <c r="D860" s="12"/>
    </row>
    <row r="861" spans="1:4" ht="12" customHeight="1" x14ac:dyDescent="0.25">
      <c r="A861" s="1"/>
      <c r="B861" s="3"/>
      <c r="C861" s="3"/>
      <c r="D861" s="12"/>
    </row>
    <row r="862" spans="1:4" ht="12" customHeight="1" x14ac:dyDescent="0.25">
      <c r="A862" s="1"/>
      <c r="B862" s="3"/>
      <c r="C862" s="3"/>
      <c r="D862" s="12"/>
    </row>
    <row r="863" spans="1:4" ht="12" customHeight="1" x14ac:dyDescent="0.25">
      <c r="A863" s="1"/>
      <c r="B863" s="3"/>
      <c r="C863" s="3"/>
      <c r="D863" s="12"/>
    </row>
    <row r="864" spans="1:4" ht="12" customHeight="1" x14ac:dyDescent="0.25">
      <c r="A864" s="1"/>
      <c r="B864" s="3"/>
      <c r="C864" s="3"/>
      <c r="D864" s="12"/>
    </row>
    <row r="865" spans="1:4" ht="12" customHeight="1" x14ac:dyDescent="0.25">
      <c r="A865" s="1"/>
      <c r="B865" s="3"/>
      <c r="C865" s="3"/>
      <c r="D865" s="12"/>
    </row>
    <row r="866" spans="1:4" ht="12" customHeight="1" x14ac:dyDescent="0.25">
      <c r="A866" s="1"/>
      <c r="B866" s="3"/>
      <c r="C866" s="3"/>
      <c r="D866" s="12"/>
    </row>
    <row r="867" spans="1:4" ht="12" customHeight="1" x14ac:dyDescent="0.25">
      <c r="A867" s="1"/>
      <c r="B867" s="3"/>
      <c r="C867" s="3"/>
      <c r="D867" s="12"/>
    </row>
    <row r="868" spans="1:4" ht="12" customHeight="1" x14ac:dyDescent="0.25">
      <c r="A868" s="1"/>
      <c r="B868" s="3"/>
      <c r="C868" s="3"/>
      <c r="D868" s="12"/>
    </row>
    <row r="869" spans="1:4" ht="12" customHeight="1" x14ac:dyDescent="0.25">
      <c r="A869" s="1"/>
      <c r="B869" s="3"/>
      <c r="C869" s="3"/>
      <c r="D869" s="12"/>
    </row>
    <row r="870" spans="1:4" ht="12" customHeight="1" x14ac:dyDescent="0.25">
      <c r="A870" s="1"/>
      <c r="B870" s="3"/>
      <c r="C870" s="3"/>
      <c r="D870" s="12"/>
    </row>
    <row r="871" spans="1:4" ht="12" customHeight="1" x14ac:dyDescent="0.25">
      <c r="A871" s="1"/>
      <c r="B871" s="3"/>
      <c r="C871" s="3"/>
      <c r="D871" s="12"/>
    </row>
    <row r="872" spans="1:4" ht="12" customHeight="1" x14ac:dyDescent="0.25">
      <c r="A872" s="1"/>
      <c r="B872" s="3"/>
      <c r="C872" s="3"/>
      <c r="D872" s="12"/>
    </row>
    <row r="873" spans="1:4" ht="12" customHeight="1" x14ac:dyDescent="0.25">
      <c r="A873" s="1"/>
      <c r="B873" s="3"/>
      <c r="C873" s="3"/>
      <c r="D873" s="12"/>
    </row>
    <row r="874" spans="1:4" ht="12" customHeight="1" x14ac:dyDescent="0.25">
      <c r="A874" s="1"/>
      <c r="B874" s="3"/>
      <c r="C874" s="3"/>
      <c r="D874" s="12"/>
    </row>
    <row r="875" spans="1:4" ht="12" customHeight="1" x14ac:dyDescent="0.25">
      <c r="A875" s="1"/>
      <c r="B875" s="3"/>
      <c r="C875" s="3"/>
      <c r="D875" s="12"/>
    </row>
    <row r="876" spans="1:4" ht="12" customHeight="1" x14ac:dyDescent="0.25">
      <c r="A876" s="1"/>
      <c r="B876" s="3"/>
      <c r="C876" s="3"/>
      <c r="D876" s="12"/>
    </row>
    <row r="877" spans="1:4" ht="12" customHeight="1" x14ac:dyDescent="0.25">
      <c r="A877" s="1"/>
      <c r="B877" s="3"/>
      <c r="C877" s="3"/>
      <c r="D877" s="12"/>
    </row>
    <row r="878" spans="1:4" ht="12" customHeight="1" x14ac:dyDescent="0.25">
      <c r="A878" s="1"/>
      <c r="B878" s="3"/>
      <c r="C878" s="3"/>
      <c r="D878" s="12"/>
    </row>
    <row r="879" spans="1:4" ht="12" customHeight="1" x14ac:dyDescent="0.25">
      <c r="A879" s="1"/>
      <c r="B879" s="3"/>
      <c r="C879" s="3"/>
      <c r="D879" s="12"/>
    </row>
    <row r="880" spans="1:4" ht="12" customHeight="1" x14ac:dyDescent="0.25">
      <c r="A880" s="1"/>
      <c r="B880" s="3"/>
      <c r="C880" s="3"/>
      <c r="D880" s="12"/>
    </row>
    <row r="881" spans="1:4" ht="12" customHeight="1" x14ac:dyDescent="0.25">
      <c r="A881" s="1"/>
      <c r="B881" s="3"/>
      <c r="C881" s="3"/>
      <c r="D881" s="12"/>
    </row>
    <row r="882" spans="1:4" ht="12" customHeight="1" x14ac:dyDescent="0.25">
      <c r="A882" s="1"/>
      <c r="B882" s="3"/>
      <c r="C882" s="3"/>
      <c r="D882" s="12"/>
    </row>
    <row r="883" spans="1:4" ht="12" customHeight="1" x14ac:dyDescent="0.25">
      <c r="A883" s="1"/>
      <c r="B883" s="3"/>
      <c r="C883" s="3"/>
      <c r="D883" s="12"/>
    </row>
    <row r="884" spans="1:4" ht="12" customHeight="1" x14ac:dyDescent="0.25">
      <c r="A884" s="1"/>
      <c r="B884" s="3"/>
      <c r="C884" s="3"/>
      <c r="D884" s="12"/>
    </row>
    <row r="885" spans="1:4" ht="12" customHeight="1" x14ac:dyDescent="0.25">
      <c r="A885" s="1"/>
      <c r="B885" s="3"/>
      <c r="C885" s="3"/>
      <c r="D885" s="12"/>
    </row>
    <row r="886" spans="1:4" ht="12" customHeight="1" x14ac:dyDescent="0.25">
      <c r="A886" s="1"/>
      <c r="B886" s="3"/>
      <c r="C886" s="3"/>
      <c r="D886" s="12"/>
    </row>
    <row r="887" spans="1:4" ht="12" customHeight="1" x14ac:dyDescent="0.25">
      <c r="A887" s="1"/>
      <c r="B887" s="3"/>
      <c r="C887" s="3"/>
      <c r="D887" s="12"/>
    </row>
    <row r="888" spans="1:4" ht="12" customHeight="1" x14ac:dyDescent="0.25">
      <c r="A888" s="1"/>
      <c r="B888" s="3"/>
      <c r="C888" s="3"/>
      <c r="D888" s="12"/>
    </row>
    <row r="889" spans="1:4" ht="12" customHeight="1" x14ac:dyDescent="0.25">
      <c r="A889" s="1"/>
      <c r="B889" s="3"/>
      <c r="C889" s="3"/>
      <c r="D889" s="12"/>
    </row>
    <row r="890" spans="1:4" ht="12" customHeight="1" x14ac:dyDescent="0.25">
      <c r="A890" s="1"/>
      <c r="B890" s="3"/>
      <c r="C890" s="3"/>
      <c r="D890" s="12"/>
    </row>
    <row r="891" spans="1:4" ht="12" customHeight="1" x14ac:dyDescent="0.25">
      <c r="A891" s="1"/>
      <c r="B891" s="3"/>
      <c r="C891" s="3"/>
      <c r="D891" s="12"/>
    </row>
    <row r="892" spans="1:4" ht="12" customHeight="1" x14ac:dyDescent="0.25">
      <c r="A892" s="1"/>
      <c r="B892" s="3"/>
      <c r="C892" s="3"/>
      <c r="D892" s="12"/>
    </row>
    <row r="893" spans="1:4" ht="12" customHeight="1" x14ac:dyDescent="0.25">
      <c r="A893" s="1"/>
      <c r="B893" s="3"/>
      <c r="C893" s="3"/>
      <c r="D893" s="12"/>
    </row>
    <row r="894" spans="1:4" ht="12" customHeight="1" x14ac:dyDescent="0.25">
      <c r="A894" s="1"/>
      <c r="B894" s="3"/>
      <c r="C894" s="3"/>
      <c r="D894" s="12"/>
    </row>
    <row r="895" spans="1:4" ht="12" customHeight="1" x14ac:dyDescent="0.25">
      <c r="A895" s="1"/>
      <c r="B895" s="3"/>
      <c r="C895" s="3"/>
      <c r="D895" s="12"/>
    </row>
    <row r="896" spans="1:4" ht="12" customHeight="1" x14ac:dyDescent="0.25">
      <c r="A896" s="1"/>
      <c r="B896" s="3"/>
      <c r="C896" s="3"/>
      <c r="D896" s="12"/>
    </row>
    <row r="897" spans="1:4" ht="12" customHeight="1" x14ac:dyDescent="0.25">
      <c r="A897" s="1"/>
      <c r="B897" s="3"/>
      <c r="C897" s="3"/>
      <c r="D897" s="12"/>
    </row>
    <row r="898" spans="1:4" ht="12" customHeight="1" x14ac:dyDescent="0.25">
      <c r="A898" s="1"/>
      <c r="B898" s="3"/>
      <c r="C898" s="3"/>
      <c r="D898" s="12"/>
    </row>
    <row r="899" spans="1:4" ht="12" customHeight="1" x14ac:dyDescent="0.25">
      <c r="A899" s="1"/>
      <c r="B899" s="3"/>
      <c r="C899" s="3"/>
      <c r="D899" s="12"/>
    </row>
    <row r="900" spans="1:4" ht="12" customHeight="1" x14ac:dyDescent="0.25">
      <c r="A900" s="1"/>
      <c r="B900" s="3"/>
      <c r="C900" s="3"/>
      <c r="D900" s="12"/>
    </row>
    <row r="901" spans="1:4" ht="12" customHeight="1" x14ac:dyDescent="0.25">
      <c r="A901" s="1"/>
      <c r="B901" s="3"/>
      <c r="C901" s="3"/>
      <c r="D901" s="12"/>
    </row>
    <row r="902" spans="1:4" ht="12" customHeight="1" x14ac:dyDescent="0.25">
      <c r="A902" s="1"/>
      <c r="B902" s="3"/>
      <c r="C902" s="3"/>
      <c r="D902" s="12"/>
    </row>
    <row r="903" spans="1:4" ht="12" customHeight="1" x14ac:dyDescent="0.25">
      <c r="A903" s="1"/>
      <c r="B903" s="3"/>
      <c r="C903" s="3"/>
      <c r="D903" s="12"/>
    </row>
    <row r="904" spans="1:4" ht="12" customHeight="1" x14ac:dyDescent="0.25">
      <c r="A904" s="1"/>
      <c r="B904" s="3"/>
      <c r="C904" s="3"/>
      <c r="D904" s="12"/>
    </row>
    <row r="905" spans="1:4" ht="12" customHeight="1" x14ac:dyDescent="0.25">
      <c r="A905" s="1"/>
      <c r="B905" s="3"/>
      <c r="C905" s="3"/>
      <c r="D905" s="12"/>
    </row>
    <row r="906" spans="1:4" ht="12" customHeight="1" x14ac:dyDescent="0.25">
      <c r="A906" s="1"/>
      <c r="B906" s="3"/>
      <c r="C906" s="3"/>
      <c r="D906" s="12"/>
    </row>
    <row r="907" spans="1:4" ht="12" customHeight="1" x14ac:dyDescent="0.25">
      <c r="A907" s="1"/>
      <c r="B907" s="3"/>
      <c r="C907" s="3"/>
      <c r="D907" s="12"/>
    </row>
    <row r="908" spans="1:4" ht="12" customHeight="1" x14ac:dyDescent="0.25">
      <c r="A908" s="1"/>
      <c r="B908" s="3"/>
      <c r="C908" s="3"/>
      <c r="D908" s="12"/>
    </row>
    <row r="909" spans="1:4" ht="12" customHeight="1" x14ac:dyDescent="0.25">
      <c r="A909" s="1"/>
      <c r="B909" s="3"/>
      <c r="C909" s="3"/>
      <c r="D909" s="12"/>
    </row>
    <row r="910" spans="1:4" ht="12" customHeight="1" x14ac:dyDescent="0.25">
      <c r="A910" s="1"/>
      <c r="B910" s="3"/>
      <c r="C910" s="3"/>
      <c r="D910" s="12"/>
    </row>
    <row r="911" spans="1:4" ht="12" customHeight="1" x14ac:dyDescent="0.25">
      <c r="A911" s="1"/>
      <c r="B911" s="3"/>
      <c r="C911" s="3"/>
      <c r="D911" s="12"/>
    </row>
    <row r="912" spans="1:4" ht="12" customHeight="1" x14ac:dyDescent="0.25">
      <c r="A912" s="1"/>
      <c r="B912" s="3"/>
      <c r="C912" s="3"/>
      <c r="D912" s="12"/>
    </row>
    <row r="913" spans="1:4" ht="12" customHeight="1" x14ac:dyDescent="0.25">
      <c r="A913" s="1"/>
      <c r="B913" s="3"/>
      <c r="C913" s="3"/>
      <c r="D913" s="12"/>
    </row>
    <row r="914" spans="1:4" ht="12" customHeight="1" x14ac:dyDescent="0.25">
      <c r="A914" s="1"/>
      <c r="B914" s="3"/>
      <c r="C914" s="3"/>
      <c r="D914" s="12"/>
    </row>
    <row r="915" spans="1:4" ht="12" customHeight="1" x14ac:dyDescent="0.25">
      <c r="A915" s="1"/>
      <c r="B915" s="3"/>
      <c r="C915" s="3"/>
      <c r="D915" s="12"/>
    </row>
    <row r="916" spans="1:4" ht="12" customHeight="1" x14ac:dyDescent="0.25">
      <c r="A916" s="1"/>
      <c r="B916" s="3"/>
      <c r="C916" s="3"/>
      <c r="D916" s="12"/>
    </row>
    <row r="917" spans="1:4" ht="12" customHeight="1" x14ac:dyDescent="0.25">
      <c r="A917" s="1"/>
      <c r="B917" s="3"/>
      <c r="C917" s="3"/>
      <c r="D917" s="12"/>
    </row>
    <row r="918" spans="1:4" ht="12" customHeight="1" x14ac:dyDescent="0.25">
      <c r="A918" s="1"/>
      <c r="B918" s="3"/>
      <c r="C918" s="3"/>
      <c r="D918" s="12"/>
    </row>
    <row r="919" spans="1:4" ht="12" customHeight="1" x14ac:dyDescent="0.25">
      <c r="A919" s="1"/>
      <c r="B919" s="3"/>
      <c r="C919" s="3"/>
      <c r="D919" s="12"/>
    </row>
    <row r="920" spans="1:4" ht="12" customHeight="1" x14ac:dyDescent="0.25">
      <c r="A920" s="1"/>
      <c r="B920" s="3"/>
      <c r="C920" s="3"/>
      <c r="D920" s="12"/>
    </row>
    <row r="921" spans="1:4" ht="12" customHeight="1" x14ac:dyDescent="0.25">
      <c r="A921" s="1"/>
      <c r="B921" s="3"/>
      <c r="C921" s="3"/>
      <c r="D921" s="12"/>
    </row>
    <row r="922" spans="1:4" ht="12" customHeight="1" x14ac:dyDescent="0.25">
      <c r="A922" s="1"/>
      <c r="B922" s="3"/>
      <c r="C922" s="3"/>
      <c r="D922" s="12"/>
    </row>
    <row r="923" spans="1:4" ht="12" customHeight="1" x14ac:dyDescent="0.25">
      <c r="A923" s="1"/>
      <c r="B923" s="3"/>
      <c r="C923" s="3"/>
      <c r="D923" s="12"/>
    </row>
    <row r="924" spans="1:4" ht="12" customHeight="1" x14ac:dyDescent="0.25">
      <c r="A924" s="1"/>
      <c r="B924" s="3"/>
      <c r="C924" s="3"/>
      <c r="D924" s="12"/>
    </row>
    <row r="925" spans="1:4" ht="12" customHeight="1" x14ac:dyDescent="0.25">
      <c r="A925" s="1"/>
      <c r="B925" s="3"/>
      <c r="C925" s="3"/>
      <c r="D925" s="12"/>
    </row>
    <row r="926" spans="1:4" ht="12" customHeight="1" x14ac:dyDescent="0.25">
      <c r="A926" s="1"/>
      <c r="B926" s="3"/>
      <c r="C926" s="3"/>
      <c r="D926" s="12"/>
    </row>
    <row r="927" spans="1:4" ht="12" customHeight="1" x14ac:dyDescent="0.25">
      <c r="A927" s="1"/>
      <c r="B927" s="3"/>
      <c r="C927" s="3"/>
      <c r="D927" s="12"/>
    </row>
    <row r="928" spans="1:4" ht="12" customHeight="1" x14ac:dyDescent="0.25">
      <c r="A928" s="1"/>
      <c r="B928" s="3"/>
      <c r="C928" s="3"/>
      <c r="D928" s="12"/>
    </row>
    <row r="929" spans="1:4" ht="12" customHeight="1" x14ac:dyDescent="0.25">
      <c r="A929" s="1"/>
      <c r="B929" s="3"/>
      <c r="C929" s="3"/>
      <c r="D929" s="12"/>
    </row>
    <row r="930" spans="1:4" ht="12" customHeight="1" x14ac:dyDescent="0.25">
      <c r="A930" s="1"/>
      <c r="B930" s="3"/>
      <c r="C930" s="3"/>
      <c r="D930" s="12"/>
    </row>
    <row r="931" spans="1:4" ht="12" customHeight="1" x14ac:dyDescent="0.25">
      <c r="A931" s="1"/>
      <c r="B931" s="3"/>
      <c r="C931" s="3"/>
      <c r="D931" s="12"/>
    </row>
    <row r="932" spans="1:4" ht="12" customHeight="1" x14ac:dyDescent="0.25">
      <c r="A932" s="1"/>
      <c r="B932" s="3"/>
      <c r="C932" s="3"/>
      <c r="D932" s="12"/>
    </row>
    <row r="933" spans="1:4" ht="12" customHeight="1" x14ac:dyDescent="0.25">
      <c r="A933" s="1"/>
      <c r="B933" s="3"/>
      <c r="C933" s="3"/>
      <c r="D933" s="12"/>
    </row>
    <row r="934" spans="1:4" ht="12" customHeight="1" x14ac:dyDescent="0.25">
      <c r="A934" s="1"/>
      <c r="B934" s="3"/>
      <c r="C934" s="3"/>
      <c r="D934" s="12"/>
    </row>
    <row r="935" spans="1:4" ht="12" customHeight="1" x14ac:dyDescent="0.25">
      <c r="A935" s="1"/>
      <c r="B935" s="3"/>
      <c r="C935" s="3"/>
      <c r="D935" s="12"/>
    </row>
    <row r="936" spans="1:4" ht="12" customHeight="1" x14ac:dyDescent="0.25">
      <c r="A936" s="1"/>
      <c r="B936" s="3"/>
      <c r="C936" s="3"/>
      <c r="D936" s="12"/>
    </row>
    <row r="937" spans="1:4" ht="12" customHeight="1" x14ac:dyDescent="0.25">
      <c r="A937" s="1"/>
      <c r="B937" s="3"/>
      <c r="C937" s="3"/>
      <c r="D937" s="12"/>
    </row>
    <row r="938" spans="1:4" ht="12" customHeight="1" x14ac:dyDescent="0.25">
      <c r="A938" s="1"/>
      <c r="B938" s="3"/>
      <c r="C938" s="3"/>
      <c r="D938" s="12"/>
    </row>
    <row r="939" spans="1:4" ht="12" customHeight="1" x14ac:dyDescent="0.25">
      <c r="A939" s="1"/>
      <c r="B939" s="3"/>
      <c r="C939" s="3"/>
      <c r="D939" s="12"/>
    </row>
    <row r="940" spans="1:4" ht="12" customHeight="1" x14ac:dyDescent="0.25">
      <c r="A940" s="1"/>
      <c r="B940" s="3"/>
      <c r="C940" s="3"/>
      <c r="D940" s="12"/>
    </row>
    <row r="941" spans="1:4" ht="12" customHeight="1" x14ac:dyDescent="0.25">
      <c r="A941" s="1"/>
      <c r="B941" s="3"/>
      <c r="C941" s="3"/>
      <c r="D941" s="12"/>
    </row>
    <row r="942" spans="1:4" ht="12" customHeight="1" x14ac:dyDescent="0.25">
      <c r="A942" s="1"/>
      <c r="B942" s="3"/>
      <c r="C942" s="3"/>
      <c r="D942" s="12"/>
    </row>
    <row r="943" spans="1:4" ht="12" customHeight="1" x14ac:dyDescent="0.25">
      <c r="A943" s="1"/>
      <c r="B943" s="3"/>
      <c r="C943" s="3"/>
      <c r="D943" s="12"/>
    </row>
    <row r="944" spans="1:4" ht="12" customHeight="1" x14ac:dyDescent="0.25">
      <c r="A944" s="1"/>
      <c r="B944" s="3"/>
      <c r="C944" s="3"/>
      <c r="D944" s="12"/>
    </row>
    <row r="945" spans="1:4" ht="12" customHeight="1" x14ac:dyDescent="0.25">
      <c r="A945" s="1"/>
      <c r="B945" s="3"/>
      <c r="C945" s="3"/>
      <c r="D945" s="12"/>
    </row>
    <row r="946" spans="1:4" ht="12" customHeight="1" x14ac:dyDescent="0.25">
      <c r="A946" s="1"/>
      <c r="B946" s="3"/>
      <c r="C946" s="3"/>
      <c r="D946" s="12"/>
    </row>
    <row r="947" spans="1:4" ht="12" customHeight="1" x14ac:dyDescent="0.25">
      <c r="A947" s="1"/>
      <c r="B947" s="3"/>
      <c r="C947" s="3"/>
      <c r="D947" s="12"/>
    </row>
    <row r="948" spans="1:4" ht="12" customHeight="1" x14ac:dyDescent="0.25">
      <c r="A948" s="1"/>
      <c r="B948" s="3"/>
      <c r="C948" s="3"/>
      <c r="D948" s="12"/>
    </row>
    <row r="949" spans="1:4" ht="12" customHeight="1" x14ac:dyDescent="0.25">
      <c r="A949" s="1"/>
      <c r="B949" s="3"/>
      <c r="C949" s="3"/>
      <c r="D949" s="12"/>
    </row>
    <row r="950" spans="1:4" ht="12" customHeight="1" x14ac:dyDescent="0.25">
      <c r="A950" s="1"/>
      <c r="B950" s="3"/>
      <c r="C950" s="3"/>
      <c r="D950" s="12"/>
    </row>
    <row r="951" spans="1:4" ht="12" customHeight="1" x14ac:dyDescent="0.25">
      <c r="A951" s="1"/>
      <c r="B951" s="3"/>
      <c r="C951" s="3"/>
      <c r="D951" s="12"/>
    </row>
    <row r="952" spans="1:4" ht="12" customHeight="1" x14ac:dyDescent="0.25">
      <c r="A952" s="1"/>
      <c r="B952" s="3"/>
      <c r="C952" s="3"/>
      <c r="D952" s="12"/>
    </row>
    <row r="953" spans="1:4" ht="12" customHeight="1" x14ac:dyDescent="0.25">
      <c r="A953" s="1"/>
      <c r="B953" s="3"/>
      <c r="C953" s="3"/>
      <c r="D953" s="12"/>
    </row>
    <row r="954" spans="1:4" ht="12" customHeight="1" x14ac:dyDescent="0.25">
      <c r="A954" s="1"/>
      <c r="B954" s="3"/>
      <c r="C954" s="3"/>
      <c r="D954" s="12"/>
    </row>
    <row r="955" spans="1:4" ht="12" customHeight="1" x14ac:dyDescent="0.25">
      <c r="A955" s="1"/>
      <c r="B955" s="3"/>
      <c r="C955" s="3"/>
      <c r="D955" s="12"/>
    </row>
    <row r="956" spans="1:4" ht="12" customHeight="1" x14ac:dyDescent="0.25">
      <c r="A956" s="1"/>
      <c r="B956" s="3"/>
      <c r="C956" s="3"/>
      <c r="D956" s="12"/>
    </row>
    <row r="957" spans="1:4" ht="12" customHeight="1" x14ac:dyDescent="0.25">
      <c r="A957" s="1"/>
      <c r="B957" s="3"/>
      <c r="C957" s="3"/>
      <c r="D957" s="12"/>
    </row>
    <row r="958" spans="1:4" ht="12" customHeight="1" x14ac:dyDescent="0.25">
      <c r="A958" s="1"/>
      <c r="B958" s="3"/>
      <c r="C958" s="3"/>
      <c r="D958" s="12"/>
    </row>
    <row r="959" spans="1:4" ht="12" customHeight="1" x14ac:dyDescent="0.25">
      <c r="A959" s="1"/>
      <c r="B959" s="3"/>
      <c r="C959" s="3"/>
      <c r="D959" s="12"/>
    </row>
    <row r="960" spans="1:4" ht="12" customHeight="1" x14ac:dyDescent="0.25">
      <c r="A960" s="1"/>
      <c r="B960" s="3"/>
      <c r="C960" s="3"/>
      <c r="D960" s="12"/>
    </row>
    <row r="961" spans="1:4" ht="12" customHeight="1" x14ac:dyDescent="0.25">
      <c r="A961" s="1"/>
      <c r="B961" s="3"/>
      <c r="C961" s="3"/>
      <c r="D961" s="12"/>
    </row>
    <row r="962" spans="1:4" ht="12" customHeight="1" x14ac:dyDescent="0.25">
      <c r="A962" s="1"/>
      <c r="B962" s="3"/>
      <c r="C962" s="3"/>
      <c r="D962" s="12"/>
    </row>
    <row r="963" spans="1:4" ht="12" customHeight="1" x14ac:dyDescent="0.25">
      <c r="A963" s="1"/>
      <c r="B963" s="3"/>
      <c r="C963" s="3"/>
      <c r="D963" s="12"/>
    </row>
    <row r="964" spans="1:4" ht="12" customHeight="1" x14ac:dyDescent="0.25">
      <c r="A964" s="1"/>
      <c r="B964" s="3"/>
      <c r="C964" s="3"/>
      <c r="D964" s="12"/>
    </row>
    <row r="965" spans="1:4" ht="12" customHeight="1" x14ac:dyDescent="0.25">
      <c r="A965" s="1"/>
      <c r="B965" s="3"/>
      <c r="C965" s="3"/>
      <c r="D965" s="12"/>
    </row>
    <row r="966" spans="1:4" ht="12" customHeight="1" x14ac:dyDescent="0.25">
      <c r="A966" s="1"/>
      <c r="B966" s="3"/>
      <c r="C966" s="3"/>
      <c r="D966" s="12"/>
    </row>
    <row r="967" spans="1:4" ht="12" customHeight="1" x14ac:dyDescent="0.25">
      <c r="A967" s="1"/>
      <c r="B967" s="3"/>
      <c r="C967" s="3"/>
      <c r="D967" s="12"/>
    </row>
    <row r="968" spans="1:4" ht="12" customHeight="1" x14ac:dyDescent="0.25">
      <c r="A968" s="1"/>
      <c r="B968" s="3"/>
      <c r="C968" s="3"/>
      <c r="D968" s="12"/>
    </row>
    <row r="969" spans="1:4" ht="12" customHeight="1" x14ac:dyDescent="0.25">
      <c r="A969" s="1"/>
      <c r="B969" s="3"/>
      <c r="C969" s="3"/>
      <c r="D969" s="12"/>
    </row>
    <row r="970" spans="1:4" ht="12" customHeight="1" x14ac:dyDescent="0.25">
      <c r="A970" s="1"/>
      <c r="B970" s="3"/>
      <c r="C970" s="3"/>
      <c r="D970" s="12"/>
    </row>
    <row r="971" spans="1:4" ht="12" customHeight="1" x14ac:dyDescent="0.25">
      <c r="A971" s="1"/>
      <c r="B971" s="3"/>
      <c r="C971" s="3"/>
      <c r="D971" s="12"/>
    </row>
    <row r="972" spans="1:4" ht="12" customHeight="1" x14ac:dyDescent="0.25">
      <c r="A972" s="1"/>
      <c r="B972" s="3"/>
      <c r="C972" s="3"/>
      <c r="D972" s="12"/>
    </row>
    <row r="973" spans="1:4" ht="12" customHeight="1" x14ac:dyDescent="0.25">
      <c r="A973" s="1"/>
      <c r="B973" s="3"/>
      <c r="C973" s="3"/>
      <c r="D973" s="12"/>
    </row>
    <row r="974" spans="1:4" ht="12" customHeight="1" x14ac:dyDescent="0.25">
      <c r="A974" s="1"/>
      <c r="B974" s="3"/>
      <c r="C974" s="3"/>
      <c r="D974" s="12"/>
    </row>
    <row r="975" spans="1:4" ht="12" customHeight="1" x14ac:dyDescent="0.25">
      <c r="A975" s="1"/>
      <c r="B975" s="3"/>
      <c r="C975" s="3"/>
      <c r="D975" s="12"/>
    </row>
    <row r="976" spans="1:4" ht="12" customHeight="1" x14ac:dyDescent="0.25">
      <c r="A976" s="1"/>
      <c r="B976" s="3"/>
      <c r="C976" s="3"/>
      <c r="D976" s="12"/>
    </row>
    <row r="977" spans="1:4" ht="12" customHeight="1" x14ac:dyDescent="0.25">
      <c r="A977" s="1"/>
      <c r="B977" s="3"/>
      <c r="C977" s="3"/>
      <c r="D977" s="12"/>
    </row>
    <row r="978" spans="1:4" ht="12" customHeight="1" x14ac:dyDescent="0.25">
      <c r="A978" s="1"/>
      <c r="B978" s="3"/>
      <c r="C978" s="3"/>
      <c r="D978" s="12"/>
    </row>
    <row r="979" spans="1:4" ht="12" customHeight="1" x14ac:dyDescent="0.25">
      <c r="A979" s="1"/>
      <c r="B979" s="3"/>
      <c r="C979" s="3"/>
      <c r="D979" s="12"/>
    </row>
    <row r="980" spans="1:4" ht="12" customHeight="1" x14ac:dyDescent="0.25">
      <c r="A980" s="1"/>
      <c r="B980" s="3"/>
      <c r="C980" s="3"/>
      <c r="D980" s="12"/>
    </row>
    <row r="981" spans="1:4" ht="12" customHeight="1" x14ac:dyDescent="0.25">
      <c r="A981" s="1"/>
      <c r="B981" s="3"/>
      <c r="C981" s="3"/>
      <c r="D981" s="12"/>
    </row>
    <row r="982" spans="1:4" ht="12" customHeight="1" x14ac:dyDescent="0.25">
      <c r="A982" s="1"/>
      <c r="B982" s="3"/>
      <c r="C982" s="3"/>
      <c r="D982" s="12"/>
    </row>
    <row r="983" spans="1:4" ht="12" customHeight="1" x14ac:dyDescent="0.25">
      <c r="A983" s="1"/>
      <c r="B983" s="3"/>
      <c r="C983" s="3"/>
      <c r="D983" s="12"/>
    </row>
    <row r="984" spans="1:4" ht="12" customHeight="1" x14ac:dyDescent="0.25">
      <c r="A984" s="1"/>
      <c r="B984" s="3"/>
      <c r="C984" s="3"/>
      <c r="D984" s="12"/>
    </row>
    <row r="985" spans="1:4" ht="12" customHeight="1" x14ac:dyDescent="0.25">
      <c r="A985" s="1"/>
      <c r="B985" s="3"/>
      <c r="C985" s="3"/>
      <c r="D985" s="12"/>
    </row>
    <row r="986" spans="1:4" ht="12" customHeight="1" x14ac:dyDescent="0.25">
      <c r="A986" s="1"/>
      <c r="B986" s="3"/>
      <c r="C986" s="3"/>
      <c r="D986" s="12"/>
    </row>
    <row r="987" spans="1:4" ht="12" customHeight="1" x14ac:dyDescent="0.25">
      <c r="A987" s="1"/>
      <c r="B987" s="3"/>
      <c r="C987" s="3"/>
      <c r="D987" s="12"/>
    </row>
    <row r="988" spans="1:4" ht="12" customHeight="1" x14ac:dyDescent="0.25">
      <c r="A988" s="1"/>
      <c r="B988" s="3"/>
      <c r="C988" s="3"/>
      <c r="D988" s="12"/>
    </row>
    <row r="989" spans="1:4" ht="12" customHeight="1" x14ac:dyDescent="0.25">
      <c r="A989" s="1"/>
      <c r="B989" s="3"/>
      <c r="C989" s="3"/>
      <c r="D989" s="12"/>
    </row>
    <row r="990" spans="1:4" ht="12" customHeight="1" x14ac:dyDescent="0.25">
      <c r="A990" s="1"/>
      <c r="B990" s="3"/>
      <c r="C990" s="3"/>
      <c r="D990" s="12"/>
    </row>
    <row r="991" spans="1:4" ht="12" customHeight="1" x14ac:dyDescent="0.25">
      <c r="A991" s="1"/>
      <c r="B991" s="3"/>
      <c r="C991" s="3"/>
      <c r="D991" s="12"/>
    </row>
    <row r="992" spans="1:4" ht="12" customHeight="1" x14ac:dyDescent="0.25">
      <c r="A992" s="1"/>
      <c r="B992" s="3"/>
      <c r="C992" s="3"/>
      <c r="D992" s="12"/>
    </row>
    <row r="993" spans="1:4" ht="12" customHeight="1" x14ac:dyDescent="0.25">
      <c r="A993" s="1"/>
      <c r="B993" s="3"/>
      <c r="C993" s="3"/>
      <c r="D993" s="12"/>
    </row>
    <row r="994" spans="1:4" ht="12" customHeight="1" x14ac:dyDescent="0.25">
      <c r="A994" s="1"/>
      <c r="B994" s="3"/>
      <c r="C994" s="3"/>
      <c r="D994" s="12"/>
    </row>
    <row r="995" spans="1:4" ht="12" customHeight="1" x14ac:dyDescent="0.25">
      <c r="A995" s="1"/>
      <c r="B995" s="3"/>
      <c r="C995" s="3"/>
      <c r="D995" s="12"/>
    </row>
    <row r="996" spans="1:4" ht="12" customHeight="1" x14ac:dyDescent="0.25">
      <c r="A996" s="1"/>
      <c r="B996" s="3"/>
      <c r="C996" s="3"/>
      <c r="D996" s="12"/>
    </row>
    <row r="997" spans="1:4" ht="12" customHeight="1" x14ac:dyDescent="0.25">
      <c r="A997" s="1"/>
      <c r="B997" s="3"/>
      <c r="C997" s="3"/>
      <c r="D997" s="12"/>
    </row>
    <row r="998" spans="1:4" ht="12" customHeight="1" x14ac:dyDescent="0.25">
      <c r="A998" s="1"/>
      <c r="B998" s="3"/>
      <c r="C998" s="3"/>
      <c r="D998" s="12"/>
    </row>
    <row r="999" spans="1:4" ht="12" customHeight="1" x14ac:dyDescent="0.25">
      <c r="A999" s="1"/>
      <c r="B999" s="3"/>
      <c r="C999" s="3"/>
      <c r="D999" s="12"/>
    </row>
    <row r="1000" spans="1:4" ht="12" customHeight="1" x14ac:dyDescent="0.25">
      <c r="A1000" s="1"/>
      <c r="B1000" s="3"/>
      <c r="C1000" s="3"/>
      <c r="D1000" s="12"/>
    </row>
  </sheetData>
  <mergeCells count="2">
    <mergeCell ref="A14:A15"/>
    <mergeCell ref="B14:C14"/>
  </mergeCells>
  <pageMargins left="0.7" right="0.7" top="0.75" bottom="0.75" header="0" footer="0"/>
  <pageSetup orientation="portrait"/>
  <headerFooter>
    <oddFooter>&amp;C# Propietaria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Bond</vt:lpstr>
      <vt:lpstr>Bond (2)</vt:lpstr>
      <vt:lpstr>Bond (3)</vt:lpstr>
      <vt:lpstr>Bond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Sabater</cp:lastModifiedBy>
  <dcterms:modified xsi:type="dcterms:W3CDTF">2021-04-25T06:32:06Z</dcterms:modified>
</cp:coreProperties>
</file>